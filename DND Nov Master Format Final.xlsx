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UTFITTER\Energy analyzer Readings\nov\"/>
    </mc:Choice>
  </mc:AlternateContent>
  <xr:revisionPtr revIDLastSave="0" documentId="13_ncr:1_{B25539E5-296F-422C-AA75-3718DEEF0D0C}" xr6:coauthVersionLast="47" xr6:coauthVersionMax="47" xr10:uidLastSave="{00000000-0000-0000-0000-000000000000}"/>
  <bookViews>
    <workbookView xWindow="-108" yWindow="-108" windowWidth="23256" windowHeight="13896" tabRatio="686" xr2:uid="{00000000-000D-0000-FFFF-FFFF00000000}"/>
  </bookViews>
  <sheets>
    <sheet name="Summary " sheetId="18" r:id="rId1"/>
    <sheet name="SBSTN DND" sheetId="6" r:id="rId2"/>
    <sheet name="LT GF" sheetId="8" r:id="rId3"/>
    <sheet name="LT FF" sheetId="10" r:id="rId4"/>
    <sheet name="LT 2F" sheetId="11" r:id="rId5"/>
    <sheet name="LT-Wshng" sheetId="12" r:id="rId6"/>
    <sheet name="Capacity load" sheetId="19" r:id="rId7"/>
    <sheet name="Overtime" sheetId="14" r:id="rId8"/>
  </sheets>
  <definedNames>
    <definedName name="_xlnm._FilterDatabase" localSheetId="0" hidden="1">'Summary '!$B$3:$C$36</definedName>
    <definedName name="_xlnm.Print_Area" localSheetId="1">'SBSTN DND'!$B$1:$AK$70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5" i="14" l="1"/>
  <c r="W43" i="18"/>
  <c r="W40" i="18" s="1"/>
  <c r="W42" i="18"/>
  <c r="Y31" i="18"/>
  <c r="E171" i="6"/>
  <c r="AK172" i="6"/>
  <c r="AJ172" i="6"/>
  <c r="AK171" i="6"/>
  <c r="AK170" i="6"/>
  <c r="AK160" i="6"/>
  <c r="AK166" i="6"/>
  <c r="AJ171" i="6"/>
  <c r="M172" i="6"/>
  <c r="AJ170" i="6"/>
  <c r="E170" i="6"/>
  <c r="Q170" i="6"/>
  <c r="AC171" i="6"/>
  <c r="AA171" i="6"/>
  <c r="Y171" i="6"/>
  <c r="U171" i="6"/>
  <c r="Q171" i="6"/>
  <c r="O171" i="6"/>
  <c r="M171" i="6"/>
  <c r="K171" i="6"/>
  <c r="AI171" i="6"/>
  <c r="W171" i="6"/>
  <c r="I136" i="6"/>
  <c r="G171" i="6"/>
  <c r="K136" i="6"/>
  <c r="M136" i="6"/>
  <c r="I171" i="6"/>
  <c r="AA170" i="6"/>
  <c r="F140" i="11"/>
  <c r="F141" i="11"/>
  <c r="F142" i="11"/>
  <c r="F143" i="11"/>
  <c r="F144" i="11"/>
  <c r="J141" i="11"/>
  <c r="J142" i="11"/>
  <c r="J143" i="11"/>
  <c r="J144" i="11"/>
  <c r="H141" i="11"/>
  <c r="H142" i="11"/>
  <c r="H143" i="11"/>
  <c r="H144" i="11"/>
  <c r="L142" i="11"/>
  <c r="L143" i="11"/>
  <c r="L144" i="11"/>
  <c r="N142" i="11"/>
  <c r="N143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P142" i="11"/>
  <c r="P143" i="11"/>
  <c r="T142" i="11"/>
  <c r="T143" i="11"/>
  <c r="X142" i="11"/>
  <c r="X143" i="11"/>
  <c r="D141" i="11"/>
  <c r="D142" i="11"/>
  <c r="D143" i="11"/>
  <c r="D144" i="11"/>
  <c r="P53" i="14"/>
  <c r="P51" i="14"/>
  <c r="P49" i="14"/>
  <c r="P47" i="14"/>
  <c r="P45" i="14"/>
  <c r="P43" i="14"/>
  <c r="P41" i="14"/>
  <c r="P39" i="14"/>
  <c r="P38" i="14"/>
  <c r="P40" i="14"/>
  <c r="P42" i="14"/>
  <c r="P44" i="14"/>
  <c r="P46" i="14"/>
  <c r="P48" i="14"/>
  <c r="P50" i="14"/>
  <c r="P52" i="14"/>
  <c r="P54" i="14"/>
  <c r="P55" i="14"/>
  <c r="P56" i="14"/>
  <c r="P43" i="18"/>
  <c r="K43" i="18"/>
  <c r="F43" i="18"/>
  <c r="P42" i="18"/>
  <c r="S42" i="18" s="1"/>
  <c r="K42" i="18"/>
  <c r="F42" i="18"/>
  <c r="X41" i="18"/>
  <c r="X39" i="18"/>
  <c r="R37" i="18"/>
  <c r="H37" i="18"/>
  <c r="AI138" i="6"/>
  <c r="BH38" i="14"/>
  <c r="BF38" i="14"/>
  <c r="BD38" i="14"/>
  <c r="BB38" i="14"/>
  <c r="AZ38" i="14"/>
  <c r="AX38" i="14"/>
  <c r="AV38" i="14"/>
  <c r="AT38" i="14"/>
  <c r="AR38" i="14"/>
  <c r="AN38" i="14"/>
  <c r="AL38" i="14"/>
  <c r="AJ38" i="14"/>
  <c r="AH38" i="14"/>
  <c r="AF38" i="14"/>
  <c r="AD38" i="14"/>
  <c r="AB38" i="14"/>
  <c r="Z38" i="14"/>
  <c r="X38" i="14"/>
  <c r="V38" i="14"/>
  <c r="T38" i="14"/>
  <c r="R38" i="14"/>
  <c r="N38" i="14"/>
  <c r="L38" i="14"/>
  <c r="J38" i="14"/>
  <c r="H38" i="14"/>
  <c r="F38" i="14"/>
  <c r="D38" i="14"/>
  <c r="AP69" i="14"/>
  <c r="BH68" i="14"/>
  <c r="BF68" i="14"/>
  <c r="BD68" i="14"/>
  <c r="BB68" i="14"/>
  <c r="AZ68" i="14"/>
  <c r="AX68" i="14"/>
  <c r="AV68" i="14"/>
  <c r="AT68" i="14"/>
  <c r="AR68" i="14"/>
  <c r="AN68" i="14"/>
  <c r="AL68" i="14"/>
  <c r="AJ68" i="14"/>
  <c r="AH68" i="14"/>
  <c r="AF68" i="14"/>
  <c r="AD68" i="14"/>
  <c r="AB68" i="14"/>
  <c r="Z68" i="14"/>
  <c r="X68" i="14"/>
  <c r="V68" i="14"/>
  <c r="T68" i="14"/>
  <c r="R68" i="14"/>
  <c r="P68" i="14"/>
  <c r="N68" i="14"/>
  <c r="L68" i="14"/>
  <c r="J68" i="14"/>
  <c r="H68" i="14"/>
  <c r="F68" i="14"/>
  <c r="D68" i="14"/>
  <c r="BH67" i="14"/>
  <c r="BF67" i="14"/>
  <c r="BD67" i="14"/>
  <c r="BB67" i="14"/>
  <c r="AZ67" i="14"/>
  <c r="AX67" i="14"/>
  <c r="AV67" i="14"/>
  <c r="AT67" i="14"/>
  <c r="AR67" i="14"/>
  <c r="AN67" i="14"/>
  <c r="AL67" i="14"/>
  <c r="AJ67" i="14"/>
  <c r="AH67" i="14"/>
  <c r="AF67" i="14"/>
  <c r="AD67" i="14"/>
  <c r="AB67" i="14"/>
  <c r="Z67" i="14"/>
  <c r="X67" i="14"/>
  <c r="V67" i="14"/>
  <c r="T67" i="14"/>
  <c r="R67" i="14"/>
  <c r="P67" i="14"/>
  <c r="N67" i="14"/>
  <c r="L67" i="14"/>
  <c r="J67" i="14"/>
  <c r="H67" i="14"/>
  <c r="F67" i="14"/>
  <c r="D67" i="14"/>
  <c r="BH66" i="14"/>
  <c r="BF66" i="14"/>
  <c r="BD66" i="14"/>
  <c r="BB66" i="14"/>
  <c r="AZ66" i="14"/>
  <c r="AX66" i="14"/>
  <c r="AV66" i="14"/>
  <c r="AT66" i="14"/>
  <c r="AR66" i="14"/>
  <c r="AN66" i="14"/>
  <c r="AL66" i="14"/>
  <c r="AJ66" i="14"/>
  <c r="AH66" i="14"/>
  <c r="AF66" i="14"/>
  <c r="AD66" i="14"/>
  <c r="AB66" i="14"/>
  <c r="Z66" i="14"/>
  <c r="X66" i="14"/>
  <c r="V66" i="14"/>
  <c r="T66" i="14"/>
  <c r="R66" i="14"/>
  <c r="P66" i="14"/>
  <c r="N66" i="14"/>
  <c r="L66" i="14"/>
  <c r="J66" i="14"/>
  <c r="H66" i="14"/>
  <c r="F66" i="14"/>
  <c r="D66" i="14"/>
  <c r="BH65" i="14"/>
  <c r="BF65" i="14"/>
  <c r="BD65" i="14"/>
  <c r="BB65" i="14"/>
  <c r="AZ65" i="14"/>
  <c r="AX65" i="14"/>
  <c r="AV65" i="14"/>
  <c r="AT65" i="14"/>
  <c r="AR65" i="14"/>
  <c r="AN65" i="14"/>
  <c r="AL65" i="14"/>
  <c r="AJ65" i="14"/>
  <c r="AH65" i="14"/>
  <c r="AF65" i="14"/>
  <c r="AD65" i="14"/>
  <c r="AB65" i="14"/>
  <c r="Z65" i="14"/>
  <c r="X65" i="14"/>
  <c r="V65" i="14"/>
  <c r="T65" i="14"/>
  <c r="R65" i="14"/>
  <c r="P65" i="14"/>
  <c r="N65" i="14"/>
  <c r="L65" i="14"/>
  <c r="J65" i="14"/>
  <c r="H65" i="14"/>
  <c r="F65" i="14"/>
  <c r="BH64" i="14"/>
  <c r="BF64" i="14"/>
  <c r="BD64" i="14"/>
  <c r="BB64" i="14"/>
  <c r="AZ64" i="14"/>
  <c r="AX64" i="14"/>
  <c r="AV64" i="14"/>
  <c r="AT64" i="14"/>
  <c r="AR64" i="14"/>
  <c r="AN64" i="14"/>
  <c r="AL64" i="14"/>
  <c r="AJ64" i="14"/>
  <c r="AH64" i="14"/>
  <c r="AF64" i="14"/>
  <c r="AD64" i="14"/>
  <c r="AB64" i="14"/>
  <c r="Z64" i="14"/>
  <c r="X64" i="14"/>
  <c r="V64" i="14"/>
  <c r="T64" i="14"/>
  <c r="R64" i="14"/>
  <c r="P64" i="14"/>
  <c r="N64" i="14"/>
  <c r="L64" i="14"/>
  <c r="J64" i="14"/>
  <c r="H64" i="14"/>
  <c r="F64" i="14"/>
  <c r="D64" i="14"/>
  <c r="BH63" i="14"/>
  <c r="BF63" i="14"/>
  <c r="BD63" i="14"/>
  <c r="BB63" i="14"/>
  <c r="AZ63" i="14"/>
  <c r="AX63" i="14"/>
  <c r="AV63" i="14"/>
  <c r="AT63" i="14"/>
  <c r="AR63" i="14"/>
  <c r="AN63" i="14"/>
  <c r="AL63" i="14"/>
  <c r="AJ63" i="14"/>
  <c r="AH63" i="14"/>
  <c r="AF63" i="14"/>
  <c r="AD63" i="14"/>
  <c r="AB63" i="14"/>
  <c r="Z63" i="14"/>
  <c r="X63" i="14"/>
  <c r="V63" i="14"/>
  <c r="T63" i="14"/>
  <c r="R63" i="14"/>
  <c r="P63" i="14"/>
  <c r="N63" i="14"/>
  <c r="L63" i="14"/>
  <c r="J63" i="14"/>
  <c r="H63" i="14"/>
  <c r="F63" i="14"/>
  <c r="D63" i="14"/>
  <c r="BH62" i="14"/>
  <c r="BF62" i="14"/>
  <c r="BD62" i="14"/>
  <c r="BB62" i="14"/>
  <c r="AZ62" i="14"/>
  <c r="AX62" i="14"/>
  <c r="AV62" i="14"/>
  <c r="AT62" i="14"/>
  <c r="AR62" i="14"/>
  <c r="AN62" i="14"/>
  <c r="AL62" i="14"/>
  <c r="AJ62" i="14"/>
  <c r="AH62" i="14"/>
  <c r="AF62" i="14"/>
  <c r="AD62" i="14"/>
  <c r="AB62" i="14"/>
  <c r="Z62" i="14"/>
  <c r="X62" i="14"/>
  <c r="V62" i="14"/>
  <c r="T62" i="14"/>
  <c r="R62" i="14"/>
  <c r="P62" i="14"/>
  <c r="N62" i="14"/>
  <c r="L62" i="14"/>
  <c r="J62" i="14"/>
  <c r="H62" i="14"/>
  <c r="F62" i="14"/>
  <c r="D62" i="14"/>
  <c r="BH61" i="14"/>
  <c r="BF61" i="14"/>
  <c r="BD61" i="14"/>
  <c r="BB61" i="14"/>
  <c r="AZ61" i="14"/>
  <c r="AX61" i="14"/>
  <c r="AV61" i="14"/>
  <c r="AT61" i="14"/>
  <c r="AR61" i="14"/>
  <c r="AN61" i="14"/>
  <c r="AL61" i="14"/>
  <c r="AJ61" i="14"/>
  <c r="AH61" i="14"/>
  <c r="AF61" i="14"/>
  <c r="AD61" i="14"/>
  <c r="AB61" i="14"/>
  <c r="Z61" i="14"/>
  <c r="X61" i="14"/>
  <c r="V61" i="14"/>
  <c r="T61" i="14"/>
  <c r="R61" i="14"/>
  <c r="P61" i="14"/>
  <c r="N61" i="14"/>
  <c r="L61" i="14"/>
  <c r="J61" i="14"/>
  <c r="H61" i="14"/>
  <c r="F61" i="14"/>
  <c r="D61" i="14"/>
  <c r="BH60" i="14"/>
  <c r="BF60" i="14"/>
  <c r="BD60" i="14"/>
  <c r="BB60" i="14"/>
  <c r="AZ60" i="14"/>
  <c r="AX60" i="14"/>
  <c r="AV60" i="14"/>
  <c r="AT60" i="14"/>
  <c r="AR60" i="14"/>
  <c r="AN60" i="14"/>
  <c r="AL60" i="14"/>
  <c r="AJ60" i="14"/>
  <c r="AH60" i="14"/>
  <c r="AF60" i="14"/>
  <c r="AD60" i="14"/>
  <c r="AB60" i="14"/>
  <c r="Z60" i="14"/>
  <c r="X60" i="14"/>
  <c r="V60" i="14"/>
  <c r="T60" i="14"/>
  <c r="R60" i="14"/>
  <c r="P60" i="14"/>
  <c r="N60" i="14"/>
  <c r="L60" i="14"/>
  <c r="J60" i="14"/>
  <c r="H60" i="14"/>
  <c r="F60" i="14"/>
  <c r="D60" i="14"/>
  <c r="BH59" i="14"/>
  <c r="BF59" i="14"/>
  <c r="BD59" i="14"/>
  <c r="BB59" i="14"/>
  <c r="AZ59" i="14"/>
  <c r="AX59" i="14"/>
  <c r="AV59" i="14"/>
  <c r="AT59" i="14"/>
  <c r="AR59" i="14"/>
  <c r="AN59" i="14"/>
  <c r="AL59" i="14"/>
  <c r="AJ59" i="14"/>
  <c r="AH59" i="14"/>
  <c r="AF59" i="14"/>
  <c r="AD59" i="14"/>
  <c r="AB59" i="14"/>
  <c r="Z59" i="14"/>
  <c r="X59" i="14"/>
  <c r="V59" i="14"/>
  <c r="T59" i="14"/>
  <c r="R59" i="14"/>
  <c r="P59" i="14"/>
  <c r="N59" i="14"/>
  <c r="L59" i="14"/>
  <c r="J59" i="14"/>
  <c r="H59" i="14"/>
  <c r="F59" i="14"/>
  <c r="D59" i="14"/>
  <c r="BH58" i="14"/>
  <c r="BF58" i="14"/>
  <c r="BD58" i="14"/>
  <c r="BB58" i="14"/>
  <c r="AZ58" i="14"/>
  <c r="AX58" i="14"/>
  <c r="AV58" i="14"/>
  <c r="AT58" i="14"/>
  <c r="AR58" i="14"/>
  <c r="AN58" i="14"/>
  <c r="AL58" i="14"/>
  <c r="AJ58" i="14"/>
  <c r="AH58" i="14"/>
  <c r="AF58" i="14"/>
  <c r="AD58" i="14"/>
  <c r="AB58" i="14"/>
  <c r="Z58" i="14"/>
  <c r="X58" i="14"/>
  <c r="V58" i="14"/>
  <c r="T58" i="14"/>
  <c r="R58" i="14"/>
  <c r="P58" i="14"/>
  <c r="N58" i="14"/>
  <c r="L58" i="14"/>
  <c r="J58" i="14"/>
  <c r="H58" i="14"/>
  <c r="F58" i="14"/>
  <c r="D58" i="14"/>
  <c r="BH57" i="14"/>
  <c r="BF57" i="14"/>
  <c r="BD57" i="14"/>
  <c r="BB57" i="14"/>
  <c r="AZ57" i="14"/>
  <c r="AX57" i="14"/>
  <c r="AV57" i="14"/>
  <c r="AT57" i="14"/>
  <c r="AR57" i="14"/>
  <c r="AN57" i="14"/>
  <c r="AL57" i="14"/>
  <c r="AJ57" i="14"/>
  <c r="AH57" i="14"/>
  <c r="AF57" i="14"/>
  <c r="AD57" i="14"/>
  <c r="AB57" i="14"/>
  <c r="Z57" i="14"/>
  <c r="X57" i="14"/>
  <c r="V57" i="14"/>
  <c r="T57" i="14"/>
  <c r="R57" i="14"/>
  <c r="P57" i="14"/>
  <c r="N57" i="14"/>
  <c r="L57" i="14"/>
  <c r="J57" i="14"/>
  <c r="H57" i="14"/>
  <c r="F57" i="14"/>
  <c r="D57" i="14"/>
  <c r="BH56" i="14"/>
  <c r="BF56" i="14"/>
  <c r="BD56" i="14"/>
  <c r="BB56" i="14"/>
  <c r="AZ56" i="14"/>
  <c r="AX56" i="14"/>
  <c r="AV56" i="14"/>
  <c r="AT56" i="14"/>
  <c r="AR56" i="14"/>
  <c r="AN56" i="14"/>
  <c r="AL56" i="14"/>
  <c r="AJ56" i="14"/>
  <c r="AH56" i="14"/>
  <c r="AF56" i="14"/>
  <c r="AD56" i="14"/>
  <c r="AB56" i="14"/>
  <c r="Z56" i="14"/>
  <c r="X56" i="14"/>
  <c r="V56" i="14"/>
  <c r="T56" i="14"/>
  <c r="R56" i="14"/>
  <c r="N56" i="14"/>
  <c r="L56" i="14"/>
  <c r="J56" i="14"/>
  <c r="H56" i="14"/>
  <c r="F56" i="14"/>
  <c r="D56" i="14"/>
  <c r="BH55" i="14"/>
  <c r="BF55" i="14"/>
  <c r="BD55" i="14"/>
  <c r="BB55" i="14"/>
  <c r="AZ55" i="14"/>
  <c r="AX55" i="14"/>
  <c r="AV55" i="14"/>
  <c r="AT55" i="14"/>
  <c r="AR55" i="14"/>
  <c r="AN55" i="14"/>
  <c r="AL55" i="14"/>
  <c r="AJ55" i="14"/>
  <c r="AH55" i="14"/>
  <c r="AF55" i="14"/>
  <c r="AD55" i="14"/>
  <c r="AB55" i="14"/>
  <c r="Z55" i="14"/>
  <c r="X55" i="14"/>
  <c r="V55" i="14"/>
  <c r="T55" i="14"/>
  <c r="R55" i="14"/>
  <c r="N55" i="14"/>
  <c r="L55" i="14"/>
  <c r="J55" i="14"/>
  <c r="H55" i="14"/>
  <c r="F55" i="14"/>
  <c r="D55" i="14"/>
  <c r="BH54" i="14"/>
  <c r="BF54" i="14"/>
  <c r="BD54" i="14"/>
  <c r="BB54" i="14"/>
  <c r="AZ54" i="14"/>
  <c r="AX54" i="14"/>
  <c r="AV54" i="14"/>
  <c r="AT54" i="14"/>
  <c r="AR54" i="14"/>
  <c r="AN54" i="14"/>
  <c r="AL54" i="14"/>
  <c r="AJ54" i="14"/>
  <c r="AH54" i="14"/>
  <c r="AF54" i="14"/>
  <c r="AD54" i="14"/>
  <c r="AB54" i="14"/>
  <c r="Z54" i="14"/>
  <c r="X54" i="14"/>
  <c r="V54" i="14"/>
  <c r="T54" i="14"/>
  <c r="R54" i="14"/>
  <c r="N54" i="14"/>
  <c r="L54" i="14"/>
  <c r="J54" i="14"/>
  <c r="H54" i="14"/>
  <c r="F54" i="14"/>
  <c r="D54" i="14"/>
  <c r="BH53" i="14"/>
  <c r="BF53" i="14"/>
  <c r="BD53" i="14"/>
  <c r="BB53" i="14"/>
  <c r="AZ53" i="14"/>
  <c r="AX53" i="14"/>
  <c r="AV53" i="14"/>
  <c r="AT53" i="14"/>
  <c r="AR53" i="14"/>
  <c r="AN53" i="14"/>
  <c r="AL53" i="14"/>
  <c r="AJ53" i="14"/>
  <c r="AH53" i="14"/>
  <c r="AF53" i="14"/>
  <c r="AD53" i="14"/>
  <c r="AB53" i="14"/>
  <c r="Z53" i="14"/>
  <c r="X53" i="14"/>
  <c r="V53" i="14"/>
  <c r="T53" i="14"/>
  <c r="R53" i="14"/>
  <c r="N53" i="14"/>
  <c r="L53" i="14"/>
  <c r="J53" i="14"/>
  <c r="H53" i="14"/>
  <c r="F53" i="14"/>
  <c r="D53" i="14"/>
  <c r="BH52" i="14"/>
  <c r="BF52" i="14"/>
  <c r="BD52" i="14"/>
  <c r="BB52" i="14"/>
  <c r="AZ52" i="14"/>
  <c r="AX52" i="14"/>
  <c r="AV52" i="14"/>
  <c r="AT52" i="14"/>
  <c r="AR52" i="14"/>
  <c r="AN52" i="14"/>
  <c r="AL52" i="14"/>
  <c r="AJ52" i="14"/>
  <c r="AH52" i="14"/>
  <c r="AF52" i="14"/>
  <c r="AD52" i="14"/>
  <c r="AB52" i="14"/>
  <c r="Z52" i="14"/>
  <c r="X52" i="14"/>
  <c r="V52" i="14"/>
  <c r="T52" i="14"/>
  <c r="R52" i="14"/>
  <c r="N52" i="14"/>
  <c r="L52" i="14"/>
  <c r="J52" i="14"/>
  <c r="H52" i="14"/>
  <c r="F52" i="14"/>
  <c r="D52" i="14"/>
  <c r="BH51" i="14"/>
  <c r="BF51" i="14"/>
  <c r="BD51" i="14"/>
  <c r="BB51" i="14"/>
  <c r="AZ51" i="14"/>
  <c r="AX51" i="14"/>
  <c r="AV51" i="14"/>
  <c r="AT51" i="14"/>
  <c r="AR51" i="14"/>
  <c r="AN51" i="14"/>
  <c r="AL51" i="14"/>
  <c r="AJ51" i="14"/>
  <c r="AH51" i="14"/>
  <c r="AF51" i="14"/>
  <c r="AD51" i="14"/>
  <c r="AB51" i="14"/>
  <c r="Z51" i="14"/>
  <c r="X51" i="14"/>
  <c r="V51" i="14"/>
  <c r="T51" i="14"/>
  <c r="R51" i="14"/>
  <c r="N51" i="14"/>
  <c r="L51" i="14"/>
  <c r="J51" i="14"/>
  <c r="H51" i="14"/>
  <c r="F51" i="14"/>
  <c r="D51" i="14"/>
  <c r="BH50" i="14"/>
  <c r="BF50" i="14"/>
  <c r="BD50" i="14"/>
  <c r="BB50" i="14"/>
  <c r="AZ50" i="14"/>
  <c r="AX50" i="14"/>
  <c r="AV50" i="14"/>
  <c r="AT50" i="14"/>
  <c r="AR50" i="14"/>
  <c r="AN50" i="14"/>
  <c r="AL50" i="14"/>
  <c r="AJ50" i="14"/>
  <c r="AH50" i="14"/>
  <c r="AF50" i="14"/>
  <c r="AD50" i="14"/>
  <c r="AB50" i="14"/>
  <c r="Z50" i="14"/>
  <c r="X50" i="14"/>
  <c r="V50" i="14"/>
  <c r="T50" i="14"/>
  <c r="R50" i="14"/>
  <c r="N50" i="14"/>
  <c r="L50" i="14"/>
  <c r="J50" i="14"/>
  <c r="H50" i="14"/>
  <c r="F50" i="14"/>
  <c r="D50" i="14"/>
  <c r="BH49" i="14"/>
  <c r="BF49" i="14"/>
  <c r="BD49" i="14"/>
  <c r="BB49" i="14"/>
  <c r="AZ49" i="14"/>
  <c r="AX49" i="14"/>
  <c r="AV49" i="14"/>
  <c r="AT49" i="14"/>
  <c r="AR49" i="14"/>
  <c r="AN49" i="14"/>
  <c r="AL49" i="14"/>
  <c r="AJ49" i="14"/>
  <c r="AH49" i="14"/>
  <c r="AF49" i="14"/>
  <c r="AD49" i="14"/>
  <c r="AB49" i="14"/>
  <c r="Z49" i="14"/>
  <c r="X49" i="14"/>
  <c r="V49" i="14"/>
  <c r="T49" i="14"/>
  <c r="R49" i="14"/>
  <c r="N49" i="14"/>
  <c r="L49" i="14"/>
  <c r="J49" i="14"/>
  <c r="H49" i="14"/>
  <c r="F49" i="14"/>
  <c r="D49" i="14"/>
  <c r="BH48" i="14"/>
  <c r="BF48" i="14"/>
  <c r="BD48" i="14"/>
  <c r="BB48" i="14"/>
  <c r="AZ48" i="14"/>
  <c r="AX48" i="14"/>
  <c r="AV48" i="14"/>
  <c r="AT48" i="14"/>
  <c r="AR48" i="14"/>
  <c r="AN48" i="14"/>
  <c r="AL48" i="14"/>
  <c r="AJ48" i="14"/>
  <c r="AH48" i="14"/>
  <c r="AF48" i="14"/>
  <c r="AD48" i="14"/>
  <c r="AB48" i="14"/>
  <c r="Z48" i="14"/>
  <c r="X48" i="14"/>
  <c r="V48" i="14"/>
  <c r="T48" i="14"/>
  <c r="R48" i="14"/>
  <c r="N48" i="14"/>
  <c r="L48" i="14"/>
  <c r="J48" i="14"/>
  <c r="H48" i="14"/>
  <c r="F48" i="14"/>
  <c r="D48" i="14"/>
  <c r="BH47" i="14"/>
  <c r="BF47" i="14"/>
  <c r="BD47" i="14"/>
  <c r="BB47" i="14"/>
  <c r="AZ47" i="14"/>
  <c r="AX47" i="14"/>
  <c r="AV47" i="14"/>
  <c r="AT47" i="14"/>
  <c r="AR47" i="14"/>
  <c r="AN47" i="14"/>
  <c r="AL47" i="14"/>
  <c r="AJ47" i="14"/>
  <c r="AH47" i="14"/>
  <c r="AF47" i="14"/>
  <c r="AD47" i="14"/>
  <c r="AB47" i="14"/>
  <c r="Z47" i="14"/>
  <c r="X47" i="14"/>
  <c r="V47" i="14"/>
  <c r="T47" i="14"/>
  <c r="R47" i="14"/>
  <c r="N47" i="14"/>
  <c r="L47" i="14"/>
  <c r="J47" i="14"/>
  <c r="H47" i="14"/>
  <c r="F47" i="14"/>
  <c r="D47" i="14"/>
  <c r="BH46" i="14"/>
  <c r="BF46" i="14"/>
  <c r="BD46" i="14"/>
  <c r="BB46" i="14"/>
  <c r="AZ46" i="14"/>
  <c r="AX46" i="14"/>
  <c r="AV46" i="14"/>
  <c r="AT46" i="14"/>
  <c r="AR46" i="14"/>
  <c r="AN46" i="14"/>
  <c r="AL46" i="14"/>
  <c r="AJ46" i="14"/>
  <c r="AH46" i="14"/>
  <c r="AF46" i="14"/>
  <c r="AD46" i="14"/>
  <c r="AB46" i="14"/>
  <c r="Z46" i="14"/>
  <c r="X46" i="14"/>
  <c r="V46" i="14"/>
  <c r="T46" i="14"/>
  <c r="R46" i="14"/>
  <c r="N46" i="14"/>
  <c r="L46" i="14"/>
  <c r="J46" i="14"/>
  <c r="H46" i="14"/>
  <c r="F46" i="14"/>
  <c r="D46" i="14"/>
  <c r="BH45" i="14"/>
  <c r="BF45" i="14"/>
  <c r="BD45" i="14"/>
  <c r="AA37" i="18" s="1"/>
  <c r="BB45" i="14"/>
  <c r="AA43" i="18" s="1"/>
  <c r="AZ45" i="14"/>
  <c r="AX45" i="14"/>
  <c r="Z37" i="18" s="1"/>
  <c r="AV45" i="14"/>
  <c r="Z38" i="18" s="1"/>
  <c r="AT45" i="14"/>
  <c r="AR45" i="14"/>
  <c r="Z43" i="18" s="1"/>
  <c r="AN45" i="14"/>
  <c r="R40" i="18" s="1"/>
  <c r="AL45" i="14"/>
  <c r="R43" i="18" s="1"/>
  <c r="AJ45" i="14"/>
  <c r="Q37" i="18" s="1"/>
  <c r="AH45" i="14"/>
  <c r="Q38" i="18" s="1"/>
  <c r="AF45" i="14"/>
  <c r="Q40" i="18" s="1"/>
  <c r="AD45" i="14"/>
  <c r="Q43" i="18" s="1"/>
  <c r="AB45" i="14"/>
  <c r="M37" i="18" s="1"/>
  <c r="Z45" i="14"/>
  <c r="M40" i="18" s="1"/>
  <c r="X45" i="14"/>
  <c r="M43" i="18" s="1"/>
  <c r="V45" i="14"/>
  <c r="L37" i="18" s="1"/>
  <c r="T45" i="14"/>
  <c r="L38" i="18" s="1"/>
  <c r="R45" i="14"/>
  <c r="L40" i="18" s="1"/>
  <c r="N45" i="14"/>
  <c r="L45" i="14"/>
  <c r="G40" i="18" s="1"/>
  <c r="J45" i="14"/>
  <c r="H43" i="18" s="1"/>
  <c r="H45" i="14"/>
  <c r="G37" i="18" s="1"/>
  <c r="F45" i="14"/>
  <c r="G38" i="18" s="1"/>
  <c r="D45" i="14"/>
  <c r="G43" i="18" s="1"/>
  <c r="BH44" i="14"/>
  <c r="BF44" i="14"/>
  <c r="BD44" i="14"/>
  <c r="BB44" i="14"/>
  <c r="AZ44" i="14"/>
  <c r="AX44" i="14"/>
  <c r="AV44" i="14"/>
  <c r="AT44" i="14"/>
  <c r="AR44" i="14"/>
  <c r="AN44" i="14"/>
  <c r="AL44" i="14"/>
  <c r="AJ44" i="14"/>
  <c r="AH44" i="14"/>
  <c r="AF44" i="14"/>
  <c r="AD44" i="14"/>
  <c r="AB44" i="14"/>
  <c r="Z44" i="14"/>
  <c r="X44" i="14"/>
  <c r="V44" i="14"/>
  <c r="T44" i="14"/>
  <c r="R44" i="14"/>
  <c r="N44" i="14"/>
  <c r="L44" i="14"/>
  <c r="J44" i="14"/>
  <c r="H44" i="14"/>
  <c r="F44" i="14"/>
  <c r="D44" i="14"/>
  <c r="BH43" i="14"/>
  <c r="BF43" i="14"/>
  <c r="BD43" i="14"/>
  <c r="BB43" i="14"/>
  <c r="AZ43" i="14"/>
  <c r="AX43" i="14"/>
  <c r="AV43" i="14"/>
  <c r="AT43" i="14"/>
  <c r="AR43" i="14"/>
  <c r="AN43" i="14"/>
  <c r="AL43" i="14"/>
  <c r="AJ43" i="14"/>
  <c r="AH43" i="14"/>
  <c r="AF43" i="14"/>
  <c r="AD43" i="14"/>
  <c r="AB43" i="14"/>
  <c r="Z43" i="14"/>
  <c r="X43" i="14"/>
  <c r="V43" i="14"/>
  <c r="T43" i="14"/>
  <c r="R43" i="14"/>
  <c r="N43" i="14"/>
  <c r="L43" i="14"/>
  <c r="J43" i="14"/>
  <c r="H43" i="14"/>
  <c r="F43" i="14"/>
  <c r="D43" i="14"/>
  <c r="BH42" i="14"/>
  <c r="BF42" i="14"/>
  <c r="BD42" i="14"/>
  <c r="BB42" i="14"/>
  <c r="AZ42" i="14"/>
  <c r="AX42" i="14"/>
  <c r="AV42" i="14"/>
  <c r="AT42" i="14"/>
  <c r="AR42" i="14"/>
  <c r="AN42" i="14"/>
  <c r="AL42" i="14"/>
  <c r="AJ42" i="14"/>
  <c r="AH42" i="14"/>
  <c r="AF42" i="14"/>
  <c r="AD42" i="14"/>
  <c r="AB42" i="14"/>
  <c r="Z42" i="14"/>
  <c r="X42" i="14"/>
  <c r="V42" i="14"/>
  <c r="T42" i="14"/>
  <c r="R42" i="14"/>
  <c r="N42" i="14"/>
  <c r="L42" i="14"/>
  <c r="J42" i="14"/>
  <c r="H42" i="14"/>
  <c r="F42" i="14"/>
  <c r="D42" i="14"/>
  <c r="BH41" i="14"/>
  <c r="BF41" i="14"/>
  <c r="BD41" i="14"/>
  <c r="BB41" i="14"/>
  <c r="AZ41" i="14"/>
  <c r="AX41" i="14"/>
  <c r="AV41" i="14"/>
  <c r="AT41" i="14"/>
  <c r="AR41" i="14"/>
  <c r="AN41" i="14"/>
  <c r="AL41" i="14"/>
  <c r="AJ41" i="14"/>
  <c r="AH41" i="14"/>
  <c r="AF41" i="14"/>
  <c r="AD41" i="14"/>
  <c r="AB41" i="14"/>
  <c r="Z41" i="14"/>
  <c r="X41" i="14"/>
  <c r="V41" i="14"/>
  <c r="T41" i="14"/>
  <c r="R41" i="14"/>
  <c r="N41" i="14"/>
  <c r="L41" i="14"/>
  <c r="J41" i="14"/>
  <c r="H41" i="14"/>
  <c r="F41" i="14"/>
  <c r="D41" i="14"/>
  <c r="BH40" i="14"/>
  <c r="BF40" i="14"/>
  <c r="BD40" i="14"/>
  <c r="BB40" i="14"/>
  <c r="AZ40" i="14"/>
  <c r="AX40" i="14"/>
  <c r="AV40" i="14"/>
  <c r="AT40" i="14"/>
  <c r="AR40" i="14"/>
  <c r="AN40" i="14"/>
  <c r="AL40" i="14"/>
  <c r="AJ40" i="14"/>
  <c r="AH40" i="14"/>
  <c r="AF40" i="14"/>
  <c r="AD40" i="14"/>
  <c r="AB40" i="14"/>
  <c r="Z40" i="14"/>
  <c r="X40" i="14"/>
  <c r="V40" i="14"/>
  <c r="T40" i="14"/>
  <c r="R40" i="14"/>
  <c r="N40" i="14"/>
  <c r="L40" i="14"/>
  <c r="J40" i="14"/>
  <c r="H40" i="14"/>
  <c r="F40" i="14"/>
  <c r="D40" i="14"/>
  <c r="BH39" i="14"/>
  <c r="BF39" i="14"/>
  <c r="BD39" i="14"/>
  <c r="BB39" i="14"/>
  <c r="AZ39" i="14"/>
  <c r="AX39" i="14"/>
  <c r="AV39" i="14"/>
  <c r="AT39" i="14"/>
  <c r="AR39" i="14"/>
  <c r="AN39" i="14"/>
  <c r="AL39" i="14"/>
  <c r="AJ39" i="14"/>
  <c r="AH39" i="14"/>
  <c r="AF39" i="14"/>
  <c r="AD39" i="14"/>
  <c r="AB39" i="14"/>
  <c r="Z39" i="14"/>
  <c r="X39" i="14"/>
  <c r="V39" i="14"/>
  <c r="T39" i="14"/>
  <c r="R39" i="14"/>
  <c r="N39" i="14"/>
  <c r="L39" i="14"/>
  <c r="J39" i="14"/>
  <c r="H39" i="14"/>
  <c r="F39" i="14"/>
  <c r="D39" i="14"/>
  <c r="AM168" i="12"/>
  <c r="AK168" i="12"/>
  <c r="AI168" i="12"/>
  <c r="AG168" i="12"/>
  <c r="AA168" i="12"/>
  <c r="Y168" i="12"/>
  <c r="S168" i="12"/>
  <c r="M168" i="12"/>
  <c r="K168" i="12"/>
  <c r="I168" i="12"/>
  <c r="G168" i="12"/>
  <c r="AM136" i="12"/>
  <c r="AK136" i="12"/>
  <c r="AI136" i="12"/>
  <c r="AG136" i="12"/>
  <c r="AE136" i="12"/>
  <c r="AC136" i="12"/>
  <c r="W136" i="12"/>
  <c r="U136" i="12"/>
  <c r="S136" i="12"/>
  <c r="Q136" i="12"/>
  <c r="O136" i="12"/>
  <c r="M136" i="12"/>
  <c r="K136" i="12"/>
  <c r="I136" i="12"/>
  <c r="G136" i="12"/>
  <c r="E136" i="12"/>
  <c r="AM167" i="12"/>
  <c r="AK167" i="12"/>
  <c r="AI167" i="12"/>
  <c r="AG167" i="12"/>
  <c r="AE167" i="12"/>
  <c r="AC167" i="12"/>
  <c r="W167" i="12"/>
  <c r="U167" i="12"/>
  <c r="S167" i="12"/>
  <c r="Q167" i="12"/>
  <c r="O167" i="12"/>
  <c r="M167" i="12"/>
  <c r="K167" i="12"/>
  <c r="I167" i="12"/>
  <c r="G167" i="12"/>
  <c r="E167" i="12"/>
  <c r="AM166" i="12"/>
  <c r="AK166" i="12"/>
  <c r="AI166" i="12"/>
  <c r="AG166" i="12"/>
  <c r="AE166" i="12"/>
  <c r="AC166" i="12"/>
  <c r="W166" i="12"/>
  <c r="U166" i="12"/>
  <c r="S166" i="12"/>
  <c r="Q166" i="12"/>
  <c r="O166" i="12"/>
  <c r="M166" i="12"/>
  <c r="K166" i="12"/>
  <c r="I166" i="12"/>
  <c r="G166" i="12"/>
  <c r="E166" i="12"/>
  <c r="AM165" i="12"/>
  <c r="AK165" i="12"/>
  <c r="AI165" i="12"/>
  <c r="AG165" i="12"/>
  <c r="AE165" i="12"/>
  <c r="AC165" i="12"/>
  <c r="W165" i="12"/>
  <c r="U165" i="12"/>
  <c r="S165" i="12"/>
  <c r="Q165" i="12"/>
  <c r="O165" i="12"/>
  <c r="M165" i="12"/>
  <c r="K165" i="12"/>
  <c r="I165" i="12"/>
  <c r="G165" i="12"/>
  <c r="E165" i="12"/>
  <c r="AM164" i="12"/>
  <c r="AK164" i="12"/>
  <c r="AI164" i="12"/>
  <c r="AG164" i="12"/>
  <c r="AE164" i="12"/>
  <c r="AC164" i="12"/>
  <c r="W164" i="12"/>
  <c r="U164" i="12"/>
  <c r="S164" i="12"/>
  <c r="Q164" i="12"/>
  <c r="O164" i="12"/>
  <c r="M164" i="12"/>
  <c r="K164" i="12"/>
  <c r="I164" i="12"/>
  <c r="G164" i="12"/>
  <c r="E164" i="12"/>
  <c r="AM163" i="12"/>
  <c r="AK163" i="12"/>
  <c r="AI163" i="12"/>
  <c r="AG163" i="12"/>
  <c r="AE163" i="12"/>
  <c r="AC163" i="12"/>
  <c r="W163" i="12"/>
  <c r="U163" i="12"/>
  <c r="S163" i="12"/>
  <c r="Q163" i="12"/>
  <c r="O163" i="12"/>
  <c r="M163" i="12"/>
  <c r="K163" i="12"/>
  <c r="I163" i="12"/>
  <c r="G163" i="12"/>
  <c r="E163" i="12"/>
  <c r="AM162" i="12"/>
  <c r="AK162" i="12"/>
  <c r="AI162" i="12"/>
  <c r="AG162" i="12"/>
  <c r="AE162" i="12"/>
  <c r="AC162" i="12"/>
  <c r="W162" i="12"/>
  <c r="U162" i="12"/>
  <c r="S162" i="12"/>
  <c r="Q162" i="12"/>
  <c r="O162" i="12"/>
  <c r="M162" i="12"/>
  <c r="K162" i="12"/>
  <c r="I162" i="12"/>
  <c r="G162" i="12"/>
  <c r="E162" i="12"/>
  <c r="AM161" i="12"/>
  <c r="AK161" i="12"/>
  <c r="AI161" i="12"/>
  <c r="AG161" i="12"/>
  <c r="AE161" i="12"/>
  <c r="AC161" i="12"/>
  <c r="W161" i="12"/>
  <c r="U161" i="12"/>
  <c r="S161" i="12"/>
  <c r="Q161" i="12"/>
  <c r="O161" i="12"/>
  <c r="M161" i="12"/>
  <c r="K161" i="12"/>
  <c r="I161" i="12"/>
  <c r="G161" i="12"/>
  <c r="E161" i="12"/>
  <c r="AM160" i="12"/>
  <c r="AK160" i="12"/>
  <c r="AI160" i="12"/>
  <c r="AG160" i="12"/>
  <c r="AE160" i="12"/>
  <c r="AC160" i="12"/>
  <c r="W160" i="12"/>
  <c r="U160" i="12"/>
  <c r="S160" i="12"/>
  <c r="Q160" i="12"/>
  <c r="O160" i="12"/>
  <c r="M160" i="12"/>
  <c r="K160" i="12"/>
  <c r="I160" i="12"/>
  <c r="G160" i="12"/>
  <c r="E160" i="12"/>
  <c r="AM159" i="12"/>
  <c r="AK159" i="12"/>
  <c r="AI159" i="12"/>
  <c r="AG159" i="12"/>
  <c r="AE159" i="12"/>
  <c r="AC159" i="12"/>
  <c r="W159" i="12"/>
  <c r="U159" i="12"/>
  <c r="S159" i="12"/>
  <c r="Q159" i="12"/>
  <c r="O159" i="12"/>
  <c r="M159" i="12"/>
  <c r="K159" i="12"/>
  <c r="I159" i="12"/>
  <c r="G159" i="12"/>
  <c r="E159" i="12"/>
  <c r="AM158" i="12"/>
  <c r="AK158" i="12"/>
  <c r="AI158" i="12"/>
  <c r="AG158" i="12"/>
  <c r="AE158" i="12"/>
  <c r="AC158" i="12"/>
  <c r="W158" i="12"/>
  <c r="U158" i="12"/>
  <c r="S158" i="12"/>
  <c r="Q158" i="12"/>
  <c r="O158" i="12"/>
  <c r="M158" i="12"/>
  <c r="K158" i="12"/>
  <c r="I158" i="12"/>
  <c r="G158" i="12"/>
  <c r="E158" i="12"/>
  <c r="AM157" i="12"/>
  <c r="AK157" i="12"/>
  <c r="AI157" i="12"/>
  <c r="AG157" i="12"/>
  <c r="AE157" i="12"/>
  <c r="AC157" i="12"/>
  <c r="W157" i="12"/>
  <c r="U157" i="12"/>
  <c r="S157" i="12"/>
  <c r="Q157" i="12"/>
  <c r="O157" i="12"/>
  <c r="M157" i="12"/>
  <c r="K157" i="12"/>
  <c r="I157" i="12"/>
  <c r="G157" i="12"/>
  <c r="E157" i="12"/>
  <c r="AM156" i="12"/>
  <c r="AK156" i="12"/>
  <c r="AI156" i="12"/>
  <c r="AG156" i="12"/>
  <c r="AE156" i="12"/>
  <c r="AC156" i="12"/>
  <c r="W156" i="12"/>
  <c r="U156" i="12"/>
  <c r="S156" i="12"/>
  <c r="Q156" i="12"/>
  <c r="O156" i="12"/>
  <c r="M156" i="12"/>
  <c r="K156" i="12"/>
  <c r="I156" i="12"/>
  <c r="G156" i="12"/>
  <c r="E156" i="12"/>
  <c r="AM155" i="12"/>
  <c r="AK155" i="12"/>
  <c r="AG155" i="12"/>
  <c r="AE155" i="12"/>
  <c r="AC155" i="12"/>
  <c r="W155" i="12"/>
  <c r="U155" i="12"/>
  <c r="S155" i="12"/>
  <c r="Q155" i="12"/>
  <c r="O155" i="12"/>
  <c r="M155" i="12"/>
  <c r="K155" i="12"/>
  <c r="I155" i="12"/>
  <c r="G155" i="12"/>
  <c r="E155" i="12"/>
  <c r="AM154" i="12"/>
  <c r="AK154" i="12"/>
  <c r="AI154" i="12"/>
  <c r="AG154" i="12"/>
  <c r="AE154" i="12"/>
  <c r="AC154" i="12"/>
  <c r="W154" i="12"/>
  <c r="U154" i="12"/>
  <c r="S154" i="12"/>
  <c r="Q154" i="12"/>
  <c r="O154" i="12"/>
  <c r="M154" i="12"/>
  <c r="K154" i="12"/>
  <c r="AN154" i="12" s="1"/>
  <c r="I154" i="12"/>
  <c r="G154" i="12"/>
  <c r="E154" i="12"/>
  <c r="AM153" i="12"/>
  <c r="AK153" i="12"/>
  <c r="AI153" i="12"/>
  <c r="AG153" i="12"/>
  <c r="AE153" i="12"/>
  <c r="AC153" i="12"/>
  <c r="W153" i="12"/>
  <c r="U153" i="12"/>
  <c r="S153" i="12"/>
  <c r="Q153" i="12"/>
  <c r="O153" i="12"/>
  <c r="M153" i="12"/>
  <c r="K153" i="12"/>
  <c r="I153" i="12"/>
  <c r="G153" i="12"/>
  <c r="E153" i="12"/>
  <c r="AM152" i="12"/>
  <c r="AK152" i="12"/>
  <c r="AI152" i="12"/>
  <c r="AG152" i="12"/>
  <c r="AE152" i="12"/>
  <c r="AC152" i="12"/>
  <c r="W152" i="12"/>
  <c r="U152" i="12"/>
  <c r="S152" i="12"/>
  <c r="Q152" i="12"/>
  <c r="O152" i="12"/>
  <c r="M152" i="12"/>
  <c r="K152" i="12"/>
  <c r="I152" i="12"/>
  <c r="G152" i="12"/>
  <c r="E152" i="12"/>
  <c r="AM151" i="12"/>
  <c r="AK151" i="12"/>
  <c r="AI151" i="12"/>
  <c r="AG151" i="12"/>
  <c r="AE151" i="12"/>
  <c r="AC151" i="12"/>
  <c r="W151" i="12"/>
  <c r="U151" i="12"/>
  <c r="S151" i="12"/>
  <c r="Q151" i="12"/>
  <c r="O151" i="12"/>
  <c r="M151" i="12"/>
  <c r="K151" i="12"/>
  <c r="I151" i="12"/>
  <c r="G151" i="12"/>
  <c r="E151" i="12"/>
  <c r="AM150" i="12"/>
  <c r="AK150" i="12"/>
  <c r="AI150" i="12"/>
  <c r="AG150" i="12"/>
  <c r="AE150" i="12"/>
  <c r="AC150" i="12"/>
  <c r="W150" i="12"/>
  <c r="U150" i="12"/>
  <c r="S150" i="12"/>
  <c r="Q150" i="12"/>
  <c r="O150" i="12"/>
  <c r="M150" i="12"/>
  <c r="K150" i="12"/>
  <c r="I150" i="12"/>
  <c r="G150" i="12"/>
  <c r="E150" i="12"/>
  <c r="AM149" i="12"/>
  <c r="AK149" i="12"/>
  <c r="AI149" i="12"/>
  <c r="AG149" i="12"/>
  <c r="AE149" i="12"/>
  <c r="AC149" i="12"/>
  <c r="W149" i="12"/>
  <c r="U149" i="12"/>
  <c r="S149" i="12"/>
  <c r="Q149" i="12"/>
  <c r="O149" i="12"/>
  <c r="M149" i="12"/>
  <c r="K149" i="12"/>
  <c r="I149" i="12"/>
  <c r="G149" i="12"/>
  <c r="E149" i="12"/>
  <c r="AM148" i="12"/>
  <c r="AK148" i="12"/>
  <c r="AI148" i="12"/>
  <c r="AG148" i="12"/>
  <c r="AE148" i="12"/>
  <c r="AC148" i="12"/>
  <c r="W148" i="12"/>
  <c r="U148" i="12"/>
  <c r="S148" i="12"/>
  <c r="Q148" i="12"/>
  <c r="O148" i="12"/>
  <c r="M148" i="12"/>
  <c r="K148" i="12"/>
  <c r="I148" i="12"/>
  <c r="G148" i="12"/>
  <c r="E148" i="12"/>
  <c r="AM147" i="12"/>
  <c r="AK147" i="12"/>
  <c r="AI147" i="12"/>
  <c r="AG147" i="12"/>
  <c r="AE147" i="12"/>
  <c r="AC147" i="12"/>
  <c r="W147" i="12"/>
  <c r="U147" i="12"/>
  <c r="S147" i="12"/>
  <c r="Q147" i="12"/>
  <c r="O147" i="12"/>
  <c r="M147" i="12"/>
  <c r="K147" i="12"/>
  <c r="I147" i="12"/>
  <c r="G147" i="12"/>
  <c r="E147" i="12"/>
  <c r="AM146" i="12"/>
  <c r="AK146" i="12"/>
  <c r="AI146" i="12"/>
  <c r="AG146" i="12"/>
  <c r="AE146" i="12"/>
  <c r="AC146" i="12"/>
  <c r="W146" i="12"/>
  <c r="U146" i="12"/>
  <c r="S146" i="12"/>
  <c r="Q146" i="12"/>
  <c r="O146" i="12"/>
  <c r="M146" i="12"/>
  <c r="K146" i="12"/>
  <c r="I146" i="12"/>
  <c r="G146" i="12"/>
  <c r="E146" i="12"/>
  <c r="AM145" i="12"/>
  <c r="AK145" i="12"/>
  <c r="AI145" i="12"/>
  <c r="AG145" i="12"/>
  <c r="AE145" i="12"/>
  <c r="AC145" i="12"/>
  <c r="W145" i="12"/>
  <c r="U145" i="12"/>
  <c r="S145" i="12"/>
  <c r="Q145" i="12"/>
  <c r="O145" i="12"/>
  <c r="M145" i="12"/>
  <c r="K145" i="12"/>
  <c r="I145" i="12"/>
  <c r="G145" i="12"/>
  <c r="E145" i="12"/>
  <c r="AM144" i="12"/>
  <c r="AK144" i="12"/>
  <c r="AI144" i="12"/>
  <c r="AG144" i="12"/>
  <c r="AE144" i="12"/>
  <c r="AC144" i="12"/>
  <c r="W144" i="12"/>
  <c r="U144" i="12"/>
  <c r="S144" i="12"/>
  <c r="Q144" i="12"/>
  <c r="O144" i="12"/>
  <c r="M144" i="12"/>
  <c r="K144" i="12"/>
  <c r="I144" i="12"/>
  <c r="G144" i="12"/>
  <c r="E144" i="12"/>
  <c r="AM143" i="12"/>
  <c r="AK143" i="12"/>
  <c r="AI143" i="12"/>
  <c r="AG143" i="12"/>
  <c r="AE143" i="12"/>
  <c r="X43" i="18" s="1"/>
  <c r="AC143" i="12"/>
  <c r="X42" i="18" s="1"/>
  <c r="W143" i="12"/>
  <c r="U143" i="12"/>
  <c r="S143" i="12"/>
  <c r="Q143" i="12"/>
  <c r="O143" i="12"/>
  <c r="M143" i="12"/>
  <c r="K143" i="12"/>
  <c r="I143" i="12"/>
  <c r="G143" i="12"/>
  <c r="E143" i="12"/>
  <c r="AM142" i="12"/>
  <c r="AK142" i="12"/>
  <c r="AI142" i="12"/>
  <c r="AG142" i="12"/>
  <c r="AE142" i="12"/>
  <c r="AC142" i="12"/>
  <c r="W142" i="12"/>
  <c r="U142" i="12"/>
  <c r="S142" i="12"/>
  <c r="Q142" i="12"/>
  <c r="O142" i="12"/>
  <c r="M142" i="12"/>
  <c r="K142" i="12"/>
  <c r="I142" i="12"/>
  <c r="G142" i="12"/>
  <c r="E142" i="12"/>
  <c r="AM141" i="12"/>
  <c r="AK141" i="12"/>
  <c r="AI141" i="12"/>
  <c r="AG141" i="12"/>
  <c r="AE141" i="12"/>
  <c r="AC141" i="12"/>
  <c r="W141" i="12"/>
  <c r="U141" i="12"/>
  <c r="S141" i="12"/>
  <c r="Q141" i="12"/>
  <c r="O141" i="12"/>
  <c r="M141" i="12"/>
  <c r="K141" i="12"/>
  <c r="I141" i="12"/>
  <c r="G141" i="12"/>
  <c r="E141" i="12"/>
  <c r="AM140" i="12"/>
  <c r="AK140" i="12"/>
  <c r="AI140" i="12"/>
  <c r="AG140" i="12"/>
  <c r="AE140" i="12"/>
  <c r="AC140" i="12"/>
  <c r="W140" i="12"/>
  <c r="U140" i="12"/>
  <c r="S140" i="12"/>
  <c r="Q140" i="12"/>
  <c r="O140" i="12"/>
  <c r="M140" i="12"/>
  <c r="K140" i="12"/>
  <c r="I140" i="12"/>
  <c r="G140" i="12"/>
  <c r="E140" i="12"/>
  <c r="AM139" i="12"/>
  <c r="AK139" i="12"/>
  <c r="AI139" i="12"/>
  <c r="AG139" i="12"/>
  <c r="AE139" i="12"/>
  <c r="AC139" i="12"/>
  <c r="W139" i="12"/>
  <c r="U139" i="12"/>
  <c r="S139" i="12"/>
  <c r="Q139" i="12"/>
  <c r="O139" i="12"/>
  <c r="M139" i="12"/>
  <c r="K139" i="12"/>
  <c r="I139" i="12"/>
  <c r="G139" i="12"/>
  <c r="E139" i="12"/>
  <c r="AM138" i="12"/>
  <c r="AK138" i="12"/>
  <c r="AI138" i="12"/>
  <c r="AG138" i="12"/>
  <c r="AE138" i="12"/>
  <c r="AC138" i="12"/>
  <c r="W138" i="12"/>
  <c r="U138" i="12"/>
  <c r="S138" i="12"/>
  <c r="Q138" i="12"/>
  <c r="O138" i="12"/>
  <c r="M138" i="12"/>
  <c r="K138" i="12"/>
  <c r="I138" i="12"/>
  <c r="G138" i="12"/>
  <c r="E138" i="12"/>
  <c r="AM137" i="12"/>
  <c r="AK137" i="12"/>
  <c r="AI137" i="12"/>
  <c r="AG137" i="12"/>
  <c r="AE137" i="12"/>
  <c r="AC137" i="12"/>
  <c r="W137" i="12"/>
  <c r="U137" i="12"/>
  <c r="S137" i="12"/>
  <c r="Q137" i="12"/>
  <c r="O137" i="12"/>
  <c r="M137" i="12"/>
  <c r="K137" i="12"/>
  <c r="I137" i="12"/>
  <c r="G137" i="12"/>
  <c r="E137" i="12"/>
  <c r="X136" i="11"/>
  <c r="V136" i="11"/>
  <c r="T136" i="11"/>
  <c r="R136" i="11"/>
  <c r="P136" i="11"/>
  <c r="N136" i="11"/>
  <c r="L136" i="11"/>
  <c r="J136" i="11"/>
  <c r="H136" i="11"/>
  <c r="F136" i="11"/>
  <c r="D136" i="11"/>
  <c r="Z167" i="11"/>
  <c r="X166" i="11"/>
  <c r="V166" i="11"/>
  <c r="T166" i="11"/>
  <c r="R166" i="11"/>
  <c r="P166" i="11"/>
  <c r="L166" i="11"/>
  <c r="J166" i="11"/>
  <c r="H166" i="11"/>
  <c r="F166" i="11"/>
  <c r="D166" i="11"/>
  <c r="X165" i="11"/>
  <c r="V165" i="11"/>
  <c r="T165" i="11"/>
  <c r="R165" i="11"/>
  <c r="P165" i="11"/>
  <c r="L165" i="11"/>
  <c r="J165" i="11"/>
  <c r="H165" i="11"/>
  <c r="F165" i="11"/>
  <c r="D165" i="11"/>
  <c r="X164" i="11"/>
  <c r="V164" i="11"/>
  <c r="T164" i="11"/>
  <c r="R164" i="11"/>
  <c r="P164" i="11"/>
  <c r="L164" i="11"/>
  <c r="J164" i="11"/>
  <c r="H164" i="11"/>
  <c r="F164" i="11"/>
  <c r="D164" i="11"/>
  <c r="X163" i="11"/>
  <c r="V163" i="11"/>
  <c r="T163" i="11"/>
  <c r="R163" i="11"/>
  <c r="P163" i="11"/>
  <c r="L163" i="11"/>
  <c r="J163" i="11"/>
  <c r="H163" i="11"/>
  <c r="F163" i="11"/>
  <c r="D163" i="11"/>
  <c r="X162" i="11"/>
  <c r="V162" i="11"/>
  <c r="T162" i="11"/>
  <c r="R162" i="11"/>
  <c r="P162" i="11"/>
  <c r="L162" i="11"/>
  <c r="J162" i="11"/>
  <c r="H162" i="11"/>
  <c r="F162" i="11"/>
  <c r="D162" i="11"/>
  <c r="X161" i="11"/>
  <c r="V161" i="11"/>
  <c r="T161" i="11"/>
  <c r="R161" i="11"/>
  <c r="P161" i="11"/>
  <c r="L161" i="11"/>
  <c r="J161" i="11"/>
  <c r="H161" i="11"/>
  <c r="F161" i="11"/>
  <c r="D161" i="11"/>
  <c r="X160" i="11"/>
  <c r="V160" i="11"/>
  <c r="T160" i="11"/>
  <c r="R160" i="11"/>
  <c r="P160" i="11"/>
  <c r="L160" i="11"/>
  <c r="J160" i="11"/>
  <c r="H160" i="11"/>
  <c r="F160" i="11"/>
  <c r="D160" i="11"/>
  <c r="X159" i="11"/>
  <c r="V159" i="11"/>
  <c r="T159" i="11"/>
  <c r="R159" i="11"/>
  <c r="P159" i="11"/>
  <c r="L159" i="11"/>
  <c r="J159" i="11"/>
  <c r="H159" i="11"/>
  <c r="F159" i="11"/>
  <c r="D159" i="11"/>
  <c r="X158" i="11"/>
  <c r="V158" i="11"/>
  <c r="T158" i="11"/>
  <c r="R158" i="11"/>
  <c r="P158" i="11"/>
  <c r="L158" i="11"/>
  <c r="J158" i="11"/>
  <c r="H158" i="11"/>
  <c r="F158" i="11"/>
  <c r="D158" i="11"/>
  <c r="X157" i="11"/>
  <c r="V157" i="11"/>
  <c r="T157" i="11"/>
  <c r="R157" i="11"/>
  <c r="P157" i="11"/>
  <c r="L157" i="11"/>
  <c r="J157" i="11"/>
  <c r="H157" i="11"/>
  <c r="F157" i="11"/>
  <c r="D157" i="11"/>
  <c r="X156" i="11"/>
  <c r="V156" i="11"/>
  <c r="T156" i="11"/>
  <c r="R156" i="11"/>
  <c r="P156" i="11"/>
  <c r="L156" i="11"/>
  <c r="J156" i="11"/>
  <c r="H156" i="11"/>
  <c r="F156" i="11"/>
  <c r="D156" i="11"/>
  <c r="X155" i="11"/>
  <c r="V155" i="11"/>
  <c r="T155" i="11"/>
  <c r="R155" i="11"/>
  <c r="P155" i="11"/>
  <c r="L155" i="11"/>
  <c r="J155" i="11"/>
  <c r="H155" i="11"/>
  <c r="F155" i="11"/>
  <c r="D155" i="11"/>
  <c r="X154" i="11"/>
  <c r="V154" i="11"/>
  <c r="T154" i="11"/>
  <c r="R154" i="11"/>
  <c r="P154" i="11"/>
  <c r="L154" i="11"/>
  <c r="J154" i="11"/>
  <c r="H154" i="11"/>
  <c r="F154" i="11"/>
  <c r="D154" i="11"/>
  <c r="X153" i="11"/>
  <c r="V153" i="11"/>
  <c r="T153" i="11"/>
  <c r="R153" i="11"/>
  <c r="P153" i="11"/>
  <c r="L153" i="11"/>
  <c r="J153" i="11"/>
  <c r="H153" i="11"/>
  <c r="F153" i="11"/>
  <c r="D153" i="11"/>
  <c r="X152" i="11"/>
  <c r="V152" i="11"/>
  <c r="T152" i="11"/>
  <c r="R152" i="11"/>
  <c r="P152" i="11"/>
  <c r="L152" i="11"/>
  <c r="J152" i="11"/>
  <c r="H152" i="11"/>
  <c r="F152" i="11"/>
  <c r="D152" i="11"/>
  <c r="X151" i="11"/>
  <c r="V151" i="11"/>
  <c r="T151" i="11"/>
  <c r="R151" i="11"/>
  <c r="P151" i="11"/>
  <c r="L151" i="11"/>
  <c r="J151" i="11"/>
  <c r="H151" i="11"/>
  <c r="F151" i="11"/>
  <c r="D151" i="11"/>
  <c r="X150" i="11"/>
  <c r="V150" i="11"/>
  <c r="T150" i="11"/>
  <c r="R150" i="11"/>
  <c r="P150" i="11"/>
  <c r="L150" i="11"/>
  <c r="J150" i="11"/>
  <c r="H150" i="11"/>
  <c r="F150" i="11"/>
  <c r="D150" i="11"/>
  <c r="X149" i="11"/>
  <c r="V149" i="11"/>
  <c r="T149" i="11"/>
  <c r="R149" i="11"/>
  <c r="P149" i="11"/>
  <c r="L149" i="11"/>
  <c r="J149" i="11"/>
  <c r="H149" i="11"/>
  <c r="F149" i="11"/>
  <c r="D149" i="11"/>
  <c r="X148" i="11"/>
  <c r="V148" i="11"/>
  <c r="T148" i="11"/>
  <c r="R148" i="11"/>
  <c r="P148" i="11"/>
  <c r="L148" i="11"/>
  <c r="J148" i="11"/>
  <c r="H148" i="11"/>
  <c r="F148" i="11"/>
  <c r="D148" i="11"/>
  <c r="X147" i="11"/>
  <c r="V147" i="11"/>
  <c r="T147" i="11"/>
  <c r="R147" i="11"/>
  <c r="P147" i="11"/>
  <c r="L147" i="11"/>
  <c r="J147" i="11"/>
  <c r="H147" i="11"/>
  <c r="F147" i="11"/>
  <c r="D147" i="11"/>
  <c r="X146" i="11"/>
  <c r="V146" i="11"/>
  <c r="T146" i="11"/>
  <c r="R146" i="11"/>
  <c r="P146" i="11"/>
  <c r="L146" i="11"/>
  <c r="J146" i="11"/>
  <c r="H146" i="11"/>
  <c r="F146" i="11"/>
  <c r="D146" i="11"/>
  <c r="X145" i="11"/>
  <c r="V145" i="11"/>
  <c r="T145" i="11"/>
  <c r="R145" i="11"/>
  <c r="P145" i="11"/>
  <c r="L145" i="11"/>
  <c r="J145" i="11"/>
  <c r="H145" i="11"/>
  <c r="F145" i="11"/>
  <c r="D145" i="11"/>
  <c r="X144" i="11"/>
  <c r="V144" i="11"/>
  <c r="T144" i="11"/>
  <c r="R144" i="11"/>
  <c r="P144" i="11"/>
  <c r="N144" i="11"/>
  <c r="V142" i="11"/>
  <c r="R142" i="11"/>
  <c r="X141" i="11"/>
  <c r="V141" i="11"/>
  <c r="T141" i="11"/>
  <c r="R141" i="11"/>
  <c r="P141" i="11"/>
  <c r="N141" i="11"/>
  <c r="L141" i="11"/>
  <c r="X140" i="11"/>
  <c r="V140" i="11"/>
  <c r="T140" i="11"/>
  <c r="R140" i="11"/>
  <c r="P140" i="11"/>
  <c r="N140" i="11"/>
  <c r="L140" i="11"/>
  <c r="J140" i="11"/>
  <c r="H140" i="11"/>
  <c r="D140" i="11"/>
  <c r="X139" i="11"/>
  <c r="V139" i="11"/>
  <c r="T139" i="11"/>
  <c r="R139" i="11"/>
  <c r="P139" i="11"/>
  <c r="N139" i="11"/>
  <c r="L139" i="11"/>
  <c r="J139" i="11"/>
  <c r="H139" i="11"/>
  <c r="F139" i="11"/>
  <c r="D139" i="11"/>
  <c r="X138" i="11"/>
  <c r="V138" i="11"/>
  <c r="T138" i="11"/>
  <c r="R138" i="11"/>
  <c r="P138" i="11"/>
  <c r="N138" i="11"/>
  <c r="L138" i="11"/>
  <c r="J138" i="11"/>
  <c r="H138" i="11"/>
  <c r="F138" i="11"/>
  <c r="D138" i="11"/>
  <c r="X137" i="11"/>
  <c r="V137" i="11"/>
  <c r="T137" i="11"/>
  <c r="R137" i="11"/>
  <c r="P137" i="11"/>
  <c r="N137" i="11"/>
  <c r="L137" i="11"/>
  <c r="J137" i="11"/>
  <c r="H137" i="11"/>
  <c r="F137" i="11"/>
  <c r="D137" i="11"/>
  <c r="X136" i="10"/>
  <c r="V136" i="10"/>
  <c r="T136" i="10"/>
  <c r="R136" i="10"/>
  <c r="P136" i="10"/>
  <c r="N136" i="10"/>
  <c r="L136" i="10"/>
  <c r="J136" i="10"/>
  <c r="H136" i="10"/>
  <c r="F136" i="10"/>
  <c r="D136" i="10"/>
  <c r="X167" i="10"/>
  <c r="V167" i="10"/>
  <c r="T167" i="10"/>
  <c r="Z167" i="10" s="1"/>
  <c r="R167" i="10"/>
  <c r="P167" i="10"/>
  <c r="N167" i="10"/>
  <c r="L167" i="10"/>
  <c r="J167" i="10"/>
  <c r="H167" i="10"/>
  <c r="F167" i="10"/>
  <c r="D167" i="10"/>
  <c r="X166" i="10"/>
  <c r="V166" i="10"/>
  <c r="T166" i="10"/>
  <c r="R166" i="10"/>
  <c r="P166" i="10"/>
  <c r="N166" i="10"/>
  <c r="L166" i="10"/>
  <c r="J166" i="10"/>
  <c r="H166" i="10"/>
  <c r="F166" i="10"/>
  <c r="D166" i="10"/>
  <c r="X165" i="10"/>
  <c r="V165" i="10"/>
  <c r="T165" i="10"/>
  <c r="R165" i="10"/>
  <c r="P165" i="10"/>
  <c r="N165" i="10"/>
  <c r="L165" i="10"/>
  <c r="J165" i="10"/>
  <c r="H165" i="10"/>
  <c r="F165" i="10"/>
  <c r="D165" i="10"/>
  <c r="X164" i="10"/>
  <c r="V164" i="10"/>
  <c r="T164" i="10"/>
  <c r="R164" i="10"/>
  <c r="P164" i="10"/>
  <c r="N164" i="10"/>
  <c r="L164" i="10"/>
  <c r="J164" i="10"/>
  <c r="H164" i="10"/>
  <c r="F164" i="10"/>
  <c r="D164" i="10"/>
  <c r="X163" i="10"/>
  <c r="V163" i="10"/>
  <c r="T163" i="10"/>
  <c r="R163" i="10"/>
  <c r="P163" i="10"/>
  <c r="N163" i="10"/>
  <c r="L163" i="10"/>
  <c r="J163" i="10"/>
  <c r="H163" i="10"/>
  <c r="F163" i="10"/>
  <c r="D163" i="10"/>
  <c r="X162" i="10"/>
  <c r="V162" i="10"/>
  <c r="T162" i="10"/>
  <c r="R162" i="10"/>
  <c r="P162" i="10"/>
  <c r="N162" i="10"/>
  <c r="L162" i="10"/>
  <c r="J162" i="10"/>
  <c r="H162" i="10"/>
  <c r="F162" i="10"/>
  <c r="D162" i="10"/>
  <c r="X161" i="10"/>
  <c r="V161" i="10"/>
  <c r="T161" i="10"/>
  <c r="R161" i="10"/>
  <c r="P161" i="10"/>
  <c r="N161" i="10"/>
  <c r="L161" i="10"/>
  <c r="J161" i="10"/>
  <c r="H161" i="10"/>
  <c r="F161" i="10"/>
  <c r="D161" i="10"/>
  <c r="X160" i="10"/>
  <c r="V160" i="10"/>
  <c r="T160" i="10"/>
  <c r="R160" i="10"/>
  <c r="P160" i="10"/>
  <c r="N160" i="10"/>
  <c r="L160" i="10"/>
  <c r="J160" i="10"/>
  <c r="H160" i="10"/>
  <c r="F160" i="10"/>
  <c r="D160" i="10"/>
  <c r="X159" i="10"/>
  <c r="V159" i="10"/>
  <c r="T159" i="10"/>
  <c r="R159" i="10"/>
  <c r="P159" i="10"/>
  <c r="N159" i="10"/>
  <c r="L159" i="10"/>
  <c r="J159" i="10"/>
  <c r="H159" i="10"/>
  <c r="F159" i="10"/>
  <c r="D159" i="10"/>
  <c r="X158" i="10"/>
  <c r="V158" i="10"/>
  <c r="T158" i="10"/>
  <c r="R158" i="10"/>
  <c r="P158" i="10"/>
  <c r="N158" i="10"/>
  <c r="L158" i="10"/>
  <c r="J158" i="10"/>
  <c r="H158" i="10"/>
  <c r="F158" i="10"/>
  <c r="D158" i="10"/>
  <c r="X157" i="10"/>
  <c r="V157" i="10"/>
  <c r="T157" i="10"/>
  <c r="R157" i="10"/>
  <c r="P157" i="10"/>
  <c r="N157" i="10"/>
  <c r="L157" i="10"/>
  <c r="J157" i="10"/>
  <c r="H157" i="10"/>
  <c r="F157" i="10"/>
  <c r="D157" i="10"/>
  <c r="X156" i="10"/>
  <c r="V156" i="10"/>
  <c r="T156" i="10"/>
  <c r="R156" i="10"/>
  <c r="P156" i="10"/>
  <c r="N156" i="10"/>
  <c r="L156" i="10"/>
  <c r="J156" i="10"/>
  <c r="H156" i="10"/>
  <c r="F156" i="10"/>
  <c r="D156" i="10"/>
  <c r="X155" i="10"/>
  <c r="V155" i="10"/>
  <c r="T155" i="10"/>
  <c r="R155" i="10"/>
  <c r="P155" i="10"/>
  <c r="N155" i="10"/>
  <c r="L155" i="10"/>
  <c r="J155" i="10"/>
  <c r="H155" i="10"/>
  <c r="F155" i="10"/>
  <c r="D155" i="10"/>
  <c r="X154" i="10"/>
  <c r="V154" i="10"/>
  <c r="T154" i="10"/>
  <c r="R154" i="10"/>
  <c r="P154" i="10"/>
  <c r="N154" i="10"/>
  <c r="L154" i="10"/>
  <c r="J154" i="10"/>
  <c r="H154" i="10"/>
  <c r="F154" i="10"/>
  <c r="D154" i="10"/>
  <c r="X153" i="10"/>
  <c r="V153" i="10"/>
  <c r="T153" i="10"/>
  <c r="R153" i="10"/>
  <c r="P153" i="10"/>
  <c r="N153" i="10"/>
  <c r="L153" i="10"/>
  <c r="J153" i="10"/>
  <c r="H153" i="10"/>
  <c r="F153" i="10"/>
  <c r="D153" i="10"/>
  <c r="X152" i="10"/>
  <c r="V152" i="10"/>
  <c r="T152" i="10"/>
  <c r="R152" i="10"/>
  <c r="P152" i="10"/>
  <c r="N152" i="10"/>
  <c r="L152" i="10"/>
  <c r="J152" i="10"/>
  <c r="H152" i="10"/>
  <c r="F152" i="10"/>
  <c r="D152" i="10"/>
  <c r="X151" i="10"/>
  <c r="V151" i="10"/>
  <c r="T151" i="10"/>
  <c r="Z151" i="10" s="1"/>
  <c r="R151" i="10"/>
  <c r="P151" i="10"/>
  <c r="N151" i="10"/>
  <c r="L151" i="10"/>
  <c r="J151" i="10"/>
  <c r="H151" i="10"/>
  <c r="F151" i="10"/>
  <c r="D151" i="10"/>
  <c r="X150" i="10"/>
  <c r="V150" i="10"/>
  <c r="T150" i="10"/>
  <c r="R150" i="10"/>
  <c r="P150" i="10"/>
  <c r="N150" i="10"/>
  <c r="L150" i="10"/>
  <c r="J150" i="10"/>
  <c r="H150" i="10"/>
  <c r="F150" i="10"/>
  <c r="D150" i="10"/>
  <c r="X149" i="10"/>
  <c r="V149" i="10"/>
  <c r="T149" i="10"/>
  <c r="R149" i="10"/>
  <c r="P149" i="10"/>
  <c r="N149" i="10"/>
  <c r="L149" i="10"/>
  <c r="J149" i="10"/>
  <c r="H149" i="10"/>
  <c r="F149" i="10"/>
  <c r="D149" i="10"/>
  <c r="X148" i="10"/>
  <c r="V148" i="10"/>
  <c r="T148" i="10"/>
  <c r="R148" i="10"/>
  <c r="P148" i="10"/>
  <c r="N148" i="10"/>
  <c r="L148" i="10"/>
  <c r="J148" i="10"/>
  <c r="H148" i="10"/>
  <c r="F148" i="10"/>
  <c r="D148" i="10"/>
  <c r="X147" i="10"/>
  <c r="V147" i="10"/>
  <c r="T147" i="10"/>
  <c r="Z147" i="10" s="1"/>
  <c r="R147" i="10"/>
  <c r="P147" i="10"/>
  <c r="N147" i="10"/>
  <c r="L147" i="10"/>
  <c r="J147" i="10"/>
  <c r="H147" i="10"/>
  <c r="F147" i="10"/>
  <c r="D147" i="10"/>
  <c r="X146" i="10"/>
  <c r="V146" i="10"/>
  <c r="T146" i="10"/>
  <c r="R146" i="10"/>
  <c r="P146" i="10"/>
  <c r="N146" i="10"/>
  <c r="L146" i="10"/>
  <c r="J146" i="10"/>
  <c r="H146" i="10"/>
  <c r="F146" i="10"/>
  <c r="D146" i="10"/>
  <c r="X145" i="10"/>
  <c r="V145" i="10"/>
  <c r="T145" i="10"/>
  <c r="R145" i="10"/>
  <c r="P145" i="10"/>
  <c r="N145" i="10"/>
  <c r="L145" i="10"/>
  <c r="J145" i="10"/>
  <c r="H145" i="10"/>
  <c r="F145" i="10"/>
  <c r="D145" i="10"/>
  <c r="X144" i="10"/>
  <c r="V144" i="10"/>
  <c r="T144" i="10"/>
  <c r="R144" i="10"/>
  <c r="P144" i="10"/>
  <c r="N144" i="10"/>
  <c r="L144" i="10"/>
  <c r="J144" i="10"/>
  <c r="H144" i="10"/>
  <c r="F144" i="10"/>
  <c r="D144" i="10"/>
  <c r="X143" i="10"/>
  <c r="V143" i="10"/>
  <c r="T143" i="10"/>
  <c r="R143" i="10"/>
  <c r="P143" i="10"/>
  <c r="N143" i="10"/>
  <c r="L143" i="10"/>
  <c r="J143" i="10"/>
  <c r="H143" i="10"/>
  <c r="F143" i="10"/>
  <c r="D143" i="10"/>
  <c r="X142" i="10"/>
  <c r="V142" i="10"/>
  <c r="T142" i="10"/>
  <c r="R142" i="10"/>
  <c r="P142" i="10"/>
  <c r="N142" i="10"/>
  <c r="L142" i="10"/>
  <c r="J142" i="10"/>
  <c r="H142" i="10"/>
  <c r="F142" i="10"/>
  <c r="D142" i="10"/>
  <c r="X141" i="10"/>
  <c r="V141" i="10"/>
  <c r="T141" i="10"/>
  <c r="R141" i="10"/>
  <c r="P141" i="10"/>
  <c r="N141" i="10"/>
  <c r="L141" i="10"/>
  <c r="J141" i="10"/>
  <c r="H141" i="10"/>
  <c r="F141" i="10"/>
  <c r="D141" i="10"/>
  <c r="X140" i="10"/>
  <c r="V140" i="10"/>
  <c r="T140" i="10"/>
  <c r="R140" i="10"/>
  <c r="P140" i="10"/>
  <c r="N140" i="10"/>
  <c r="L140" i="10"/>
  <c r="J140" i="10"/>
  <c r="H140" i="10"/>
  <c r="F140" i="10"/>
  <c r="D140" i="10"/>
  <c r="X139" i="10"/>
  <c r="V139" i="10"/>
  <c r="T139" i="10"/>
  <c r="R139" i="10"/>
  <c r="P139" i="10"/>
  <c r="N139" i="10"/>
  <c r="L139" i="10"/>
  <c r="J139" i="10"/>
  <c r="H139" i="10"/>
  <c r="F139" i="10"/>
  <c r="D139" i="10"/>
  <c r="X138" i="10"/>
  <c r="V138" i="10"/>
  <c r="T138" i="10"/>
  <c r="R138" i="10"/>
  <c r="P138" i="10"/>
  <c r="N138" i="10"/>
  <c r="L138" i="10"/>
  <c r="J138" i="10"/>
  <c r="H138" i="10"/>
  <c r="F138" i="10"/>
  <c r="D138" i="10"/>
  <c r="X137" i="10"/>
  <c r="V137" i="10"/>
  <c r="T137" i="10"/>
  <c r="R137" i="10"/>
  <c r="P137" i="10"/>
  <c r="N137" i="10"/>
  <c r="L137" i="10"/>
  <c r="J137" i="10"/>
  <c r="H137" i="10"/>
  <c r="F137" i="10"/>
  <c r="D137" i="10"/>
  <c r="X136" i="8"/>
  <c r="V136" i="8"/>
  <c r="T136" i="8"/>
  <c r="R136" i="8"/>
  <c r="P136" i="8"/>
  <c r="N136" i="8"/>
  <c r="L136" i="8"/>
  <c r="J136" i="8"/>
  <c r="H136" i="8"/>
  <c r="F136" i="8"/>
  <c r="D136" i="8"/>
  <c r="X167" i="8"/>
  <c r="V167" i="8"/>
  <c r="T167" i="8"/>
  <c r="R167" i="8"/>
  <c r="P167" i="8"/>
  <c r="N167" i="8"/>
  <c r="L167" i="8"/>
  <c r="J167" i="8"/>
  <c r="H167" i="8"/>
  <c r="F167" i="8"/>
  <c r="D167" i="8"/>
  <c r="X166" i="8"/>
  <c r="V166" i="8"/>
  <c r="T166" i="8"/>
  <c r="R166" i="8"/>
  <c r="P166" i="8"/>
  <c r="N166" i="8"/>
  <c r="L166" i="8"/>
  <c r="J166" i="8"/>
  <c r="H166" i="8"/>
  <c r="F166" i="8"/>
  <c r="D166" i="8"/>
  <c r="X165" i="8"/>
  <c r="V165" i="8"/>
  <c r="T165" i="8"/>
  <c r="R165" i="8"/>
  <c r="P165" i="8"/>
  <c r="N165" i="8"/>
  <c r="L165" i="8"/>
  <c r="J165" i="8"/>
  <c r="H165" i="8"/>
  <c r="F165" i="8"/>
  <c r="D165" i="8"/>
  <c r="X164" i="8"/>
  <c r="V164" i="8"/>
  <c r="T164" i="8"/>
  <c r="R164" i="8"/>
  <c r="P164" i="8"/>
  <c r="N164" i="8"/>
  <c r="L164" i="8"/>
  <c r="J164" i="8"/>
  <c r="H164" i="8"/>
  <c r="F164" i="8"/>
  <c r="D164" i="8"/>
  <c r="X163" i="8"/>
  <c r="V163" i="8"/>
  <c r="T163" i="8"/>
  <c r="R163" i="8"/>
  <c r="P163" i="8"/>
  <c r="N163" i="8"/>
  <c r="L163" i="8"/>
  <c r="J163" i="8"/>
  <c r="H163" i="8"/>
  <c r="F163" i="8"/>
  <c r="D163" i="8"/>
  <c r="X162" i="8"/>
  <c r="V162" i="8"/>
  <c r="T162" i="8"/>
  <c r="R162" i="8"/>
  <c r="P162" i="8"/>
  <c r="N162" i="8"/>
  <c r="L162" i="8"/>
  <c r="J162" i="8"/>
  <c r="H162" i="8"/>
  <c r="F162" i="8"/>
  <c r="D162" i="8"/>
  <c r="X161" i="8"/>
  <c r="V161" i="8"/>
  <c r="T161" i="8"/>
  <c r="R161" i="8"/>
  <c r="P161" i="8"/>
  <c r="N161" i="8"/>
  <c r="L161" i="8"/>
  <c r="J161" i="8"/>
  <c r="H161" i="8"/>
  <c r="F161" i="8"/>
  <c r="D161" i="8"/>
  <c r="X160" i="8"/>
  <c r="V160" i="8"/>
  <c r="T160" i="8"/>
  <c r="R160" i="8"/>
  <c r="P160" i="8"/>
  <c r="N160" i="8"/>
  <c r="L160" i="8"/>
  <c r="J160" i="8"/>
  <c r="H160" i="8"/>
  <c r="F160" i="8"/>
  <c r="D160" i="8"/>
  <c r="X159" i="8"/>
  <c r="V159" i="8"/>
  <c r="T159" i="8"/>
  <c r="R159" i="8"/>
  <c r="P159" i="8"/>
  <c r="N159" i="8"/>
  <c r="L159" i="8"/>
  <c r="J159" i="8"/>
  <c r="H159" i="8"/>
  <c r="F159" i="8"/>
  <c r="D159" i="8"/>
  <c r="X158" i="8"/>
  <c r="V158" i="8"/>
  <c r="T158" i="8"/>
  <c r="R158" i="8"/>
  <c r="P158" i="8"/>
  <c r="N158" i="8"/>
  <c r="L158" i="8"/>
  <c r="J158" i="8"/>
  <c r="H158" i="8"/>
  <c r="F158" i="8"/>
  <c r="D158" i="8"/>
  <c r="X157" i="8"/>
  <c r="V157" i="8"/>
  <c r="T157" i="8"/>
  <c r="R157" i="8"/>
  <c r="P157" i="8"/>
  <c r="N157" i="8"/>
  <c r="L157" i="8"/>
  <c r="J157" i="8"/>
  <c r="H157" i="8"/>
  <c r="F157" i="8"/>
  <c r="D157" i="8"/>
  <c r="X156" i="8"/>
  <c r="V156" i="8"/>
  <c r="T156" i="8"/>
  <c r="R156" i="8"/>
  <c r="P156" i="8"/>
  <c r="N156" i="8"/>
  <c r="L156" i="8"/>
  <c r="J156" i="8"/>
  <c r="H156" i="8"/>
  <c r="F156" i="8"/>
  <c r="D156" i="8"/>
  <c r="X155" i="8"/>
  <c r="V155" i="8"/>
  <c r="T155" i="8"/>
  <c r="R155" i="8"/>
  <c r="P155" i="8"/>
  <c r="N155" i="8"/>
  <c r="L155" i="8"/>
  <c r="J155" i="8"/>
  <c r="H155" i="8"/>
  <c r="F155" i="8"/>
  <c r="D155" i="8"/>
  <c r="X154" i="8"/>
  <c r="V154" i="8"/>
  <c r="T154" i="8"/>
  <c r="R154" i="8"/>
  <c r="P154" i="8"/>
  <c r="N154" i="8"/>
  <c r="L154" i="8"/>
  <c r="J154" i="8"/>
  <c r="H154" i="8"/>
  <c r="F154" i="8"/>
  <c r="D154" i="8"/>
  <c r="X153" i="8"/>
  <c r="V153" i="8"/>
  <c r="T153" i="8"/>
  <c r="R153" i="8"/>
  <c r="P153" i="8"/>
  <c r="N153" i="8"/>
  <c r="L153" i="8"/>
  <c r="J153" i="8"/>
  <c r="H153" i="8"/>
  <c r="F153" i="8"/>
  <c r="D153" i="8"/>
  <c r="X152" i="8"/>
  <c r="V152" i="8"/>
  <c r="T152" i="8"/>
  <c r="R152" i="8"/>
  <c r="P152" i="8"/>
  <c r="N152" i="8"/>
  <c r="L152" i="8"/>
  <c r="J152" i="8"/>
  <c r="H152" i="8"/>
  <c r="F152" i="8"/>
  <c r="D152" i="8"/>
  <c r="X151" i="8"/>
  <c r="V151" i="8"/>
  <c r="T151" i="8"/>
  <c r="R151" i="8"/>
  <c r="P151" i="8"/>
  <c r="N151" i="8"/>
  <c r="L151" i="8"/>
  <c r="J151" i="8"/>
  <c r="H151" i="8"/>
  <c r="F151" i="8"/>
  <c r="D151" i="8"/>
  <c r="X150" i="8"/>
  <c r="V150" i="8"/>
  <c r="T150" i="8"/>
  <c r="R150" i="8"/>
  <c r="P150" i="8"/>
  <c r="N150" i="8"/>
  <c r="L150" i="8"/>
  <c r="J150" i="8"/>
  <c r="H150" i="8"/>
  <c r="F150" i="8"/>
  <c r="D150" i="8"/>
  <c r="V149" i="8"/>
  <c r="T149" i="8"/>
  <c r="R149" i="8"/>
  <c r="P149" i="8"/>
  <c r="N149" i="8"/>
  <c r="L149" i="8"/>
  <c r="J149" i="8"/>
  <c r="H149" i="8"/>
  <c r="F149" i="8"/>
  <c r="D149" i="8"/>
  <c r="X148" i="8"/>
  <c r="V148" i="8"/>
  <c r="T148" i="8"/>
  <c r="R148" i="8"/>
  <c r="P148" i="8"/>
  <c r="N148" i="8"/>
  <c r="L148" i="8"/>
  <c r="J148" i="8"/>
  <c r="H148" i="8"/>
  <c r="F148" i="8"/>
  <c r="D148" i="8"/>
  <c r="X147" i="8"/>
  <c r="V147" i="8"/>
  <c r="T147" i="8"/>
  <c r="R147" i="8"/>
  <c r="P147" i="8"/>
  <c r="N147" i="8"/>
  <c r="L147" i="8"/>
  <c r="J147" i="8"/>
  <c r="H147" i="8"/>
  <c r="F147" i="8"/>
  <c r="D147" i="8"/>
  <c r="X146" i="8"/>
  <c r="V146" i="8"/>
  <c r="T146" i="8"/>
  <c r="R146" i="8"/>
  <c r="P146" i="8"/>
  <c r="N146" i="8"/>
  <c r="L146" i="8"/>
  <c r="J146" i="8"/>
  <c r="H146" i="8"/>
  <c r="F146" i="8"/>
  <c r="D146" i="8"/>
  <c r="X145" i="8"/>
  <c r="V145" i="8"/>
  <c r="T145" i="8"/>
  <c r="R145" i="8"/>
  <c r="P145" i="8"/>
  <c r="N145" i="8"/>
  <c r="L145" i="8"/>
  <c r="J145" i="8"/>
  <c r="H145" i="8"/>
  <c r="F145" i="8"/>
  <c r="D145" i="8"/>
  <c r="X144" i="8"/>
  <c r="V144" i="8"/>
  <c r="T144" i="8"/>
  <c r="R144" i="8"/>
  <c r="P144" i="8"/>
  <c r="N144" i="8"/>
  <c r="L144" i="8"/>
  <c r="J144" i="8"/>
  <c r="H144" i="8"/>
  <c r="F144" i="8"/>
  <c r="D144" i="8"/>
  <c r="X143" i="8"/>
  <c r="V143" i="8"/>
  <c r="T143" i="8"/>
  <c r="R143" i="8"/>
  <c r="P143" i="8"/>
  <c r="N143" i="8"/>
  <c r="L143" i="8"/>
  <c r="J143" i="8"/>
  <c r="H143" i="8"/>
  <c r="F143" i="8"/>
  <c r="D143" i="8"/>
  <c r="X142" i="8"/>
  <c r="V142" i="8"/>
  <c r="T142" i="8"/>
  <c r="R142" i="8"/>
  <c r="P142" i="8"/>
  <c r="N142" i="8"/>
  <c r="L142" i="8"/>
  <c r="J142" i="8"/>
  <c r="H142" i="8"/>
  <c r="F142" i="8"/>
  <c r="D142" i="8"/>
  <c r="X141" i="8"/>
  <c r="V141" i="8"/>
  <c r="T141" i="8"/>
  <c r="R141" i="8"/>
  <c r="P141" i="8"/>
  <c r="N141" i="8"/>
  <c r="L141" i="8"/>
  <c r="J141" i="8"/>
  <c r="H141" i="8"/>
  <c r="F141" i="8"/>
  <c r="D141" i="8"/>
  <c r="X140" i="8"/>
  <c r="V140" i="8"/>
  <c r="T140" i="8"/>
  <c r="R140" i="8"/>
  <c r="P140" i="8"/>
  <c r="N140" i="8"/>
  <c r="L140" i="8"/>
  <c r="J140" i="8"/>
  <c r="H140" i="8"/>
  <c r="F140" i="8"/>
  <c r="D140" i="8"/>
  <c r="X139" i="8"/>
  <c r="V139" i="8"/>
  <c r="T139" i="8"/>
  <c r="R139" i="8"/>
  <c r="P139" i="8"/>
  <c r="N139" i="8"/>
  <c r="L139" i="8"/>
  <c r="J139" i="8"/>
  <c r="H139" i="8"/>
  <c r="F139" i="8"/>
  <c r="D139" i="8"/>
  <c r="X138" i="8"/>
  <c r="V138" i="8"/>
  <c r="T138" i="8"/>
  <c r="R138" i="8"/>
  <c r="P138" i="8"/>
  <c r="N138" i="8"/>
  <c r="L138" i="8"/>
  <c r="J138" i="8"/>
  <c r="H138" i="8"/>
  <c r="F138" i="8"/>
  <c r="D138" i="8"/>
  <c r="X137" i="8"/>
  <c r="V137" i="8"/>
  <c r="T137" i="8"/>
  <c r="R137" i="8"/>
  <c r="P137" i="8"/>
  <c r="N137" i="8"/>
  <c r="L137" i="8"/>
  <c r="J137" i="8"/>
  <c r="H137" i="8"/>
  <c r="F137" i="8"/>
  <c r="D137" i="8"/>
  <c r="E169" i="6"/>
  <c r="G169" i="6"/>
  <c r="I169" i="6"/>
  <c r="K169" i="6"/>
  <c r="M169" i="6"/>
  <c r="O169" i="6"/>
  <c r="Q169" i="6"/>
  <c r="S169" i="6"/>
  <c r="U169" i="6"/>
  <c r="W169" i="6"/>
  <c r="Y169" i="6"/>
  <c r="AA169" i="6"/>
  <c r="AC169" i="6"/>
  <c r="AE169" i="6"/>
  <c r="AG169" i="6"/>
  <c r="AI169" i="6"/>
  <c r="AG138" i="6"/>
  <c r="AE138" i="6"/>
  <c r="AC138" i="6"/>
  <c r="AA138" i="6"/>
  <c r="Y138" i="6"/>
  <c r="W138" i="6"/>
  <c r="U138" i="6"/>
  <c r="S138" i="6"/>
  <c r="Q138" i="6"/>
  <c r="O138" i="6"/>
  <c r="M138" i="6"/>
  <c r="K138" i="6"/>
  <c r="I138" i="6"/>
  <c r="G138" i="6"/>
  <c r="E138" i="6"/>
  <c r="AI168" i="6"/>
  <c r="AG168" i="6"/>
  <c r="AE168" i="6"/>
  <c r="AC168" i="6"/>
  <c r="AA168" i="6"/>
  <c r="Y168" i="6"/>
  <c r="W168" i="6"/>
  <c r="U168" i="6"/>
  <c r="S168" i="6"/>
  <c r="Q168" i="6"/>
  <c r="O168" i="6"/>
  <c r="M168" i="6"/>
  <c r="K168" i="6"/>
  <c r="I168" i="6"/>
  <c r="G168" i="6"/>
  <c r="E168" i="6"/>
  <c r="AI167" i="6"/>
  <c r="AG167" i="6"/>
  <c r="AE167" i="6"/>
  <c r="AC167" i="6"/>
  <c r="AA167" i="6"/>
  <c r="Y167" i="6"/>
  <c r="W167" i="6"/>
  <c r="U167" i="6"/>
  <c r="S167" i="6"/>
  <c r="Q167" i="6"/>
  <c r="O167" i="6"/>
  <c r="M167" i="6"/>
  <c r="K167" i="6"/>
  <c r="I167" i="6"/>
  <c r="G167" i="6"/>
  <c r="E167" i="6"/>
  <c r="AI166" i="6"/>
  <c r="AG166" i="6"/>
  <c r="AE166" i="6"/>
  <c r="AC166" i="6"/>
  <c r="AA166" i="6"/>
  <c r="Y166" i="6"/>
  <c r="W166" i="6"/>
  <c r="U166" i="6"/>
  <c r="S166" i="6"/>
  <c r="Q166" i="6"/>
  <c r="O166" i="6"/>
  <c r="M166" i="6"/>
  <c r="K166" i="6"/>
  <c r="I166" i="6"/>
  <c r="G166" i="6"/>
  <c r="E166" i="6"/>
  <c r="AI165" i="6"/>
  <c r="AG165" i="6"/>
  <c r="AE165" i="6"/>
  <c r="AC165" i="6"/>
  <c r="AA165" i="6"/>
  <c r="Y165" i="6"/>
  <c r="W165" i="6"/>
  <c r="U165" i="6"/>
  <c r="S165" i="6"/>
  <c r="Q165" i="6"/>
  <c r="O165" i="6"/>
  <c r="M165" i="6"/>
  <c r="K165" i="6"/>
  <c r="I165" i="6"/>
  <c r="G165" i="6"/>
  <c r="E165" i="6"/>
  <c r="AI164" i="6"/>
  <c r="AG164" i="6"/>
  <c r="AE164" i="6"/>
  <c r="AC164" i="6"/>
  <c r="AA164" i="6"/>
  <c r="Y164" i="6"/>
  <c r="W164" i="6"/>
  <c r="U164" i="6"/>
  <c r="S164" i="6"/>
  <c r="Q164" i="6"/>
  <c r="O164" i="6"/>
  <c r="M164" i="6"/>
  <c r="K164" i="6"/>
  <c r="I164" i="6"/>
  <c r="G164" i="6"/>
  <c r="E164" i="6"/>
  <c r="AI163" i="6"/>
  <c r="AG163" i="6"/>
  <c r="AE163" i="6"/>
  <c r="AC163" i="6"/>
  <c r="AA163" i="6"/>
  <c r="Y163" i="6"/>
  <c r="W163" i="6"/>
  <c r="U163" i="6"/>
  <c r="S163" i="6"/>
  <c r="Q163" i="6"/>
  <c r="O163" i="6"/>
  <c r="M163" i="6"/>
  <c r="K163" i="6"/>
  <c r="I163" i="6"/>
  <c r="G163" i="6"/>
  <c r="E163" i="6"/>
  <c r="AI162" i="6"/>
  <c r="AG162" i="6"/>
  <c r="AE162" i="6"/>
  <c r="AC162" i="6"/>
  <c r="AA162" i="6"/>
  <c r="Y162" i="6"/>
  <c r="W162" i="6"/>
  <c r="U162" i="6"/>
  <c r="S162" i="6"/>
  <c r="Q162" i="6"/>
  <c r="O162" i="6"/>
  <c r="M162" i="6"/>
  <c r="K162" i="6"/>
  <c r="I162" i="6"/>
  <c r="G162" i="6"/>
  <c r="E162" i="6"/>
  <c r="AI161" i="6"/>
  <c r="AG161" i="6"/>
  <c r="AE161" i="6"/>
  <c r="AC161" i="6"/>
  <c r="AA161" i="6"/>
  <c r="Y161" i="6"/>
  <c r="W161" i="6"/>
  <c r="U161" i="6"/>
  <c r="S161" i="6"/>
  <c r="Q161" i="6"/>
  <c r="O161" i="6"/>
  <c r="M161" i="6"/>
  <c r="K161" i="6"/>
  <c r="I161" i="6"/>
  <c r="G161" i="6"/>
  <c r="E161" i="6"/>
  <c r="AI160" i="6"/>
  <c r="AG160" i="6"/>
  <c r="AE160" i="6"/>
  <c r="AC160" i="6"/>
  <c r="AA160" i="6"/>
  <c r="Y160" i="6"/>
  <c r="W160" i="6"/>
  <c r="U160" i="6"/>
  <c r="S160" i="6"/>
  <c r="Q160" i="6"/>
  <c r="O160" i="6"/>
  <c r="M160" i="6"/>
  <c r="K160" i="6"/>
  <c r="I160" i="6"/>
  <c r="G160" i="6"/>
  <c r="E160" i="6"/>
  <c r="AI159" i="6"/>
  <c r="AG159" i="6"/>
  <c r="AE159" i="6"/>
  <c r="AC159" i="6"/>
  <c r="AA159" i="6"/>
  <c r="Y159" i="6"/>
  <c r="W159" i="6"/>
  <c r="U159" i="6"/>
  <c r="S159" i="6"/>
  <c r="Q159" i="6"/>
  <c r="O159" i="6"/>
  <c r="M159" i="6"/>
  <c r="K159" i="6"/>
  <c r="I159" i="6"/>
  <c r="G159" i="6"/>
  <c r="E159" i="6"/>
  <c r="AI158" i="6"/>
  <c r="AG158" i="6"/>
  <c r="AE158" i="6"/>
  <c r="AC158" i="6"/>
  <c r="AA158" i="6"/>
  <c r="Y158" i="6"/>
  <c r="W158" i="6"/>
  <c r="U158" i="6"/>
  <c r="S158" i="6"/>
  <c r="Q158" i="6"/>
  <c r="O158" i="6"/>
  <c r="M158" i="6"/>
  <c r="K158" i="6"/>
  <c r="I158" i="6"/>
  <c r="G158" i="6"/>
  <c r="E158" i="6"/>
  <c r="AI157" i="6"/>
  <c r="AG157" i="6"/>
  <c r="AE157" i="6"/>
  <c r="AC157" i="6"/>
  <c r="AA157" i="6"/>
  <c r="Y157" i="6"/>
  <c r="W157" i="6"/>
  <c r="U157" i="6"/>
  <c r="S157" i="6"/>
  <c r="Q157" i="6"/>
  <c r="O157" i="6"/>
  <c r="M157" i="6"/>
  <c r="K157" i="6"/>
  <c r="I157" i="6"/>
  <c r="G157" i="6"/>
  <c r="E157" i="6"/>
  <c r="AI156" i="6"/>
  <c r="AG156" i="6"/>
  <c r="AE156" i="6"/>
  <c r="AC156" i="6"/>
  <c r="AA156" i="6"/>
  <c r="Y156" i="6"/>
  <c r="W156" i="6"/>
  <c r="U156" i="6"/>
  <c r="S156" i="6"/>
  <c r="Q156" i="6"/>
  <c r="O156" i="6"/>
  <c r="M156" i="6"/>
  <c r="K156" i="6"/>
  <c r="I156" i="6"/>
  <c r="G156" i="6"/>
  <c r="E156" i="6"/>
  <c r="AI155" i="6"/>
  <c r="AG155" i="6"/>
  <c r="AE155" i="6"/>
  <c r="AC155" i="6"/>
  <c r="AA155" i="6"/>
  <c r="Y155" i="6"/>
  <c r="W155" i="6"/>
  <c r="U155" i="6"/>
  <c r="S155" i="6"/>
  <c r="Q155" i="6"/>
  <c r="O155" i="6"/>
  <c r="M155" i="6"/>
  <c r="K155" i="6"/>
  <c r="I155" i="6"/>
  <c r="G155" i="6"/>
  <c r="E155" i="6"/>
  <c r="AI154" i="6"/>
  <c r="AG154" i="6"/>
  <c r="AE154" i="6"/>
  <c r="AC154" i="6"/>
  <c r="AA154" i="6"/>
  <c r="Y154" i="6"/>
  <c r="W154" i="6"/>
  <c r="U154" i="6"/>
  <c r="S154" i="6"/>
  <c r="Q154" i="6"/>
  <c r="O154" i="6"/>
  <c r="M154" i="6"/>
  <c r="K154" i="6"/>
  <c r="I154" i="6"/>
  <c r="G154" i="6"/>
  <c r="E154" i="6"/>
  <c r="AI153" i="6"/>
  <c r="AG153" i="6"/>
  <c r="AE153" i="6"/>
  <c r="AC153" i="6"/>
  <c r="AA153" i="6"/>
  <c r="Y153" i="6"/>
  <c r="W153" i="6"/>
  <c r="U153" i="6"/>
  <c r="S153" i="6"/>
  <c r="Q153" i="6"/>
  <c r="O153" i="6"/>
  <c r="M153" i="6"/>
  <c r="K153" i="6"/>
  <c r="I153" i="6"/>
  <c r="G153" i="6"/>
  <c r="E153" i="6"/>
  <c r="AI152" i="6"/>
  <c r="AG152" i="6"/>
  <c r="AE152" i="6"/>
  <c r="AC152" i="6"/>
  <c r="AA152" i="6"/>
  <c r="Y152" i="6"/>
  <c r="W152" i="6"/>
  <c r="U152" i="6"/>
  <c r="S152" i="6"/>
  <c r="Q152" i="6"/>
  <c r="O152" i="6"/>
  <c r="M152" i="6"/>
  <c r="K152" i="6"/>
  <c r="I152" i="6"/>
  <c r="G152" i="6"/>
  <c r="E152" i="6"/>
  <c r="AI151" i="6"/>
  <c r="AG151" i="6"/>
  <c r="AE151" i="6"/>
  <c r="AC151" i="6"/>
  <c r="AA151" i="6"/>
  <c r="Y151" i="6"/>
  <c r="W151" i="6"/>
  <c r="U151" i="6"/>
  <c r="S151" i="6"/>
  <c r="Q151" i="6"/>
  <c r="O151" i="6"/>
  <c r="M151" i="6"/>
  <c r="K151" i="6"/>
  <c r="I151" i="6"/>
  <c r="G151" i="6"/>
  <c r="E151" i="6"/>
  <c r="AI150" i="6"/>
  <c r="AG150" i="6"/>
  <c r="AE150" i="6"/>
  <c r="AC150" i="6"/>
  <c r="AA150" i="6"/>
  <c r="Y150" i="6"/>
  <c r="W150" i="6"/>
  <c r="U150" i="6"/>
  <c r="S150" i="6"/>
  <c r="Q150" i="6"/>
  <c r="O150" i="6"/>
  <c r="M150" i="6"/>
  <c r="K150" i="6"/>
  <c r="I150" i="6"/>
  <c r="G150" i="6"/>
  <c r="E150" i="6"/>
  <c r="AI149" i="6"/>
  <c r="AG149" i="6"/>
  <c r="AE149" i="6"/>
  <c r="AC149" i="6"/>
  <c r="AA149" i="6"/>
  <c r="Y149" i="6"/>
  <c r="W149" i="6"/>
  <c r="U149" i="6"/>
  <c r="S149" i="6"/>
  <c r="Q149" i="6"/>
  <c r="O149" i="6"/>
  <c r="M149" i="6"/>
  <c r="K149" i="6"/>
  <c r="I149" i="6"/>
  <c r="G149" i="6"/>
  <c r="E149" i="6"/>
  <c r="AI148" i="6"/>
  <c r="AG148" i="6"/>
  <c r="AE148" i="6"/>
  <c r="AC148" i="6"/>
  <c r="AA148" i="6"/>
  <c r="Y148" i="6"/>
  <c r="W148" i="6"/>
  <c r="U148" i="6"/>
  <c r="S148" i="6"/>
  <c r="Q148" i="6"/>
  <c r="O148" i="6"/>
  <c r="M148" i="6"/>
  <c r="K148" i="6"/>
  <c r="I148" i="6"/>
  <c r="G148" i="6"/>
  <c r="E148" i="6"/>
  <c r="AI147" i="6"/>
  <c r="AG147" i="6"/>
  <c r="AE147" i="6"/>
  <c r="AC147" i="6"/>
  <c r="AA147" i="6"/>
  <c r="Y147" i="6"/>
  <c r="W147" i="6"/>
  <c r="U147" i="6"/>
  <c r="S147" i="6"/>
  <c r="Q147" i="6"/>
  <c r="O147" i="6"/>
  <c r="M147" i="6"/>
  <c r="K147" i="6"/>
  <c r="I147" i="6"/>
  <c r="G147" i="6"/>
  <c r="E147" i="6"/>
  <c r="AI146" i="6"/>
  <c r="AG146" i="6"/>
  <c r="AE146" i="6"/>
  <c r="AC146" i="6"/>
  <c r="AA146" i="6"/>
  <c r="Y146" i="6"/>
  <c r="W146" i="6"/>
  <c r="U146" i="6"/>
  <c r="S146" i="6"/>
  <c r="Q146" i="6"/>
  <c r="O146" i="6"/>
  <c r="M146" i="6"/>
  <c r="K146" i="6"/>
  <c r="I146" i="6"/>
  <c r="G146" i="6"/>
  <c r="E146" i="6"/>
  <c r="AI145" i="6"/>
  <c r="AG145" i="6"/>
  <c r="AE145" i="6"/>
  <c r="AC145" i="6"/>
  <c r="AA145" i="6"/>
  <c r="Y145" i="6"/>
  <c r="W145" i="6"/>
  <c r="U145" i="6"/>
  <c r="S145" i="6"/>
  <c r="Q145" i="6"/>
  <c r="O145" i="6"/>
  <c r="M145" i="6"/>
  <c r="K145" i="6"/>
  <c r="I145" i="6"/>
  <c r="G145" i="6"/>
  <c r="E145" i="6"/>
  <c r="AI144" i="6"/>
  <c r="AG144" i="6"/>
  <c r="AE144" i="6"/>
  <c r="AC144" i="6"/>
  <c r="AA144" i="6"/>
  <c r="Y144" i="6"/>
  <c r="W144" i="6"/>
  <c r="U144" i="6"/>
  <c r="S144" i="6"/>
  <c r="Q144" i="6"/>
  <c r="O144" i="6"/>
  <c r="M144" i="6"/>
  <c r="K144" i="6"/>
  <c r="I144" i="6"/>
  <c r="G144" i="6"/>
  <c r="E144" i="6"/>
  <c r="AI143" i="6"/>
  <c r="AG143" i="6"/>
  <c r="AE143" i="6"/>
  <c r="AC143" i="6"/>
  <c r="AA143" i="6"/>
  <c r="Y143" i="6"/>
  <c r="W143" i="6"/>
  <c r="U143" i="6"/>
  <c r="S143" i="6"/>
  <c r="Q143" i="6"/>
  <c r="O143" i="6"/>
  <c r="M143" i="6"/>
  <c r="K143" i="6"/>
  <c r="I143" i="6"/>
  <c r="G143" i="6"/>
  <c r="E143" i="6"/>
  <c r="AI142" i="6"/>
  <c r="AG142" i="6"/>
  <c r="AE142" i="6"/>
  <c r="AC142" i="6"/>
  <c r="AA142" i="6"/>
  <c r="Y142" i="6"/>
  <c r="W142" i="6"/>
  <c r="U142" i="6"/>
  <c r="S142" i="6"/>
  <c r="Q142" i="6"/>
  <c r="O142" i="6"/>
  <c r="M142" i="6"/>
  <c r="K142" i="6"/>
  <c r="I142" i="6"/>
  <c r="G142" i="6"/>
  <c r="E142" i="6"/>
  <c r="AI141" i="6"/>
  <c r="AG141" i="6"/>
  <c r="AE141" i="6"/>
  <c r="AC141" i="6"/>
  <c r="AA141" i="6"/>
  <c r="Y141" i="6"/>
  <c r="W141" i="6"/>
  <c r="U141" i="6"/>
  <c r="S141" i="6"/>
  <c r="Q141" i="6"/>
  <c r="O141" i="6"/>
  <c r="M141" i="6"/>
  <c r="K141" i="6"/>
  <c r="I141" i="6"/>
  <c r="G141" i="6"/>
  <c r="E141" i="6"/>
  <c r="AI140" i="6"/>
  <c r="AG140" i="6"/>
  <c r="AE140" i="6"/>
  <c r="AC140" i="6"/>
  <c r="AA140" i="6"/>
  <c r="Y140" i="6"/>
  <c r="W140" i="6"/>
  <c r="U140" i="6"/>
  <c r="S140" i="6"/>
  <c r="Q140" i="6"/>
  <c r="O140" i="6"/>
  <c r="M140" i="6"/>
  <c r="K140" i="6"/>
  <c r="I140" i="6"/>
  <c r="G140" i="6"/>
  <c r="E140" i="6"/>
  <c r="AI139" i="6"/>
  <c r="AG139" i="6"/>
  <c r="AG170" i="6" s="1"/>
  <c r="AG172" i="6" s="1"/>
  <c r="AE139" i="6"/>
  <c r="AC139" i="6"/>
  <c r="AA139" i="6"/>
  <c r="Y139" i="6"/>
  <c r="W139" i="6"/>
  <c r="U139" i="6"/>
  <c r="S139" i="6"/>
  <c r="Q139" i="6"/>
  <c r="O139" i="6"/>
  <c r="M139" i="6"/>
  <c r="K139" i="6"/>
  <c r="I139" i="6"/>
  <c r="G139" i="6"/>
  <c r="E139" i="6"/>
  <c r="AE170" i="6" l="1"/>
  <c r="AE172" i="6" s="1"/>
  <c r="Z147" i="11"/>
  <c r="Z151" i="11"/>
  <c r="AC151" i="11" s="1"/>
  <c r="S43" i="18"/>
  <c r="Z138" i="11"/>
  <c r="AC138" i="11" s="1"/>
  <c r="V168" i="11"/>
  <c r="O37" i="18" s="1"/>
  <c r="Z153" i="11"/>
  <c r="AC153" i="11" s="1"/>
  <c r="AA167" i="11"/>
  <c r="AD167" i="11" s="1"/>
  <c r="Z136" i="11"/>
  <c r="Z165" i="11"/>
  <c r="Z163" i="11"/>
  <c r="AC163" i="11" s="1"/>
  <c r="Z166" i="11"/>
  <c r="AC166" i="11" s="1"/>
  <c r="AC165" i="11"/>
  <c r="AA163" i="11"/>
  <c r="AD163" i="11" s="1"/>
  <c r="Z166" i="10"/>
  <c r="Z163" i="10"/>
  <c r="AA166" i="10"/>
  <c r="AD166" i="10" s="1"/>
  <c r="Y165" i="8"/>
  <c r="Z162" i="11"/>
  <c r="AC162" i="11" s="1"/>
  <c r="AA162" i="10"/>
  <c r="AD162" i="10" s="1"/>
  <c r="Z161" i="11"/>
  <c r="AC161" i="11" s="1"/>
  <c r="Z157" i="11"/>
  <c r="Z159" i="11"/>
  <c r="AC159" i="11" s="1"/>
  <c r="AA159" i="11"/>
  <c r="Z159" i="10"/>
  <c r="AC159" i="10" s="1"/>
  <c r="AA158" i="10"/>
  <c r="AN69" i="14"/>
  <c r="BH69" i="14"/>
  <c r="AQ154" i="12"/>
  <c r="Z155" i="11"/>
  <c r="AF69" i="14"/>
  <c r="Z155" i="10"/>
  <c r="AA154" i="10"/>
  <c r="L43" i="18"/>
  <c r="L44" i="18" s="1"/>
  <c r="AX69" i="14"/>
  <c r="AZ69" i="14" s="1"/>
  <c r="AR69" i="14"/>
  <c r="AT69" i="14" s="1"/>
  <c r="AD69" i="14"/>
  <c r="AL69" i="14"/>
  <c r="BD69" i="14"/>
  <c r="Z44" i="18"/>
  <c r="N69" i="14"/>
  <c r="F69" i="14"/>
  <c r="AN152" i="12"/>
  <c r="AQ152" i="12" s="1"/>
  <c r="AA150" i="10"/>
  <c r="AD150" i="10" s="1"/>
  <c r="AC168" i="12"/>
  <c r="Z69" i="14"/>
  <c r="Y149" i="8"/>
  <c r="AO145" i="12"/>
  <c r="AH69" i="14"/>
  <c r="AA146" i="10"/>
  <c r="AR145" i="12"/>
  <c r="AP144" i="12"/>
  <c r="AS144" i="12" s="1"/>
  <c r="Q44" i="18"/>
  <c r="P168" i="11"/>
  <c r="Z144" i="8"/>
  <c r="AC144" i="8" s="1"/>
  <c r="J69" i="14"/>
  <c r="Z143" i="10"/>
  <c r="AC143" i="10" s="1"/>
  <c r="J168" i="10"/>
  <c r="I39" i="18" s="1"/>
  <c r="R69" i="14"/>
  <c r="G44" i="18"/>
  <c r="K170" i="6"/>
  <c r="K172" i="6" s="1"/>
  <c r="AV69" i="14"/>
  <c r="AN142" i="12"/>
  <c r="AQ142" i="12" s="1"/>
  <c r="Z142" i="11"/>
  <c r="AC142" i="11" s="1"/>
  <c r="V69" i="14"/>
  <c r="AA142" i="10"/>
  <c r="AD142" i="10" s="1"/>
  <c r="AA172" i="6"/>
  <c r="AN140" i="12"/>
  <c r="AQ140" i="12" s="1"/>
  <c r="X168" i="11"/>
  <c r="O41" i="18" s="1"/>
  <c r="N168" i="10"/>
  <c r="I41" i="18" s="1"/>
  <c r="AE168" i="12"/>
  <c r="BF69" i="14"/>
  <c r="BB69" i="14"/>
  <c r="Q168" i="12"/>
  <c r="V37" i="18" s="1"/>
  <c r="O168" i="12"/>
  <c r="V38" i="18" s="1"/>
  <c r="E168" i="12"/>
  <c r="AC136" i="11"/>
  <c r="T168" i="11"/>
  <c r="O39" i="18" s="1"/>
  <c r="L168" i="11"/>
  <c r="N37" i="18" s="1"/>
  <c r="P37" i="18" s="1"/>
  <c r="AJ69" i="14"/>
  <c r="H168" i="11"/>
  <c r="N38" i="18" s="1"/>
  <c r="P38" i="18" s="1"/>
  <c r="D168" i="11"/>
  <c r="S171" i="6" s="1"/>
  <c r="Z139" i="10"/>
  <c r="AC139" i="10" s="1"/>
  <c r="R168" i="10"/>
  <c r="J40" i="18" s="1"/>
  <c r="W170" i="6"/>
  <c r="G170" i="6"/>
  <c r="G172" i="6" s="1"/>
  <c r="X168" i="10"/>
  <c r="J41" i="18" s="1"/>
  <c r="V168" i="10"/>
  <c r="J37" i="18" s="1"/>
  <c r="AB69" i="14"/>
  <c r="T168" i="10"/>
  <c r="J39" i="18" s="1"/>
  <c r="X69" i="14"/>
  <c r="L168" i="10"/>
  <c r="I37" i="18" s="1"/>
  <c r="AA138" i="10"/>
  <c r="AD138" i="10" s="1"/>
  <c r="H168" i="10"/>
  <c r="I38" i="18" s="1"/>
  <c r="K38" i="18" s="1"/>
  <c r="T69" i="14"/>
  <c r="P69" i="14"/>
  <c r="X168" i="8"/>
  <c r="E41" i="18" s="1"/>
  <c r="L69" i="14"/>
  <c r="P168" i="8"/>
  <c r="H69" i="14"/>
  <c r="H168" i="8"/>
  <c r="D38" i="18" s="1"/>
  <c r="F38" i="18" s="1"/>
  <c r="AI170" i="6"/>
  <c r="AI172" i="6" s="1"/>
  <c r="Y170" i="6"/>
  <c r="Y172" i="6" s="1"/>
  <c r="S170" i="6"/>
  <c r="D69" i="14"/>
  <c r="AO137" i="12"/>
  <c r="AR137" i="12" s="1"/>
  <c r="AO138" i="12"/>
  <c r="AO139" i="12"/>
  <c r="AR139" i="12" s="1"/>
  <c r="AO141" i="12"/>
  <c r="AR141" i="12" s="1"/>
  <c r="AO143" i="12"/>
  <c r="AR143" i="12" s="1"/>
  <c r="AO144" i="12"/>
  <c r="AR144" i="12" s="1"/>
  <c r="AO156" i="12"/>
  <c r="AR156" i="12" s="1"/>
  <c r="AO157" i="12"/>
  <c r="AR157" i="12" s="1"/>
  <c r="AO158" i="12"/>
  <c r="AR158" i="12" s="1"/>
  <c r="AO159" i="12"/>
  <c r="AR159" i="12" s="1"/>
  <c r="AO160" i="12"/>
  <c r="AR160" i="12" s="1"/>
  <c r="AO161" i="12"/>
  <c r="AR161" i="12" s="1"/>
  <c r="AO162" i="12"/>
  <c r="AR162" i="12" s="1"/>
  <c r="AO163" i="12"/>
  <c r="AR163" i="12" s="1"/>
  <c r="AO164" i="12"/>
  <c r="AR164" i="12" s="1"/>
  <c r="AO165" i="12"/>
  <c r="AR165" i="12" s="1"/>
  <c r="AO166" i="12"/>
  <c r="AR166" i="12" s="1"/>
  <c r="AO136" i="12"/>
  <c r="AR136" i="12" s="1"/>
  <c r="AO146" i="12"/>
  <c r="AR146" i="12" s="1"/>
  <c r="AO147" i="12"/>
  <c r="AR147" i="12" s="1"/>
  <c r="AO149" i="12"/>
  <c r="AR149" i="12" s="1"/>
  <c r="AO151" i="12"/>
  <c r="AO152" i="12"/>
  <c r="AR152" i="12" s="1"/>
  <c r="AO153" i="12"/>
  <c r="AR153" i="12" s="1"/>
  <c r="AO154" i="12"/>
  <c r="AO155" i="12"/>
  <c r="AP146" i="12"/>
  <c r="AS146" i="12" s="1"/>
  <c r="AP154" i="12"/>
  <c r="AS154" i="12" s="1"/>
  <c r="AP155" i="12"/>
  <c r="AS155" i="12" s="1"/>
  <c r="AP140" i="12"/>
  <c r="AS140" i="12" s="1"/>
  <c r="AP152" i="12"/>
  <c r="AS152" i="12" s="1"/>
  <c r="AR151" i="12"/>
  <c r="AR154" i="12"/>
  <c r="AR155" i="12"/>
  <c r="W168" i="12"/>
  <c r="W37" i="18" s="1"/>
  <c r="W44" i="18" s="1"/>
  <c r="U168" i="12"/>
  <c r="AN144" i="12"/>
  <c r="AQ144" i="12" s="1"/>
  <c r="AP156" i="12"/>
  <c r="AS156" i="12" s="1"/>
  <c r="AN157" i="12"/>
  <c r="AQ157" i="12" s="1"/>
  <c r="AP158" i="12"/>
  <c r="AS158" i="12" s="1"/>
  <c r="AN159" i="12"/>
  <c r="AQ159" i="12" s="1"/>
  <c r="AP160" i="12"/>
  <c r="AS160" i="12" s="1"/>
  <c r="AN161" i="12"/>
  <c r="AQ161" i="12" s="1"/>
  <c r="AP162" i="12"/>
  <c r="AS162" i="12" s="1"/>
  <c r="AP164" i="12"/>
  <c r="AS164" i="12" s="1"/>
  <c r="AN165" i="12"/>
  <c r="AQ165" i="12" s="1"/>
  <c r="AP166" i="12"/>
  <c r="AS166" i="12" s="1"/>
  <c r="AN163" i="12"/>
  <c r="AP138" i="12"/>
  <c r="AS138" i="12" s="1"/>
  <c r="AN146" i="12"/>
  <c r="AP148" i="12"/>
  <c r="AS148" i="12" s="1"/>
  <c r="AP157" i="12"/>
  <c r="AS157" i="12" s="1"/>
  <c r="AP159" i="12"/>
  <c r="AS159" i="12" s="1"/>
  <c r="AP161" i="12"/>
  <c r="AS161" i="12" s="1"/>
  <c r="AP163" i="12"/>
  <c r="AS163" i="12" s="1"/>
  <c r="AP165" i="12"/>
  <c r="AS165" i="12" s="1"/>
  <c r="AN136" i="12"/>
  <c r="AQ136" i="12" s="1"/>
  <c r="AN138" i="12"/>
  <c r="AQ138" i="12" s="1"/>
  <c r="AN148" i="12"/>
  <c r="AQ148" i="12" s="1"/>
  <c r="AN150" i="12"/>
  <c r="AQ150" i="12" s="1"/>
  <c r="AN156" i="12"/>
  <c r="AQ156" i="12" s="1"/>
  <c r="AN158" i="12"/>
  <c r="AQ158" i="12" s="1"/>
  <c r="AN160" i="12"/>
  <c r="AQ160" i="12" s="1"/>
  <c r="AN162" i="12"/>
  <c r="AQ162" i="12" s="1"/>
  <c r="AN164" i="12"/>
  <c r="AQ164" i="12" s="1"/>
  <c r="AN166" i="12"/>
  <c r="AQ166" i="12" s="1"/>
  <c r="AQ146" i="12"/>
  <c r="AQ163" i="12"/>
  <c r="AN167" i="12"/>
  <c r="AQ167" i="12" s="1"/>
  <c r="AO167" i="12"/>
  <c r="AR167" i="12" s="1"/>
  <c r="AP167" i="12"/>
  <c r="AS167" i="12" s="1"/>
  <c r="AP136" i="12"/>
  <c r="AS136" i="12" s="1"/>
  <c r="AN141" i="12"/>
  <c r="AQ141" i="12" s="1"/>
  <c r="AP141" i="12"/>
  <c r="AS141" i="12" s="1"/>
  <c r="AN149" i="12"/>
  <c r="AQ149" i="12" s="1"/>
  <c r="AP149" i="12"/>
  <c r="AS149" i="12" s="1"/>
  <c r="AN139" i="12"/>
  <c r="AQ139" i="12" s="1"/>
  <c r="AP139" i="12"/>
  <c r="AS139" i="12" s="1"/>
  <c r="AN147" i="12"/>
  <c r="AQ147" i="12" s="1"/>
  <c r="AP147" i="12"/>
  <c r="AS147" i="12" s="1"/>
  <c r="AN137" i="12"/>
  <c r="AQ137" i="12" s="1"/>
  <c r="AP137" i="12"/>
  <c r="AS137" i="12" s="1"/>
  <c r="AO142" i="12"/>
  <c r="AR142" i="12" s="1"/>
  <c r="AN145" i="12"/>
  <c r="AQ145" i="12" s="1"/>
  <c r="AP145" i="12"/>
  <c r="AS145" i="12" s="1"/>
  <c r="AO150" i="12"/>
  <c r="AR150" i="12" s="1"/>
  <c r="AN153" i="12"/>
  <c r="AQ153" i="12" s="1"/>
  <c r="AP153" i="12"/>
  <c r="AS153" i="12" s="1"/>
  <c r="AR138" i="12"/>
  <c r="AO140" i="12"/>
  <c r="AR140" i="12" s="1"/>
  <c r="AP142" i="12"/>
  <c r="AS142" i="12" s="1"/>
  <c r="AN143" i="12"/>
  <c r="AQ143" i="12" s="1"/>
  <c r="AP143" i="12"/>
  <c r="AS143" i="12" s="1"/>
  <c r="AO148" i="12"/>
  <c r="AR148" i="12" s="1"/>
  <c r="AP150" i="12"/>
  <c r="AS150" i="12" s="1"/>
  <c r="AN151" i="12"/>
  <c r="AQ151" i="12" s="1"/>
  <c r="AP151" i="12"/>
  <c r="AS151" i="12" s="1"/>
  <c r="AN155" i="12"/>
  <c r="AQ155" i="12" s="1"/>
  <c r="Z140" i="11"/>
  <c r="AC140" i="11" s="1"/>
  <c r="Z145" i="11"/>
  <c r="AC145" i="11" s="1"/>
  <c r="Z149" i="11"/>
  <c r="AC149" i="11" s="1"/>
  <c r="Z160" i="11"/>
  <c r="AC160" i="11" s="1"/>
  <c r="Z164" i="11"/>
  <c r="AC164" i="11" s="1"/>
  <c r="AA137" i="11"/>
  <c r="AD137" i="11" s="1"/>
  <c r="AA141" i="11"/>
  <c r="AD141" i="11" s="1"/>
  <c r="AA146" i="11"/>
  <c r="AD146" i="11" s="1"/>
  <c r="AA150" i="11"/>
  <c r="AD150" i="11" s="1"/>
  <c r="AA154" i="11"/>
  <c r="AD154" i="11" s="1"/>
  <c r="AA158" i="11"/>
  <c r="AD158" i="11" s="1"/>
  <c r="Z158" i="11"/>
  <c r="AC158" i="11" s="1"/>
  <c r="Z139" i="11"/>
  <c r="AC139" i="11" s="1"/>
  <c r="Z144" i="11"/>
  <c r="AC144" i="11" s="1"/>
  <c r="Z148" i="11"/>
  <c r="AC148" i="11" s="1"/>
  <c r="Z152" i="11"/>
  <c r="AC152" i="11" s="1"/>
  <c r="Z156" i="11"/>
  <c r="AC156" i="11" s="1"/>
  <c r="Z137" i="11"/>
  <c r="AC137" i="11" s="1"/>
  <c r="Z141" i="11"/>
  <c r="AC141" i="11" s="1"/>
  <c r="Z146" i="11"/>
  <c r="AC146" i="11" s="1"/>
  <c r="Z150" i="11"/>
  <c r="AC150" i="11" s="1"/>
  <c r="Z154" i="11"/>
  <c r="AC154" i="11" s="1"/>
  <c r="AC147" i="11"/>
  <c r="AC155" i="11"/>
  <c r="AC167" i="11"/>
  <c r="AC157" i="11"/>
  <c r="Y141" i="11"/>
  <c r="AB141" i="11" s="1"/>
  <c r="Y159" i="11"/>
  <c r="AB159" i="11" s="1"/>
  <c r="Y163" i="11"/>
  <c r="AB163" i="11" s="1"/>
  <c r="N168" i="11"/>
  <c r="N41" i="18" s="1"/>
  <c r="Y137" i="11"/>
  <c r="AB137" i="11" s="1"/>
  <c r="Y146" i="11"/>
  <c r="AB146" i="11" s="1"/>
  <c r="Y150" i="11"/>
  <c r="AB150" i="11" s="1"/>
  <c r="Y154" i="11"/>
  <c r="AB154" i="11" s="1"/>
  <c r="Y158" i="11"/>
  <c r="AB158" i="11" s="1"/>
  <c r="J168" i="11"/>
  <c r="N39" i="18" s="1"/>
  <c r="AA139" i="11"/>
  <c r="AD139" i="11" s="1"/>
  <c r="AA144" i="11"/>
  <c r="AD144" i="11" s="1"/>
  <c r="AA148" i="11"/>
  <c r="AD148" i="11" s="1"/>
  <c r="AA152" i="11"/>
  <c r="AD152" i="11" s="1"/>
  <c r="AA156" i="11"/>
  <c r="AD156" i="11" s="1"/>
  <c r="AA161" i="11"/>
  <c r="AD161" i="11" s="1"/>
  <c r="Y165" i="11"/>
  <c r="AB165" i="11" s="1"/>
  <c r="Y136" i="11"/>
  <c r="AB136" i="11" s="1"/>
  <c r="AA140" i="11"/>
  <c r="AD140" i="11" s="1"/>
  <c r="Y145" i="11"/>
  <c r="AB145" i="11" s="1"/>
  <c r="Y147" i="11"/>
  <c r="AB147" i="11" s="1"/>
  <c r="Y149" i="11"/>
  <c r="AB149" i="11" s="1"/>
  <c r="Y151" i="11"/>
  <c r="AB151" i="11" s="1"/>
  <c r="AA153" i="11"/>
  <c r="AD153" i="11" s="1"/>
  <c r="Y155" i="11"/>
  <c r="AB155" i="11" s="1"/>
  <c r="AA157" i="11"/>
  <c r="AD157" i="11" s="1"/>
  <c r="AA162" i="11"/>
  <c r="AD162" i="11" s="1"/>
  <c r="AA166" i="11"/>
  <c r="AD166" i="11" s="1"/>
  <c r="AA138" i="11"/>
  <c r="AD138" i="11" s="1"/>
  <c r="AA142" i="11"/>
  <c r="AD142" i="11" s="1"/>
  <c r="AA147" i="11"/>
  <c r="AD147" i="11" s="1"/>
  <c r="AA151" i="11"/>
  <c r="AD151" i="11" s="1"/>
  <c r="AA155" i="11"/>
  <c r="AD155" i="11" s="1"/>
  <c r="AD159" i="11"/>
  <c r="AA160" i="11"/>
  <c r="AD160" i="11" s="1"/>
  <c r="AA164" i="11"/>
  <c r="AD164" i="11" s="1"/>
  <c r="Y162" i="11"/>
  <c r="AB162" i="11" s="1"/>
  <c r="Y166" i="11"/>
  <c r="AB166" i="11" s="1"/>
  <c r="Y167" i="11"/>
  <c r="AB167" i="11" s="1"/>
  <c r="Y138" i="11"/>
  <c r="AB138" i="11" s="1"/>
  <c r="Y142" i="11"/>
  <c r="AB142" i="11" s="1"/>
  <c r="AA136" i="11"/>
  <c r="AD136" i="11" s="1"/>
  <c r="F168" i="11"/>
  <c r="N40" i="18" s="1"/>
  <c r="R168" i="11"/>
  <c r="AA165" i="11"/>
  <c r="AD165" i="11" s="1"/>
  <c r="Y139" i="11"/>
  <c r="AB139" i="11" s="1"/>
  <c r="Y144" i="11"/>
  <c r="AB144" i="11" s="1"/>
  <c r="Y148" i="11"/>
  <c r="AB148" i="11" s="1"/>
  <c r="Y152" i="11"/>
  <c r="AB152" i="11" s="1"/>
  <c r="Y156" i="11"/>
  <c r="AB156" i="11" s="1"/>
  <c r="Y160" i="11"/>
  <c r="AB160" i="11" s="1"/>
  <c r="Y164" i="11"/>
  <c r="AB164" i="11" s="1"/>
  <c r="AA145" i="11"/>
  <c r="AD145" i="11" s="1"/>
  <c r="AA149" i="11"/>
  <c r="AD149" i="11" s="1"/>
  <c r="Y140" i="11"/>
  <c r="AB140" i="11" s="1"/>
  <c r="Y153" i="11"/>
  <c r="AB153" i="11" s="1"/>
  <c r="Y157" i="11"/>
  <c r="AB157" i="11" s="1"/>
  <c r="Y161" i="11"/>
  <c r="AB161" i="11" s="1"/>
  <c r="AC147" i="10"/>
  <c r="AC151" i="10"/>
  <c r="AC155" i="10"/>
  <c r="AC163" i="10"/>
  <c r="AC167" i="10"/>
  <c r="Z138" i="10"/>
  <c r="Z146" i="10"/>
  <c r="Z150" i="10"/>
  <c r="AC150" i="10" s="1"/>
  <c r="Z154" i="10"/>
  <c r="AC154" i="10" s="1"/>
  <c r="Z158" i="10"/>
  <c r="AC158" i="10" s="1"/>
  <c r="Z142" i="10"/>
  <c r="AC142" i="10" s="1"/>
  <c r="Z162" i="10"/>
  <c r="AC162" i="10" s="1"/>
  <c r="Z137" i="10"/>
  <c r="AC137" i="10" s="1"/>
  <c r="Z141" i="10"/>
  <c r="AC141" i="10" s="1"/>
  <c r="Z145" i="10"/>
  <c r="AC145" i="10" s="1"/>
  <c r="Z149" i="10"/>
  <c r="AC149" i="10" s="1"/>
  <c r="Z153" i="10"/>
  <c r="AC153" i="10" s="1"/>
  <c r="Z157" i="10"/>
  <c r="AC157" i="10" s="1"/>
  <c r="Z161" i="10"/>
  <c r="AC161" i="10" s="1"/>
  <c r="Z165" i="10"/>
  <c r="AC165" i="10" s="1"/>
  <c r="Z140" i="10"/>
  <c r="AC140" i="10" s="1"/>
  <c r="Z144" i="10"/>
  <c r="AC144" i="10" s="1"/>
  <c r="Z148" i="10"/>
  <c r="AC148" i="10" s="1"/>
  <c r="Z152" i="10"/>
  <c r="AC152" i="10" s="1"/>
  <c r="Z156" i="10"/>
  <c r="AC156" i="10" s="1"/>
  <c r="Z160" i="10"/>
  <c r="AC160" i="10" s="1"/>
  <c r="Z164" i="10"/>
  <c r="AC164" i="10" s="1"/>
  <c r="Z136" i="10"/>
  <c r="AC136" i="10" s="1"/>
  <c r="P168" i="10"/>
  <c r="Y140" i="10"/>
  <c r="AB140" i="10" s="1"/>
  <c r="Y144" i="10"/>
  <c r="Y148" i="10"/>
  <c r="AB148" i="10" s="1"/>
  <c r="Y152" i="10"/>
  <c r="AB152" i="10" s="1"/>
  <c r="Y156" i="10"/>
  <c r="AB156" i="10" s="1"/>
  <c r="Y160" i="10"/>
  <c r="Y164" i="10"/>
  <c r="AB164" i="10" s="1"/>
  <c r="AA137" i="10"/>
  <c r="AD137" i="10" s="1"/>
  <c r="AA141" i="10"/>
  <c r="AD141" i="10" s="1"/>
  <c r="AA145" i="10"/>
  <c r="AD145" i="10" s="1"/>
  <c r="AA149" i="10"/>
  <c r="AD149" i="10" s="1"/>
  <c r="AA157" i="10"/>
  <c r="AD157" i="10" s="1"/>
  <c r="AA161" i="10"/>
  <c r="AD161" i="10" s="1"/>
  <c r="AA165" i="10"/>
  <c r="AD165" i="10" s="1"/>
  <c r="Y137" i="10"/>
  <c r="AB137" i="10" s="1"/>
  <c r="Y141" i="10"/>
  <c r="AB141" i="10" s="1"/>
  <c r="Y145" i="10"/>
  <c r="AB145" i="10" s="1"/>
  <c r="Y149" i="10"/>
  <c r="AB149" i="10" s="1"/>
  <c r="Y153" i="10"/>
  <c r="AB153" i="10" s="1"/>
  <c r="AA156" i="10"/>
  <c r="AA160" i="10"/>
  <c r="AD160" i="10" s="1"/>
  <c r="AA164" i="10"/>
  <c r="AD164" i="10" s="1"/>
  <c r="AA153" i="10"/>
  <c r="AD153" i="10" s="1"/>
  <c r="AA140" i="10"/>
  <c r="AD140" i="10" s="1"/>
  <c r="AA144" i="10"/>
  <c r="AD144" i="10" s="1"/>
  <c r="AA148" i="10"/>
  <c r="AD148" i="10" s="1"/>
  <c r="AA152" i="10"/>
  <c r="AD152" i="10" s="1"/>
  <c r="Y136" i="10"/>
  <c r="AB136" i="10" s="1"/>
  <c r="AA139" i="10"/>
  <c r="AD139" i="10" s="1"/>
  <c r="AA143" i="10"/>
  <c r="AD143" i="10" s="1"/>
  <c r="AA147" i="10"/>
  <c r="AD147" i="10" s="1"/>
  <c r="AA151" i="10"/>
  <c r="AD151" i="10" s="1"/>
  <c r="AA155" i="10"/>
  <c r="AD155" i="10" s="1"/>
  <c r="Y157" i="10"/>
  <c r="AB157" i="10" s="1"/>
  <c r="AA159" i="10"/>
  <c r="AD159" i="10" s="1"/>
  <c r="Y161" i="10"/>
  <c r="AB161" i="10" s="1"/>
  <c r="AA163" i="10"/>
  <c r="AD163" i="10" s="1"/>
  <c r="Y165" i="10"/>
  <c r="AB165" i="10" s="1"/>
  <c r="AA167" i="10"/>
  <c r="AD167" i="10" s="1"/>
  <c r="AD156" i="10"/>
  <c r="F168" i="10"/>
  <c r="I40" i="18" s="1"/>
  <c r="AA136" i="10"/>
  <c r="AD136" i="10" s="1"/>
  <c r="AD146" i="10"/>
  <c r="AD154" i="10"/>
  <c r="AD158" i="10"/>
  <c r="D168" i="10"/>
  <c r="AC138" i="10"/>
  <c r="AC146" i="10"/>
  <c r="AC166" i="10"/>
  <c r="Y138" i="10"/>
  <c r="AB138" i="10" s="1"/>
  <c r="Y142" i="10"/>
  <c r="AB142" i="10" s="1"/>
  <c r="Y146" i="10"/>
  <c r="AB146" i="10" s="1"/>
  <c r="Y150" i="10"/>
  <c r="AB150" i="10" s="1"/>
  <c r="Y154" i="10"/>
  <c r="AB154" i="10" s="1"/>
  <c r="Y158" i="10"/>
  <c r="AB158" i="10" s="1"/>
  <c r="Y162" i="10"/>
  <c r="AB162" i="10" s="1"/>
  <c r="Y166" i="10"/>
  <c r="AB166" i="10" s="1"/>
  <c r="Y139" i="10"/>
  <c r="AB139" i="10" s="1"/>
  <c r="Y143" i="10"/>
  <c r="AB143" i="10" s="1"/>
  <c r="AB144" i="10"/>
  <c r="Y147" i="10"/>
  <c r="AB147" i="10" s="1"/>
  <c r="Y151" i="10"/>
  <c r="AB151" i="10" s="1"/>
  <c r="Y155" i="10"/>
  <c r="AB155" i="10" s="1"/>
  <c r="Y159" i="10"/>
  <c r="AB159" i="10" s="1"/>
  <c r="AB160" i="10"/>
  <c r="Y163" i="10"/>
  <c r="AB163" i="10" s="1"/>
  <c r="Y167" i="10"/>
  <c r="AB167" i="10" s="1"/>
  <c r="Z141" i="8"/>
  <c r="Z136" i="8"/>
  <c r="AC136" i="8" s="1"/>
  <c r="Z138" i="8"/>
  <c r="AC138" i="8" s="1"/>
  <c r="Z142" i="8"/>
  <c r="AC142" i="8" s="1"/>
  <c r="Z146" i="8"/>
  <c r="AC146" i="8" s="1"/>
  <c r="Z150" i="8"/>
  <c r="AC150" i="8" s="1"/>
  <c r="Z154" i="8"/>
  <c r="AC154" i="8" s="1"/>
  <c r="Z158" i="8"/>
  <c r="AC158" i="8" s="1"/>
  <c r="Z162" i="8"/>
  <c r="AC162" i="8" s="1"/>
  <c r="Z166" i="8"/>
  <c r="AC166" i="8" s="1"/>
  <c r="Z143" i="8"/>
  <c r="AC143" i="8" s="1"/>
  <c r="Z151" i="8"/>
  <c r="AC151" i="8" s="1"/>
  <c r="Z159" i="8"/>
  <c r="AC159" i="8" s="1"/>
  <c r="Z167" i="8"/>
  <c r="Z137" i="8"/>
  <c r="Z145" i="8"/>
  <c r="AC145" i="8" s="1"/>
  <c r="Z153" i="8"/>
  <c r="AC153" i="8" s="1"/>
  <c r="Z161" i="8"/>
  <c r="AC161" i="8" s="1"/>
  <c r="Z160" i="8"/>
  <c r="AC160" i="8" s="1"/>
  <c r="Z165" i="8"/>
  <c r="AC165" i="8" s="1"/>
  <c r="Z149" i="8"/>
  <c r="AC149" i="8" s="1"/>
  <c r="Z152" i="8"/>
  <c r="AC152" i="8" s="1"/>
  <c r="Z157" i="8"/>
  <c r="AC157" i="8" s="1"/>
  <c r="AA136" i="8"/>
  <c r="AD136" i="8" s="1"/>
  <c r="AA152" i="8"/>
  <c r="Y167" i="8"/>
  <c r="AB167" i="8" s="1"/>
  <c r="Y136" i="8"/>
  <c r="AB136" i="8" s="1"/>
  <c r="Y147" i="8"/>
  <c r="AB147" i="8" s="1"/>
  <c r="AA138" i="8"/>
  <c r="AD138" i="8" s="1"/>
  <c r="Y139" i="8"/>
  <c r="AB139" i="8" s="1"/>
  <c r="AA144" i="8"/>
  <c r="AD144" i="8" s="1"/>
  <c r="Y159" i="8"/>
  <c r="AB159" i="8" s="1"/>
  <c r="Y138" i="8"/>
  <c r="AB138" i="8" s="1"/>
  <c r="Y142" i="8"/>
  <c r="AB142" i="8" s="1"/>
  <c r="Y154" i="8"/>
  <c r="Y158" i="8"/>
  <c r="AB158" i="8" s="1"/>
  <c r="Y143" i="8"/>
  <c r="AB143" i="8" s="1"/>
  <c r="AA147" i="8"/>
  <c r="AD147" i="8" s="1"/>
  <c r="Y152" i="8"/>
  <c r="AB152" i="8" s="1"/>
  <c r="AA154" i="8"/>
  <c r="AD154" i="8" s="1"/>
  <c r="Y155" i="8"/>
  <c r="AB155" i="8" s="1"/>
  <c r="AA160" i="8"/>
  <c r="AD160" i="8" s="1"/>
  <c r="AA163" i="8"/>
  <c r="AD163" i="8" s="1"/>
  <c r="Y151" i="8"/>
  <c r="AB151" i="8" s="1"/>
  <c r="Y163" i="8"/>
  <c r="AB163" i="8" s="1"/>
  <c r="AA139" i="8"/>
  <c r="AD139" i="8" s="1"/>
  <c r="Y144" i="8"/>
  <c r="AB144" i="8" s="1"/>
  <c r="AA146" i="8"/>
  <c r="AD146" i="8" s="1"/>
  <c r="Y157" i="8"/>
  <c r="Y162" i="8"/>
  <c r="AB162" i="8" s="1"/>
  <c r="Y164" i="8"/>
  <c r="AB164" i="8" s="1"/>
  <c r="Y166" i="8"/>
  <c r="AB166" i="8" s="1"/>
  <c r="Y141" i="8"/>
  <c r="AB141" i="8" s="1"/>
  <c r="Y146" i="8"/>
  <c r="AB146" i="8" s="1"/>
  <c r="Y148" i="8"/>
  <c r="AB148" i="8" s="1"/>
  <c r="Y150" i="8"/>
  <c r="AB150" i="8" s="1"/>
  <c r="AA155" i="8"/>
  <c r="AD155" i="8" s="1"/>
  <c r="Y160" i="8"/>
  <c r="AB160" i="8" s="1"/>
  <c r="AA162" i="8"/>
  <c r="AD162" i="8" s="1"/>
  <c r="J168" i="8"/>
  <c r="D39" i="18" s="1"/>
  <c r="Y156" i="8"/>
  <c r="AB156" i="8" s="1"/>
  <c r="D168" i="8"/>
  <c r="L168" i="8"/>
  <c r="D37" i="18" s="1"/>
  <c r="T168" i="8"/>
  <c r="E39" i="18" s="1"/>
  <c r="AC141" i="8"/>
  <c r="AA142" i="8"/>
  <c r="AD142" i="8" s="1"/>
  <c r="AA150" i="8"/>
  <c r="AD150" i="8" s="1"/>
  <c r="AD152" i="8"/>
  <c r="AA158" i="8"/>
  <c r="AD158" i="8" s="1"/>
  <c r="AA166" i="8"/>
  <c r="AD166" i="8" s="1"/>
  <c r="Y140" i="8"/>
  <c r="AB140" i="8" s="1"/>
  <c r="F168" i="8"/>
  <c r="N168" i="8"/>
  <c r="D41" i="18" s="1"/>
  <c r="V168" i="8"/>
  <c r="E37" i="18" s="1"/>
  <c r="Y137" i="8"/>
  <c r="AB137" i="8" s="1"/>
  <c r="Z139" i="8"/>
  <c r="AC139" i="8" s="1"/>
  <c r="Z140" i="8"/>
  <c r="AC140" i="8" s="1"/>
  <c r="AA140" i="8"/>
  <c r="AD140" i="8" s="1"/>
  <c r="AA143" i="8"/>
  <c r="AD143" i="8" s="1"/>
  <c r="Y145" i="8"/>
  <c r="AB145" i="8" s="1"/>
  <c r="Z147" i="8"/>
  <c r="AC147" i="8" s="1"/>
  <c r="AA148" i="8"/>
  <c r="AD148" i="8" s="1"/>
  <c r="AA151" i="8"/>
  <c r="AD151" i="8" s="1"/>
  <c r="Y153" i="8"/>
  <c r="AB153" i="8" s="1"/>
  <c r="AB154" i="8"/>
  <c r="Z155" i="8"/>
  <c r="AC155" i="8" s="1"/>
  <c r="AA156" i="8"/>
  <c r="AD156" i="8" s="1"/>
  <c r="AA159" i="8"/>
  <c r="AD159" i="8" s="1"/>
  <c r="Y161" i="8"/>
  <c r="AB161" i="8" s="1"/>
  <c r="Z163" i="8"/>
  <c r="AC163" i="8" s="1"/>
  <c r="AA164" i="8"/>
  <c r="AD164" i="8" s="1"/>
  <c r="AA167" i="8"/>
  <c r="AD167" i="8" s="1"/>
  <c r="AC137" i="8"/>
  <c r="Z148" i="8"/>
  <c r="AC148" i="8" s="1"/>
  <c r="AB149" i="8"/>
  <c r="Z156" i="8"/>
  <c r="AC156" i="8" s="1"/>
  <c r="AB157" i="8"/>
  <c r="Z164" i="8"/>
  <c r="AC164" i="8" s="1"/>
  <c r="AB165" i="8"/>
  <c r="AC167" i="8"/>
  <c r="AA137" i="8"/>
  <c r="AD137" i="8" s="1"/>
  <c r="AA141" i="8"/>
  <c r="AD141" i="8" s="1"/>
  <c r="AA153" i="8"/>
  <c r="AD153" i="8" s="1"/>
  <c r="AA157" i="8"/>
  <c r="AD157" i="8" s="1"/>
  <c r="AA161" i="8"/>
  <c r="AD161" i="8" s="1"/>
  <c r="AA165" i="8"/>
  <c r="AD165" i="8" s="1"/>
  <c r="R168" i="8"/>
  <c r="E40" i="18" s="1"/>
  <c r="F40" i="18" s="1"/>
  <c r="AA145" i="8"/>
  <c r="AD145" i="8" s="1"/>
  <c r="AA149" i="8"/>
  <c r="AD149" i="8" s="1"/>
  <c r="Q172" i="6"/>
  <c r="AJ169" i="6"/>
  <c r="AK169" i="6" s="1"/>
  <c r="I170" i="6"/>
  <c r="I172" i="6" s="1"/>
  <c r="AJ138" i="6"/>
  <c r="AK138" i="6" s="1"/>
  <c r="U170" i="6"/>
  <c r="U172" i="6" s="1"/>
  <c r="AC170" i="6"/>
  <c r="AC172" i="6" s="1"/>
  <c r="O170" i="6"/>
  <c r="O172" i="6" s="1"/>
  <c r="AJ139" i="6"/>
  <c r="AK139" i="6" s="1"/>
  <c r="AJ141" i="6"/>
  <c r="AK141" i="6" s="1"/>
  <c r="AJ143" i="6"/>
  <c r="AK143" i="6" s="1"/>
  <c r="AJ145" i="6"/>
  <c r="AK145" i="6" s="1"/>
  <c r="AJ147" i="6"/>
  <c r="AK147" i="6" s="1"/>
  <c r="AJ149" i="6"/>
  <c r="AK149" i="6" s="1"/>
  <c r="AJ151" i="6"/>
  <c r="AK151" i="6" s="1"/>
  <c r="AJ153" i="6"/>
  <c r="AK153" i="6" s="1"/>
  <c r="AJ155" i="6"/>
  <c r="AK155" i="6" s="1"/>
  <c r="AJ157" i="6"/>
  <c r="AK157" i="6" s="1"/>
  <c r="AJ159" i="6"/>
  <c r="AK159" i="6" s="1"/>
  <c r="AJ161" i="6"/>
  <c r="AK161" i="6" s="1"/>
  <c r="AJ163" i="6"/>
  <c r="AK163" i="6" s="1"/>
  <c r="AJ165" i="6"/>
  <c r="AK165" i="6" s="1"/>
  <c r="AJ167" i="6"/>
  <c r="AK167" i="6" s="1"/>
  <c r="AJ140" i="6"/>
  <c r="AK140" i="6" s="1"/>
  <c r="AJ142" i="6"/>
  <c r="AK142" i="6" s="1"/>
  <c r="AJ144" i="6"/>
  <c r="AK144" i="6" s="1"/>
  <c r="AJ146" i="6"/>
  <c r="AK146" i="6" s="1"/>
  <c r="AJ148" i="6"/>
  <c r="AK148" i="6" s="1"/>
  <c r="AJ150" i="6"/>
  <c r="AK150" i="6" s="1"/>
  <c r="AJ152" i="6"/>
  <c r="AK152" i="6" s="1"/>
  <c r="AJ154" i="6"/>
  <c r="AK154" i="6" s="1"/>
  <c r="AJ156" i="6"/>
  <c r="AK156" i="6" s="1"/>
  <c r="AJ158" i="6"/>
  <c r="AK158" i="6" s="1"/>
  <c r="AJ160" i="6"/>
  <c r="AJ162" i="6"/>
  <c r="AK162" i="6" s="1"/>
  <c r="AJ164" i="6"/>
  <c r="AK164" i="6" s="1"/>
  <c r="AJ166" i="6"/>
  <c r="AJ168" i="6"/>
  <c r="AK168" i="6" s="1"/>
  <c r="M170" i="6"/>
  <c r="AL35" i="14"/>
  <c r="AS135" i="12"/>
  <c r="AR135" i="12"/>
  <c r="AQ135" i="12"/>
  <c r="AM135" i="12"/>
  <c r="AK135" i="12"/>
  <c r="AI135" i="12"/>
  <c r="AG135" i="12"/>
  <c r="AE135" i="12"/>
  <c r="AC135" i="12"/>
  <c r="AA135" i="12"/>
  <c r="Y135" i="12"/>
  <c r="W135" i="12"/>
  <c r="U135" i="12"/>
  <c r="S135" i="12"/>
  <c r="Q135" i="12"/>
  <c r="O135" i="12"/>
  <c r="M135" i="12"/>
  <c r="K135" i="12"/>
  <c r="I135" i="12"/>
  <c r="G135" i="12"/>
  <c r="E135" i="12"/>
  <c r="D135" i="10"/>
  <c r="X135" i="8"/>
  <c r="AA135" i="8" s="1"/>
  <c r="AD135" i="8" s="1"/>
  <c r="AC126" i="8"/>
  <c r="AB135" i="8"/>
  <c r="Y135" i="8"/>
  <c r="D135" i="8"/>
  <c r="H135" i="8"/>
  <c r="J135" i="8"/>
  <c r="L135" i="8"/>
  <c r="N135" i="8"/>
  <c r="P135" i="8"/>
  <c r="R135" i="8"/>
  <c r="T135" i="8"/>
  <c r="V135" i="8"/>
  <c r="F135" i="8"/>
  <c r="Y136" i="6"/>
  <c r="G136" i="6"/>
  <c r="I135" i="6"/>
  <c r="AP37" i="14"/>
  <c r="R29" i="18" s="1"/>
  <c r="BH7" i="14"/>
  <c r="BH8" i="14"/>
  <c r="BH9" i="14"/>
  <c r="BH10" i="14"/>
  <c r="BH11" i="14"/>
  <c r="BH12" i="14"/>
  <c r="BH13" i="14"/>
  <c r="BH14" i="14"/>
  <c r="BH15" i="14"/>
  <c r="BH16" i="14"/>
  <c r="BH17" i="14"/>
  <c r="BH18" i="14"/>
  <c r="BH19" i="14"/>
  <c r="BH20" i="14"/>
  <c r="BH21" i="14"/>
  <c r="BH22" i="14"/>
  <c r="BH23" i="14"/>
  <c r="BH24" i="14"/>
  <c r="BH25" i="14"/>
  <c r="BH26" i="14"/>
  <c r="BH27" i="14"/>
  <c r="BH28" i="14"/>
  <c r="BH29" i="14"/>
  <c r="BH30" i="14"/>
  <c r="BH31" i="14"/>
  <c r="BH32" i="14"/>
  <c r="BH33" i="14"/>
  <c r="BH34" i="14"/>
  <c r="BH35" i="14"/>
  <c r="BH36" i="14"/>
  <c r="BH6" i="14"/>
  <c r="BF7" i="14"/>
  <c r="BF8" i="14"/>
  <c r="BF9" i="14"/>
  <c r="BF10" i="14"/>
  <c r="BF11" i="14"/>
  <c r="BF12" i="14"/>
  <c r="BF13" i="14"/>
  <c r="BF14" i="14"/>
  <c r="BF15" i="14"/>
  <c r="BF16" i="14"/>
  <c r="BF17" i="14"/>
  <c r="BF18" i="14"/>
  <c r="BF19" i="14"/>
  <c r="BF20" i="14"/>
  <c r="BF21" i="14"/>
  <c r="BF22" i="14"/>
  <c r="BF23" i="14"/>
  <c r="BF24" i="14"/>
  <c r="BF25" i="14"/>
  <c r="BF26" i="14"/>
  <c r="BF27" i="14"/>
  <c r="BF28" i="14"/>
  <c r="BF29" i="14"/>
  <c r="BF30" i="14"/>
  <c r="BF31" i="14"/>
  <c r="BF32" i="14"/>
  <c r="BF33" i="14"/>
  <c r="BF34" i="14"/>
  <c r="BF35" i="14"/>
  <c r="BF36" i="14"/>
  <c r="BF6" i="14"/>
  <c r="BD7" i="14"/>
  <c r="BD8" i="14"/>
  <c r="BD9" i="14"/>
  <c r="BD10" i="14"/>
  <c r="BD11" i="14"/>
  <c r="BD12" i="14"/>
  <c r="BD13" i="14"/>
  <c r="BD14" i="14"/>
  <c r="BD15" i="14"/>
  <c r="BD16" i="14"/>
  <c r="BD17" i="14"/>
  <c r="BD18" i="14"/>
  <c r="BD19" i="14"/>
  <c r="BD20" i="14"/>
  <c r="BD21" i="14"/>
  <c r="BD22" i="14"/>
  <c r="BD23" i="14"/>
  <c r="BD24" i="14"/>
  <c r="BD25" i="14"/>
  <c r="BD26" i="14"/>
  <c r="BD27" i="14"/>
  <c r="BD28" i="14"/>
  <c r="BD29" i="14"/>
  <c r="BD30" i="14"/>
  <c r="BD31" i="14"/>
  <c r="BD32" i="14"/>
  <c r="BD33" i="14"/>
  <c r="BD34" i="14"/>
  <c r="BD35" i="14"/>
  <c r="BD36" i="14"/>
  <c r="BD6" i="14"/>
  <c r="BB7" i="14"/>
  <c r="BB8" i="14"/>
  <c r="BB9" i="14"/>
  <c r="BB10" i="14"/>
  <c r="BB11" i="14"/>
  <c r="BB12" i="14"/>
  <c r="BB13" i="14"/>
  <c r="BB14" i="14"/>
  <c r="BB15" i="14"/>
  <c r="BB16" i="14"/>
  <c r="BB17" i="14"/>
  <c r="BB18" i="14"/>
  <c r="BB19" i="14"/>
  <c r="BB20" i="14"/>
  <c r="BB21" i="14"/>
  <c r="BB22" i="14"/>
  <c r="BB23" i="14"/>
  <c r="BB24" i="14"/>
  <c r="BB25" i="14"/>
  <c r="BB26" i="14"/>
  <c r="BB27" i="14"/>
  <c r="BB28" i="14"/>
  <c r="BB29" i="14"/>
  <c r="BB30" i="14"/>
  <c r="BB31" i="14"/>
  <c r="BB32" i="14"/>
  <c r="BB33" i="14"/>
  <c r="BB34" i="14"/>
  <c r="BB35" i="14"/>
  <c r="BB36" i="14"/>
  <c r="BB6" i="14"/>
  <c r="AX7" i="14"/>
  <c r="AX8" i="14"/>
  <c r="AX9" i="14"/>
  <c r="AX10" i="14"/>
  <c r="AX11" i="14"/>
  <c r="AX12" i="14"/>
  <c r="AX13" i="14"/>
  <c r="AX14" i="14"/>
  <c r="AX15" i="14"/>
  <c r="AX16" i="14"/>
  <c r="AX17" i="14"/>
  <c r="AX18" i="14"/>
  <c r="AX19" i="14"/>
  <c r="AX20" i="14"/>
  <c r="AX21" i="14"/>
  <c r="AX22" i="14"/>
  <c r="AX23" i="14"/>
  <c r="AX24" i="14"/>
  <c r="AX25" i="14"/>
  <c r="AX26" i="14"/>
  <c r="AX27" i="14"/>
  <c r="AX28" i="14"/>
  <c r="AX29" i="14"/>
  <c r="AX30" i="14"/>
  <c r="AX31" i="14"/>
  <c r="AX32" i="14"/>
  <c r="AX33" i="14"/>
  <c r="AX34" i="14"/>
  <c r="AX35" i="14"/>
  <c r="AX36" i="14"/>
  <c r="AX6" i="14"/>
  <c r="AV7" i="14"/>
  <c r="AV8" i="14"/>
  <c r="AV9" i="14"/>
  <c r="AV10" i="14"/>
  <c r="AV11" i="14"/>
  <c r="AV12" i="14"/>
  <c r="AV13" i="14"/>
  <c r="AV14" i="14"/>
  <c r="AV15" i="14"/>
  <c r="AV16" i="14"/>
  <c r="AV17" i="14"/>
  <c r="AV18" i="14"/>
  <c r="AV19" i="14"/>
  <c r="AV20" i="14"/>
  <c r="AV21" i="14"/>
  <c r="AV22" i="14"/>
  <c r="AV23" i="14"/>
  <c r="AV24" i="14"/>
  <c r="AV25" i="14"/>
  <c r="AV26" i="14"/>
  <c r="AV27" i="14"/>
  <c r="AV28" i="14"/>
  <c r="AV29" i="14"/>
  <c r="AV30" i="14"/>
  <c r="AV31" i="14"/>
  <c r="AV32" i="14"/>
  <c r="AV33" i="14"/>
  <c r="AV34" i="14"/>
  <c r="AV35" i="14"/>
  <c r="AV36" i="14"/>
  <c r="AV6" i="14"/>
  <c r="AR7" i="14"/>
  <c r="AR8" i="14"/>
  <c r="AR9" i="14"/>
  <c r="AR10" i="14"/>
  <c r="AR11" i="14"/>
  <c r="AR12" i="14"/>
  <c r="AR13" i="14"/>
  <c r="AR14" i="14"/>
  <c r="AR15" i="14"/>
  <c r="AR16" i="14"/>
  <c r="AR17" i="14"/>
  <c r="AR18" i="14"/>
  <c r="AR19" i="14"/>
  <c r="AR20" i="14"/>
  <c r="AR21" i="14"/>
  <c r="AR22" i="14"/>
  <c r="AR23" i="14"/>
  <c r="AR24" i="14"/>
  <c r="AR25" i="14"/>
  <c r="AR26" i="14"/>
  <c r="AR27" i="14"/>
  <c r="AR28" i="14"/>
  <c r="AR29" i="14"/>
  <c r="AR30" i="14"/>
  <c r="AR31" i="14"/>
  <c r="AR32" i="14"/>
  <c r="AR33" i="14"/>
  <c r="AR34" i="14"/>
  <c r="AR35" i="14"/>
  <c r="AR36" i="14"/>
  <c r="AR6" i="14"/>
  <c r="AN7" i="14"/>
  <c r="AN8" i="14"/>
  <c r="AN9" i="14"/>
  <c r="AN10" i="14"/>
  <c r="AN11" i="14"/>
  <c r="AN12" i="14"/>
  <c r="AN13" i="14"/>
  <c r="AN14" i="14"/>
  <c r="AN15" i="14"/>
  <c r="AN16" i="14"/>
  <c r="AN17" i="14"/>
  <c r="AN18" i="14"/>
  <c r="AN19" i="14"/>
  <c r="AN20" i="14"/>
  <c r="AN21" i="14"/>
  <c r="AN22" i="14"/>
  <c r="AN23" i="14"/>
  <c r="AN24" i="14"/>
  <c r="AN25" i="14"/>
  <c r="AN26" i="14"/>
  <c r="AN27" i="14"/>
  <c r="AN28" i="14"/>
  <c r="AN29" i="14"/>
  <c r="AN30" i="14"/>
  <c r="AN31" i="14"/>
  <c r="AN32" i="14"/>
  <c r="AN33" i="14"/>
  <c r="AN34" i="14"/>
  <c r="AN35" i="14"/>
  <c r="AN36" i="14"/>
  <c r="AN6" i="14"/>
  <c r="AL7" i="14"/>
  <c r="AL8" i="14"/>
  <c r="AL9" i="14"/>
  <c r="AL10" i="14"/>
  <c r="AL11" i="14"/>
  <c r="AL12" i="14"/>
  <c r="AL13" i="14"/>
  <c r="AL14" i="14"/>
  <c r="AL15" i="14"/>
  <c r="AL16" i="14"/>
  <c r="AL17" i="14"/>
  <c r="AL18" i="14"/>
  <c r="AL19" i="14"/>
  <c r="AL20" i="14"/>
  <c r="AL21" i="14"/>
  <c r="AL22" i="14"/>
  <c r="AL23" i="14"/>
  <c r="AL24" i="14"/>
  <c r="AL25" i="14"/>
  <c r="AL26" i="14"/>
  <c r="AL27" i="14"/>
  <c r="AL28" i="14"/>
  <c r="AL29" i="14"/>
  <c r="AL30" i="14"/>
  <c r="AL31" i="14"/>
  <c r="AL32" i="14"/>
  <c r="AL33" i="14"/>
  <c r="AL34" i="14"/>
  <c r="AL36" i="14"/>
  <c r="AL6" i="14"/>
  <c r="AJ7" i="14"/>
  <c r="AJ8" i="14"/>
  <c r="AJ9" i="14"/>
  <c r="AJ10" i="14"/>
  <c r="AJ11" i="14"/>
  <c r="AJ12" i="14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6" i="14"/>
  <c r="AH7" i="14"/>
  <c r="AH8" i="14"/>
  <c r="AH9" i="14"/>
  <c r="AH10" i="14"/>
  <c r="AH11" i="14"/>
  <c r="AH12" i="14"/>
  <c r="AH13" i="14"/>
  <c r="AH14" i="14"/>
  <c r="AH15" i="14"/>
  <c r="AH16" i="14"/>
  <c r="AH17" i="14"/>
  <c r="AH18" i="14"/>
  <c r="AH19" i="14"/>
  <c r="AH20" i="14"/>
  <c r="AH21" i="14"/>
  <c r="AH22" i="14"/>
  <c r="AH23" i="14"/>
  <c r="AH24" i="14"/>
  <c r="AH25" i="14"/>
  <c r="AH26" i="14"/>
  <c r="AH27" i="14"/>
  <c r="AH28" i="14"/>
  <c r="AH29" i="14"/>
  <c r="AH30" i="14"/>
  <c r="AH31" i="14"/>
  <c r="AH32" i="14"/>
  <c r="AH33" i="14"/>
  <c r="AH34" i="14"/>
  <c r="AH35" i="14"/>
  <c r="AH36" i="14"/>
  <c r="AH6" i="14"/>
  <c r="AF7" i="14"/>
  <c r="AF8" i="14"/>
  <c r="AF9" i="14"/>
  <c r="AF10" i="14"/>
  <c r="AF11" i="14"/>
  <c r="AF12" i="14"/>
  <c r="AF13" i="14"/>
  <c r="AF14" i="14"/>
  <c r="AF15" i="14"/>
  <c r="AF16" i="14"/>
  <c r="AF17" i="14"/>
  <c r="AF18" i="14"/>
  <c r="AF19" i="14"/>
  <c r="AF20" i="14"/>
  <c r="AF21" i="14"/>
  <c r="AF22" i="14"/>
  <c r="AF23" i="14"/>
  <c r="AF24" i="14"/>
  <c r="AF25" i="14"/>
  <c r="AF26" i="14"/>
  <c r="AF27" i="14"/>
  <c r="AF28" i="14"/>
  <c r="AF29" i="14"/>
  <c r="AF30" i="14"/>
  <c r="AF31" i="14"/>
  <c r="AF32" i="14"/>
  <c r="AF33" i="14"/>
  <c r="AF34" i="14"/>
  <c r="AF35" i="14"/>
  <c r="AF36" i="14"/>
  <c r="AF6" i="14"/>
  <c r="AD7" i="14"/>
  <c r="AD8" i="14"/>
  <c r="AD9" i="14"/>
  <c r="AD10" i="14"/>
  <c r="AD11" i="14"/>
  <c r="AD12" i="14"/>
  <c r="AD13" i="14"/>
  <c r="AD14" i="14"/>
  <c r="AD15" i="14"/>
  <c r="AD16" i="14"/>
  <c r="AD17" i="14"/>
  <c r="AD18" i="14"/>
  <c r="AD19" i="14"/>
  <c r="AD20" i="14"/>
  <c r="AD21" i="14"/>
  <c r="AD22" i="14"/>
  <c r="AD23" i="14"/>
  <c r="AD24" i="14"/>
  <c r="AD25" i="14"/>
  <c r="AD26" i="14"/>
  <c r="AD27" i="14"/>
  <c r="AD28" i="14"/>
  <c r="AD29" i="14"/>
  <c r="AD30" i="14"/>
  <c r="AD31" i="14"/>
  <c r="AD32" i="14"/>
  <c r="AD33" i="14"/>
  <c r="AD34" i="14"/>
  <c r="AD35" i="14"/>
  <c r="AD36" i="14"/>
  <c r="AD6" i="14"/>
  <c r="AB7" i="14"/>
  <c r="AB8" i="14"/>
  <c r="AB9" i="14"/>
  <c r="AB10" i="14"/>
  <c r="AB11" i="14"/>
  <c r="AB12" i="14"/>
  <c r="AB13" i="14"/>
  <c r="AB14" i="14"/>
  <c r="AB15" i="14"/>
  <c r="AB16" i="14"/>
  <c r="AB17" i="14"/>
  <c r="AB18" i="14"/>
  <c r="AB19" i="14"/>
  <c r="AB20" i="14"/>
  <c r="AB21" i="14"/>
  <c r="AB22" i="14"/>
  <c r="AB23" i="14"/>
  <c r="AB24" i="14"/>
  <c r="AB25" i="14"/>
  <c r="AB26" i="14"/>
  <c r="AB27" i="14"/>
  <c r="AB28" i="14"/>
  <c r="AB29" i="14"/>
  <c r="AB30" i="14"/>
  <c r="AB31" i="14"/>
  <c r="AB32" i="14"/>
  <c r="AB33" i="14"/>
  <c r="AB34" i="14"/>
  <c r="AB35" i="14"/>
  <c r="AB36" i="14"/>
  <c r="AB6" i="14"/>
  <c r="Z7" i="14"/>
  <c r="Z8" i="14"/>
  <c r="Z9" i="14"/>
  <c r="Z10" i="14"/>
  <c r="Z11" i="14"/>
  <c r="Z12" i="14"/>
  <c r="Z13" i="14"/>
  <c r="Z14" i="14"/>
  <c r="Z15" i="14"/>
  <c r="Z16" i="14"/>
  <c r="Z17" i="14"/>
  <c r="Z18" i="14"/>
  <c r="Z19" i="14"/>
  <c r="Z20" i="14"/>
  <c r="Z21" i="14"/>
  <c r="Z22" i="14"/>
  <c r="Z23" i="14"/>
  <c r="Z24" i="14"/>
  <c r="Z25" i="14"/>
  <c r="Z26" i="14"/>
  <c r="Z27" i="14"/>
  <c r="Z28" i="14"/>
  <c r="Z29" i="14"/>
  <c r="Z30" i="14"/>
  <c r="Z31" i="14"/>
  <c r="Z32" i="14"/>
  <c r="Z33" i="14"/>
  <c r="Z34" i="14"/>
  <c r="Z35" i="14"/>
  <c r="Z36" i="14"/>
  <c r="Z6" i="14"/>
  <c r="X7" i="14"/>
  <c r="X8" i="14"/>
  <c r="X9" i="14"/>
  <c r="X10" i="14"/>
  <c r="X11" i="14"/>
  <c r="X12" i="14"/>
  <c r="X13" i="14"/>
  <c r="X14" i="14"/>
  <c r="X15" i="14"/>
  <c r="X16" i="14"/>
  <c r="X17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35" i="14"/>
  <c r="X36" i="14"/>
  <c r="X6" i="14"/>
  <c r="V7" i="14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6" i="14"/>
  <c r="T7" i="14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6" i="14"/>
  <c r="P6" i="14"/>
  <c r="P7" i="14"/>
  <c r="P8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9" i="14"/>
  <c r="R6" i="14"/>
  <c r="R7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8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6" i="14"/>
  <c r="AZ36" i="14"/>
  <c r="AZ35" i="14"/>
  <c r="AZ34" i="14"/>
  <c r="AZ33" i="14"/>
  <c r="AZ32" i="14"/>
  <c r="AZ31" i="14"/>
  <c r="AZ30" i="14"/>
  <c r="AZ29" i="14"/>
  <c r="AZ28" i="14"/>
  <c r="AZ27" i="14"/>
  <c r="AZ26" i="14"/>
  <c r="AZ25" i="14"/>
  <c r="AZ24" i="14"/>
  <c r="AZ23" i="14"/>
  <c r="AZ22" i="14"/>
  <c r="AZ21" i="14"/>
  <c r="AZ20" i="14"/>
  <c r="AZ19" i="14"/>
  <c r="AZ18" i="14"/>
  <c r="AZ17" i="14"/>
  <c r="AZ16" i="14"/>
  <c r="AZ15" i="14"/>
  <c r="AZ14" i="14"/>
  <c r="AZ13" i="14"/>
  <c r="AZ12" i="14"/>
  <c r="AZ11" i="14"/>
  <c r="AZ10" i="14"/>
  <c r="AZ9" i="14"/>
  <c r="AZ8" i="14"/>
  <c r="AZ7" i="14"/>
  <c r="AZ6" i="14"/>
  <c r="AT36" i="14"/>
  <c r="AT35" i="14"/>
  <c r="AT34" i="14"/>
  <c r="AT33" i="14"/>
  <c r="AT32" i="14"/>
  <c r="AT31" i="14"/>
  <c r="AT30" i="14"/>
  <c r="AT29" i="14"/>
  <c r="AT28" i="14"/>
  <c r="AT27" i="14"/>
  <c r="AT26" i="14"/>
  <c r="AT25" i="14"/>
  <c r="AT24" i="14"/>
  <c r="AT23" i="14"/>
  <c r="AT22" i="14"/>
  <c r="AT21" i="14"/>
  <c r="AT20" i="14"/>
  <c r="AT19" i="14"/>
  <c r="AT18" i="14"/>
  <c r="AT17" i="14"/>
  <c r="AT16" i="14"/>
  <c r="AT15" i="14"/>
  <c r="AT14" i="14"/>
  <c r="AT13" i="14"/>
  <c r="AT12" i="14"/>
  <c r="AT11" i="14"/>
  <c r="AT10" i="14"/>
  <c r="AT9" i="14"/>
  <c r="AT8" i="14"/>
  <c r="AT7" i="14"/>
  <c r="AT6" i="14"/>
  <c r="AI134" i="6"/>
  <c r="AG134" i="6"/>
  <c r="AE134" i="6"/>
  <c r="AC134" i="6"/>
  <c r="AA134" i="6"/>
  <c r="Y134" i="6"/>
  <c r="W134" i="6"/>
  <c r="U134" i="6"/>
  <c r="S134" i="6"/>
  <c r="Q134" i="6"/>
  <c r="O134" i="6"/>
  <c r="M134" i="6"/>
  <c r="K134" i="6"/>
  <c r="I134" i="6"/>
  <c r="G134" i="6"/>
  <c r="E134" i="6"/>
  <c r="AI133" i="6"/>
  <c r="AG133" i="6"/>
  <c r="AE133" i="6"/>
  <c r="AC133" i="6"/>
  <c r="AA133" i="6"/>
  <c r="Y133" i="6"/>
  <c r="W133" i="6"/>
  <c r="U133" i="6"/>
  <c r="S133" i="6"/>
  <c r="Q133" i="6"/>
  <c r="O133" i="6"/>
  <c r="M133" i="6"/>
  <c r="K133" i="6"/>
  <c r="I133" i="6"/>
  <c r="G133" i="6"/>
  <c r="E133" i="6"/>
  <c r="AI132" i="6"/>
  <c r="AG132" i="6"/>
  <c r="AE132" i="6"/>
  <c r="AC132" i="6"/>
  <c r="AA132" i="6"/>
  <c r="Y132" i="6"/>
  <c r="W132" i="6"/>
  <c r="U132" i="6"/>
  <c r="S132" i="6"/>
  <c r="Q132" i="6"/>
  <c r="O132" i="6"/>
  <c r="M132" i="6"/>
  <c r="K132" i="6"/>
  <c r="I132" i="6"/>
  <c r="G132" i="6"/>
  <c r="E132" i="6"/>
  <c r="AI131" i="6"/>
  <c r="AG131" i="6"/>
  <c r="AE131" i="6"/>
  <c r="AC131" i="6"/>
  <c r="AA131" i="6"/>
  <c r="Y131" i="6"/>
  <c r="W131" i="6"/>
  <c r="U131" i="6"/>
  <c r="S131" i="6"/>
  <c r="Q131" i="6"/>
  <c r="O131" i="6"/>
  <c r="M131" i="6"/>
  <c r="K131" i="6"/>
  <c r="I131" i="6"/>
  <c r="G131" i="6"/>
  <c r="E131" i="6"/>
  <c r="AI130" i="6"/>
  <c r="AG130" i="6"/>
  <c r="AE130" i="6"/>
  <c r="AC130" i="6"/>
  <c r="AA130" i="6"/>
  <c r="Y130" i="6"/>
  <c r="W130" i="6"/>
  <c r="U130" i="6"/>
  <c r="S130" i="6"/>
  <c r="Q130" i="6"/>
  <c r="O130" i="6"/>
  <c r="M130" i="6"/>
  <c r="K130" i="6"/>
  <c r="I130" i="6"/>
  <c r="G130" i="6"/>
  <c r="E130" i="6"/>
  <c r="AI129" i="6"/>
  <c r="AG129" i="6"/>
  <c r="AE129" i="6"/>
  <c r="AC129" i="6"/>
  <c r="AA129" i="6"/>
  <c r="Y129" i="6"/>
  <c r="W129" i="6"/>
  <c r="U129" i="6"/>
  <c r="S129" i="6"/>
  <c r="Q129" i="6"/>
  <c r="O129" i="6"/>
  <c r="M129" i="6"/>
  <c r="K129" i="6"/>
  <c r="I129" i="6"/>
  <c r="G129" i="6"/>
  <c r="E129" i="6"/>
  <c r="AI128" i="6"/>
  <c r="AG128" i="6"/>
  <c r="AE128" i="6"/>
  <c r="AC128" i="6"/>
  <c r="AA128" i="6"/>
  <c r="Y128" i="6"/>
  <c r="W128" i="6"/>
  <c r="U128" i="6"/>
  <c r="S128" i="6"/>
  <c r="Q128" i="6"/>
  <c r="O128" i="6"/>
  <c r="M128" i="6"/>
  <c r="K128" i="6"/>
  <c r="I128" i="6"/>
  <c r="G128" i="6"/>
  <c r="E128" i="6"/>
  <c r="AI127" i="6"/>
  <c r="AG127" i="6"/>
  <c r="AE127" i="6"/>
  <c r="AC127" i="6"/>
  <c r="AA127" i="6"/>
  <c r="Y127" i="6"/>
  <c r="W127" i="6"/>
  <c r="U127" i="6"/>
  <c r="S127" i="6"/>
  <c r="Q127" i="6"/>
  <c r="O127" i="6"/>
  <c r="M127" i="6"/>
  <c r="K127" i="6"/>
  <c r="I127" i="6"/>
  <c r="G127" i="6"/>
  <c r="E127" i="6"/>
  <c r="AI126" i="6"/>
  <c r="AG126" i="6"/>
  <c r="AE126" i="6"/>
  <c r="AC126" i="6"/>
  <c r="AA126" i="6"/>
  <c r="Y126" i="6"/>
  <c r="W126" i="6"/>
  <c r="U126" i="6"/>
  <c r="S126" i="6"/>
  <c r="Q126" i="6"/>
  <c r="O126" i="6"/>
  <c r="M126" i="6"/>
  <c r="K126" i="6"/>
  <c r="I126" i="6"/>
  <c r="G126" i="6"/>
  <c r="E126" i="6"/>
  <c r="AI125" i="6"/>
  <c r="AG125" i="6"/>
  <c r="AE125" i="6"/>
  <c r="AC125" i="6"/>
  <c r="AA125" i="6"/>
  <c r="Y125" i="6"/>
  <c r="W125" i="6"/>
  <c r="U125" i="6"/>
  <c r="S125" i="6"/>
  <c r="Q125" i="6"/>
  <c r="O125" i="6"/>
  <c r="M125" i="6"/>
  <c r="K125" i="6"/>
  <c r="I125" i="6"/>
  <c r="G125" i="6"/>
  <c r="E125" i="6"/>
  <c r="AI124" i="6"/>
  <c r="AG124" i="6"/>
  <c r="AE124" i="6"/>
  <c r="AC124" i="6"/>
  <c r="AA124" i="6"/>
  <c r="Y124" i="6"/>
  <c r="W124" i="6"/>
  <c r="U124" i="6"/>
  <c r="S124" i="6"/>
  <c r="Q124" i="6"/>
  <c r="O124" i="6"/>
  <c r="M124" i="6"/>
  <c r="K124" i="6"/>
  <c r="I124" i="6"/>
  <c r="G124" i="6"/>
  <c r="E124" i="6"/>
  <c r="AI123" i="6"/>
  <c r="AG123" i="6"/>
  <c r="AE123" i="6"/>
  <c r="AC123" i="6"/>
  <c r="AA123" i="6"/>
  <c r="Y123" i="6"/>
  <c r="W123" i="6"/>
  <c r="U123" i="6"/>
  <c r="S123" i="6"/>
  <c r="Q123" i="6"/>
  <c r="O123" i="6"/>
  <c r="M123" i="6"/>
  <c r="K123" i="6"/>
  <c r="I123" i="6"/>
  <c r="G123" i="6"/>
  <c r="E123" i="6"/>
  <c r="AI122" i="6"/>
  <c r="AG122" i="6"/>
  <c r="AE122" i="6"/>
  <c r="AC122" i="6"/>
  <c r="AA122" i="6"/>
  <c r="Y122" i="6"/>
  <c r="W122" i="6"/>
  <c r="U122" i="6"/>
  <c r="S122" i="6"/>
  <c r="Q122" i="6"/>
  <c r="O122" i="6"/>
  <c r="M122" i="6"/>
  <c r="K122" i="6"/>
  <c r="I122" i="6"/>
  <c r="G122" i="6"/>
  <c r="AJ122" i="6" s="1"/>
  <c r="E122" i="6"/>
  <c r="AI121" i="6"/>
  <c r="AG121" i="6"/>
  <c r="AE121" i="6"/>
  <c r="AC121" i="6"/>
  <c r="AA121" i="6"/>
  <c r="Y121" i="6"/>
  <c r="W121" i="6"/>
  <c r="U121" i="6"/>
  <c r="S121" i="6"/>
  <c r="Q121" i="6"/>
  <c r="O121" i="6"/>
  <c r="M121" i="6"/>
  <c r="K121" i="6"/>
  <c r="I121" i="6"/>
  <c r="G121" i="6"/>
  <c r="E121" i="6"/>
  <c r="AI120" i="6"/>
  <c r="AG120" i="6"/>
  <c r="AE120" i="6"/>
  <c r="AC120" i="6"/>
  <c r="AA120" i="6"/>
  <c r="Y120" i="6"/>
  <c r="W120" i="6"/>
  <c r="U120" i="6"/>
  <c r="S120" i="6"/>
  <c r="Q120" i="6"/>
  <c r="O120" i="6"/>
  <c r="M120" i="6"/>
  <c r="K120" i="6"/>
  <c r="I120" i="6"/>
  <c r="G120" i="6"/>
  <c r="E120" i="6"/>
  <c r="AI119" i="6"/>
  <c r="AG119" i="6"/>
  <c r="AE119" i="6"/>
  <c r="AC119" i="6"/>
  <c r="AA119" i="6"/>
  <c r="Y119" i="6"/>
  <c r="W119" i="6"/>
  <c r="U119" i="6"/>
  <c r="S119" i="6"/>
  <c r="Q119" i="6"/>
  <c r="O119" i="6"/>
  <c r="M119" i="6"/>
  <c r="K119" i="6"/>
  <c r="I119" i="6"/>
  <c r="G119" i="6"/>
  <c r="E119" i="6"/>
  <c r="AI118" i="6"/>
  <c r="AG118" i="6"/>
  <c r="AE118" i="6"/>
  <c r="AC118" i="6"/>
  <c r="AA118" i="6"/>
  <c r="Y118" i="6"/>
  <c r="W118" i="6"/>
  <c r="U118" i="6"/>
  <c r="S118" i="6"/>
  <c r="Q118" i="6"/>
  <c r="O118" i="6"/>
  <c r="M118" i="6"/>
  <c r="K118" i="6"/>
  <c r="I118" i="6"/>
  <c r="G118" i="6"/>
  <c r="E118" i="6"/>
  <c r="AI117" i="6"/>
  <c r="AG117" i="6"/>
  <c r="AE117" i="6"/>
  <c r="AC117" i="6"/>
  <c r="AA117" i="6"/>
  <c r="Y117" i="6"/>
  <c r="W117" i="6"/>
  <c r="U117" i="6"/>
  <c r="S117" i="6"/>
  <c r="Q117" i="6"/>
  <c r="O117" i="6"/>
  <c r="M117" i="6"/>
  <c r="K117" i="6"/>
  <c r="I117" i="6"/>
  <c r="G117" i="6"/>
  <c r="E117" i="6"/>
  <c r="AI116" i="6"/>
  <c r="AG116" i="6"/>
  <c r="AE116" i="6"/>
  <c r="AC116" i="6"/>
  <c r="AA116" i="6"/>
  <c r="Y116" i="6"/>
  <c r="W116" i="6"/>
  <c r="U116" i="6"/>
  <c r="S116" i="6"/>
  <c r="Q116" i="6"/>
  <c r="O116" i="6"/>
  <c r="M116" i="6"/>
  <c r="K116" i="6"/>
  <c r="I116" i="6"/>
  <c r="G116" i="6"/>
  <c r="E116" i="6"/>
  <c r="AI115" i="6"/>
  <c r="AG115" i="6"/>
  <c r="AE115" i="6"/>
  <c r="AC115" i="6"/>
  <c r="AA115" i="6"/>
  <c r="Y115" i="6"/>
  <c r="W115" i="6"/>
  <c r="U115" i="6"/>
  <c r="S115" i="6"/>
  <c r="Q115" i="6"/>
  <c r="O115" i="6"/>
  <c r="M115" i="6"/>
  <c r="K115" i="6"/>
  <c r="I115" i="6"/>
  <c r="G115" i="6"/>
  <c r="E115" i="6"/>
  <c r="AI114" i="6"/>
  <c r="AG114" i="6"/>
  <c r="AE114" i="6"/>
  <c r="AC114" i="6"/>
  <c r="AA114" i="6"/>
  <c r="Y114" i="6"/>
  <c r="W114" i="6"/>
  <c r="U114" i="6"/>
  <c r="S114" i="6"/>
  <c r="Q114" i="6"/>
  <c r="O114" i="6"/>
  <c r="M114" i="6"/>
  <c r="K114" i="6"/>
  <c r="I114" i="6"/>
  <c r="G114" i="6"/>
  <c r="E114" i="6"/>
  <c r="AI113" i="6"/>
  <c r="AG113" i="6"/>
  <c r="AE113" i="6"/>
  <c r="AC113" i="6"/>
  <c r="AA113" i="6"/>
  <c r="Y113" i="6"/>
  <c r="W113" i="6"/>
  <c r="U113" i="6"/>
  <c r="S113" i="6"/>
  <c r="Q113" i="6"/>
  <c r="O113" i="6"/>
  <c r="M113" i="6"/>
  <c r="K113" i="6"/>
  <c r="I113" i="6"/>
  <c r="G113" i="6"/>
  <c r="E113" i="6"/>
  <c r="AI112" i="6"/>
  <c r="AG112" i="6"/>
  <c r="AE112" i="6"/>
  <c r="AC112" i="6"/>
  <c r="AA112" i="6"/>
  <c r="Y112" i="6"/>
  <c r="W112" i="6"/>
  <c r="U112" i="6"/>
  <c r="S112" i="6"/>
  <c r="Q112" i="6"/>
  <c r="O112" i="6"/>
  <c r="M112" i="6"/>
  <c r="K112" i="6"/>
  <c r="I112" i="6"/>
  <c r="G112" i="6"/>
  <c r="E112" i="6"/>
  <c r="AI111" i="6"/>
  <c r="AG111" i="6"/>
  <c r="AE111" i="6"/>
  <c r="AC111" i="6"/>
  <c r="AA111" i="6"/>
  <c r="Y111" i="6"/>
  <c r="W111" i="6"/>
  <c r="U111" i="6"/>
  <c r="S111" i="6"/>
  <c r="Q111" i="6"/>
  <c r="O111" i="6"/>
  <c r="M111" i="6"/>
  <c r="K111" i="6"/>
  <c r="I111" i="6"/>
  <c r="G111" i="6"/>
  <c r="E111" i="6"/>
  <c r="AI110" i="6"/>
  <c r="AG110" i="6"/>
  <c r="AE110" i="6"/>
  <c r="AC110" i="6"/>
  <c r="AA110" i="6"/>
  <c r="Y110" i="6"/>
  <c r="W110" i="6"/>
  <c r="U110" i="6"/>
  <c r="S110" i="6"/>
  <c r="Q110" i="6"/>
  <c r="O110" i="6"/>
  <c r="M110" i="6"/>
  <c r="K110" i="6"/>
  <c r="I110" i="6"/>
  <c r="G110" i="6"/>
  <c r="E110" i="6"/>
  <c r="AI109" i="6"/>
  <c r="AG109" i="6"/>
  <c r="AE109" i="6"/>
  <c r="AC109" i="6"/>
  <c r="AA109" i="6"/>
  <c r="Y109" i="6"/>
  <c r="W109" i="6"/>
  <c r="U109" i="6"/>
  <c r="S109" i="6"/>
  <c r="Q109" i="6"/>
  <c r="O109" i="6"/>
  <c r="M109" i="6"/>
  <c r="K109" i="6"/>
  <c r="I109" i="6"/>
  <c r="G109" i="6"/>
  <c r="E109" i="6"/>
  <c r="AI108" i="6"/>
  <c r="AG108" i="6"/>
  <c r="AE108" i="6"/>
  <c r="AC108" i="6"/>
  <c r="AA108" i="6"/>
  <c r="Y108" i="6"/>
  <c r="W108" i="6"/>
  <c r="U108" i="6"/>
  <c r="S108" i="6"/>
  <c r="Q108" i="6"/>
  <c r="O108" i="6"/>
  <c r="M108" i="6"/>
  <c r="K108" i="6"/>
  <c r="I108" i="6"/>
  <c r="G108" i="6"/>
  <c r="E108" i="6"/>
  <c r="AI107" i="6"/>
  <c r="AG107" i="6"/>
  <c r="AE107" i="6"/>
  <c r="AC107" i="6"/>
  <c r="AA107" i="6"/>
  <c r="Y107" i="6"/>
  <c r="W107" i="6"/>
  <c r="U107" i="6"/>
  <c r="S107" i="6"/>
  <c r="Q107" i="6"/>
  <c r="O107" i="6"/>
  <c r="M107" i="6"/>
  <c r="K107" i="6"/>
  <c r="I107" i="6"/>
  <c r="G107" i="6"/>
  <c r="E107" i="6"/>
  <c r="AI106" i="6"/>
  <c r="AG106" i="6"/>
  <c r="AE106" i="6"/>
  <c r="AC106" i="6"/>
  <c r="AA106" i="6"/>
  <c r="Y106" i="6"/>
  <c r="W106" i="6"/>
  <c r="U106" i="6"/>
  <c r="S106" i="6"/>
  <c r="Q106" i="6"/>
  <c r="O106" i="6"/>
  <c r="M106" i="6"/>
  <c r="K106" i="6"/>
  <c r="I106" i="6"/>
  <c r="G106" i="6"/>
  <c r="E106" i="6"/>
  <c r="AI105" i="6"/>
  <c r="AG105" i="6"/>
  <c r="AE105" i="6"/>
  <c r="AC105" i="6"/>
  <c r="AA105" i="6"/>
  <c r="Y105" i="6"/>
  <c r="W105" i="6"/>
  <c r="U105" i="6"/>
  <c r="S105" i="6"/>
  <c r="Q105" i="6"/>
  <c r="O105" i="6"/>
  <c r="M105" i="6"/>
  <c r="K105" i="6"/>
  <c r="I105" i="6"/>
  <c r="G105" i="6"/>
  <c r="E105" i="6"/>
  <c r="AI104" i="6"/>
  <c r="AG104" i="6"/>
  <c r="AE104" i="6"/>
  <c r="AC104" i="6"/>
  <c r="AA104" i="6"/>
  <c r="AA135" i="6" s="1"/>
  <c r="Y104" i="6"/>
  <c r="W104" i="6"/>
  <c r="U104" i="6"/>
  <c r="S104" i="6"/>
  <c r="Q104" i="6"/>
  <c r="O104" i="6"/>
  <c r="M104" i="6"/>
  <c r="K104" i="6"/>
  <c r="I104" i="6"/>
  <c r="G104" i="6"/>
  <c r="E104" i="6"/>
  <c r="AI103" i="6"/>
  <c r="AI135" i="6" s="1"/>
  <c r="AG103" i="6"/>
  <c r="AE103" i="6"/>
  <c r="AC103" i="6"/>
  <c r="AC135" i="6" s="1"/>
  <c r="AA103" i="6"/>
  <c r="Y103" i="6"/>
  <c r="Y135" i="6" s="1"/>
  <c r="W103" i="6"/>
  <c r="U103" i="6"/>
  <c r="U135" i="6" s="1"/>
  <c r="S103" i="6"/>
  <c r="S135" i="6" s="1"/>
  <c r="Q103" i="6"/>
  <c r="Q135" i="6" s="1"/>
  <c r="O103" i="6"/>
  <c r="O135" i="6" s="1"/>
  <c r="M103" i="6"/>
  <c r="M135" i="6" s="1"/>
  <c r="K103" i="6"/>
  <c r="K135" i="6" s="1"/>
  <c r="I103" i="6"/>
  <c r="G103" i="6"/>
  <c r="G135" i="6" s="1"/>
  <c r="E103" i="6"/>
  <c r="E135" i="6" s="1"/>
  <c r="X134" i="11"/>
  <c r="V134" i="11"/>
  <c r="T134" i="11"/>
  <c r="R134" i="11"/>
  <c r="P134" i="11"/>
  <c r="N134" i="11"/>
  <c r="L134" i="11"/>
  <c r="J134" i="11"/>
  <c r="H134" i="11"/>
  <c r="F134" i="11"/>
  <c r="D134" i="11"/>
  <c r="X133" i="11"/>
  <c r="V133" i="11"/>
  <c r="T133" i="11"/>
  <c r="R133" i="11"/>
  <c r="P133" i="11"/>
  <c r="N133" i="11"/>
  <c r="L133" i="11"/>
  <c r="J133" i="11"/>
  <c r="H133" i="11"/>
  <c r="F133" i="11"/>
  <c r="D133" i="11"/>
  <c r="X132" i="11"/>
  <c r="V132" i="11"/>
  <c r="T132" i="11"/>
  <c r="R132" i="11"/>
  <c r="P132" i="11"/>
  <c r="N132" i="11"/>
  <c r="L132" i="11"/>
  <c r="J132" i="11"/>
  <c r="H132" i="11"/>
  <c r="F132" i="11"/>
  <c r="D132" i="11"/>
  <c r="X131" i="11"/>
  <c r="V131" i="11"/>
  <c r="T131" i="11"/>
  <c r="R131" i="11"/>
  <c r="P131" i="11"/>
  <c r="N131" i="11"/>
  <c r="L131" i="11"/>
  <c r="J131" i="11"/>
  <c r="H131" i="11"/>
  <c r="F131" i="11"/>
  <c r="D131" i="11"/>
  <c r="X130" i="11"/>
  <c r="V130" i="11"/>
  <c r="T130" i="11"/>
  <c r="R130" i="11"/>
  <c r="P130" i="11"/>
  <c r="N130" i="11"/>
  <c r="L130" i="11"/>
  <c r="J130" i="11"/>
  <c r="H130" i="11"/>
  <c r="F130" i="11"/>
  <c r="D130" i="11"/>
  <c r="X129" i="11"/>
  <c r="V129" i="11"/>
  <c r="T129" i="11"/>
  <c r="R129" i="11"/>
  <c r="P129" i="11"/>
  <c r="N129" i="11"/>
  <c r="L129" i="11"/>
  <c r="J129" i="11"/>
  <c r="H129" i="11"/>
  <c r="F129" i="11"/>
  <c r="D129" i="11"/>
  <c r="X128" i="11"/>
  <c r="V128" i="11"/>
  <c r="T128" i="11"/>
  <c r="R128" i="11"/>
  <c r="P128" i="11"/>
  <c r="N128" i="11"/>
  <c r="L128" i="11"/>
  <c r="J128" i="11"/>
  <c r="H128" i="11"/>
  <c r="F128" i="11"/>
  <c r="D128" i="11"/>
  <c r="X127" i="11"/>
  <c r="V127" i="11"/>
  <c r="T127" i="11"/>
  <c r="R127" i="11"/>
  <c r="P127" i="11"/>
  <c r="N127" i="11"/>
  <c r="L127" i="11"/>
  <c r="J127" i="11"/>
  <c r="H127" i="11"/>
  <c r="F127" i="11"/>
  <c r="D127" i="11"/>
  <c r="X126" i="11"/>
  <c r="V126" i="11"/>
  <c r="T126" i="11"/>
  <c r="R126" i="11"/>
  <c r="P126" i="11"/>
  <c r="N126" i="11"/>
  <c r="L126" i="11"/>
  <c r="J126" i="11"/>
  <c r="H126" i="11"/>
  <c r="F126" i="11"/>
  <c r="D126" i="11"/>
  <c r="X125" i="11"/>
  <c r="V125" i="11"/>
  <c r="T125" i="11"/>
  <c r="R125" i="11"/>
  <c r="P125" i="11"/>
  <c r="N125" i="11"/>
  <c r="L125" i="11"/>
  <c r="J125" i="11"/>
  <c r="H125" i="11"/>
  <c r="F125" i="11"/>
  <c r="D125" i="11"/>
  <c r="X124" i="11"/>
  <c r="V124" i="11"/>
  <c r="T124" i="11"/>
  <c r="R124" i="11"/>
  <c r="P124" i="11"/>
  <c r="N124" i="11"/>
  <c r="L124" i="11"/>
  <c r="J124" i="11"/>
  <c r="H124" i="11"/>
  <c r="F124" i="11"/>
  <c r="D124" i="11"/>
  <c r="X123" i="11"/>
  <c r="V123" i="11"/>
  <c r="T123" i="11"/>
  <c r="R123" i="11"/>
  <c r="P123" i="11"/>
  <c r="N123" i="11"/>
  <c r="L123" i="11"/>
  <c r="J123" i="11"/>
  <c r="H123" i="11"/>
  <c r="F123" i="11"/>
  <c r="D123" i="11"/>
  <c r="X122" i="11"/>
  <c r="V122" i="11"/>
  <c r="T122" i="11"/>
  <c r="R122" i="11"/>
  <c r="P122" i="11"/>
  <c r="N122" i="11"/>
  <c r="L122" i="11"/>
  <c r="J122" i="11"/>
  <c r="H122" i="11"/>
  <c r="F122" i="11"/>
  <c r="D122" i="11"/>
  <c r="X121" i="11"/>
  <c r="V121" i="11"/>
  <c r="T121" i="11"/>
  <c r="R121" i="11"/>
  <c r="P121" i="11"/>
  <c r="N121" i="11"/>
  <c r="L121" i="11"/>
  <c r="J121" i="11"/>
  <c r="H121" i="11"/>
  <c r="F121" i="11"/>
  <c r="D121" i="11"/>
  <c r="X120" i="11"/>
  <c r="V120" i="11"/>
  <c r="T120" i="11"/>
  <c r="R120" i="11"/>
  <c r="P120" i="11"/>
  <c r="N120" i="11"/>
  <c r="L120" i="11"/>
  <c r="J120" i="11"/>
  <c r="H120" i="11"/>
  <c r="F120" i="11"/>
  <c r="D120" i="11"/>
  <c r="X119" i="11"/>
  <c r="V119" i="11"/>
  <c r="T119" i="11"/>
  <c r="R119" i="11"/>
  <c r="P119" i="11"/>
  <c r="N119" i="11"/>
  <c r="L119" i="11"/>
  <c r="J119" i="11"/>
  <c r="H119" i="11"/>
  <c r="F119" i="11"/>
  <c r="D119" i="11"/>
  <c r="X118" i="11"/>
  <c r="V118" i="11"/>
  <c r="T118" i="11"/>
  <c r="R118" i="11"/>
  <c r="P118" i="11"/>
  <c r="N118" i="11"/>
  <c r="L118" i="11"/>
  <c r="J118" i="11"/>
  <c r="H118" i="11"/>
  <c r="F118" i="11"/>
  <c r="D118" i="11"/>
  <c r="X117" i="11"/>
  <c r="V117" i="11"/>
  <c r="T117" i="11"/>
  <c r="R117" i="11"/>
  <c r="P117" i="11"/>
  <c r="N117" i="11"/>
  <c r="L117" i="11"/>
  <c r="J117" i="11"/>
  <c r="H117" i="11"/>
  <c r="F117" i="11"/>
  <c r="D117" i="11"/>
  <c r="X116" i="11"/>
  <c r="V116" i="11"/>
  <c r="T116" i="11"/>
  <c r="R116" i="11"/>
  <c r="P116" i="11"/>
  <c r="N116" i="11"/>
  <c r="L116" i="11"/>
  <c r="J116" i="11"/>
  <c r="H116" i="11"/>
  <c r="F116" i="11"/>
  <c r="D116" i="11"/>
  <c r="X115" i="11"/>
  <c r="V115" i="11"/>
  <c r="T115" i="11"/>
  <c r="R115" i="11"/>
  <c r="P115" i="11"/>
  <c r="N115" i="11"/>
  <c r="L115" i="11"/>
  <c r="J115" i="11"/>
  <c r="H115" i="11"/>
  <c r="F115" i="11"/>
  <c r="D115" i="11"/>
  <c r="X114" i="11"/>
  <c r="V114" i="11"/>
  <c r="T114" i="11"/>
  <c r="R114" i="11"/>
  <c r="P114" i="11"/>
  <c r="N114" i="11"/>
  <c r="L114" i="11"/>
  <c r="J114" i="11"/>
  <c r="H114" i="11"/>
  <c r="F114" i="11"/>
  <c r="D114" i="11"/>
  <c r="X113" i="11"/>
  <c r="V113" i="11"/>
  <c r="T113" i="11"/>
  <c r="R113" i="11"/>
  <c r="P113" i="11"/>
  <c r="N113" i="11"/>
  <c r="L113" i="11"/>
  <c r="J113" i="11"/>
  <c r="H113" i="11"/>
  <c r="F113" i="11"/>
  <c r="D113" i="11"/>
  <c r="X112" i="11"/>
  <c r="V112" i="11"/>
  <c r="T112" i="11"/>
  <c r="R112" i="11"/>
  <c r="P112" i="11"/>
  <c r="N112" i="11"/>
  <c r="L112" i="11"/>
  <c r="J112" i="11"/>
  <c r="H112" i="11"/>
  <c r="F112" i="11"/>
  <c r="D112" i="11"/>
  <c r="X111" i="11"/>
  <c r="V111" i="11"/>
  <c r="T111" i="11"/>
  <c r="R111" i="11"/>
  <c r="P111" i="11"/>
  <c r="N111" i="11"/>
  <c r="L111" i="11"/>
  <c r="J111" i="11"/>
  <c r="H111" i="11"/>
  <c r="F111" i="11"/>
  <c r="D111" i="11"/>
  <c r="X110" i="11"/>
  <c r="V110" i="11"/>
  <c r="T110" i="11"/>
  <c r="R110" i="11"/>
  <c r="P110" i="11"/>
  <c r="N110" i="11"/>
  <c r="L110" i="11"/>
  <c r="J110" i="11"/>
  <c r="H110" i="11"/>
  <c r="F110" i="11"/>
  <c r="D110" i="11"/>
  <c r="X109" i="11"/>
  <c r="V109" i="11"/>
  <c r="T109" i="11"/>
  <c r="R109" i="11"/>
  <c r="P109" i="11"/>
  <c r="N109" i="11"/>
  <c r="L109" i="11"/>
  <c r="J109" i="11"/>
  <c r="H109" i="11"/>
  <c r="F109" i="11"/>
  <c r="D109" i="11"/>
  <c r="X108" i="11"/>
  <c r="V108" i="11"/>
  <c r="T108" i="11"/>
  <c r="R108" i="11"/>
  <c r="P108" i="11"/>
  <c r="N108" i="11"/>
  <c r="L108" i="11"/>
  <c r="J108" i="11"/>
  <c r="H108" i="11"/>
  <c r="F108" i="11"/>
  <c r="D108" i="11"/>
  <c r="X107" i="11"/>
  <c r="V107" i="11"/>
  <c r="T107" i="11"/>
  <c r="R107" i="11"/>
  <c r="P107" i="11"/>
  <c r="N107" i="11"/>
  <c r="L107" i="11"/>
  <c r="J107" i="11"/>
  <c r="H107" i="11"/>
  <c r="F107" i="11"/>
  <c r="D107" i="11"/>
  <c r="X106" i="11"/>
  <c r="V106" i="11"/>
  <c r="T106" i="11"/>
  <c r="R106" i="11"/>
  <c r="P106" i="11"/>
  <c r="N106" i="11"/>
  <c r="L106" i="11"/>
  <c r="J106" i="11"/>
  <c r="H106" i="11"/>
  <c r="F106" i="11"/>
  <c r="D106" i="11"/>
  <c r="X105" i="11"/>
  <c r="V105" i="11"/>
  <c r="T105" i="11"/>
  <c r="R105" i="11"/>
  <c r="P105" i="11"/>
  <c r="N105" i="11"/>
  <c r="L105" i="11"/>
  <c r="J105" i="11"/>
  <c r="H105" i="11"/>
  <c r="F105" i="11"/>
  <c r="D105" i="11"/>
  <c r="X104" i="11"/>
  <c r="V104" i="11"/>
  <c r="T104" i="11"/>
  <c r="R104" i="11"/>
  <c r="P104" i="11"/>
  <c r="N104" i="11"/>
  <c r="L104" i="11"/>
  <c r="J104" i="11"/>
  <c r="H104" i="11"/>
  <c r="F104" i="11"/>
  <c r="D104" i="11"/>
  <c r="X103" i="11"/>
  <c r="X135" i="11" s="1"/>
  <c r="V103" i="11"/>
  <c r="T103" i="11"/>
  <c r="R103" i="11"/>
  <c r="P103" i="11"/>
  <c r="P135" i="11" s="1"/>
  <c r="U136" i="6" s="1"/>
  <c r="N103" i="11"/>
  <c r="L103" i="11"/>
  <c r="J103" i="11"/>
  <c r="H103" i="11"/>
  <c r="H135" i="11" s="1"/>
  <c r="F103" i="11"/>
  <c r="D103" i="11"/>
  <c r="X134" i="10"/>
  <c r="V134" i="10"/>
  <c r="T134" i="10"/>
  <c r="R134" i="10"/>
  <c r="P134" i="10"/>
  <c r="N134" i="10"/>
  <c r="L134" i="10"/>
  <c r="J134" i="10"/>
  <c r="H134" i="10"/>
  <c r="F134" i="10"/>
  <c r="D134" i="10"/>
  <c r="X133" i="10"/>
  <c r="V133" i="10"/>
  <c r="T133" i="10"/>
  <c r="R133" i="10"/>
  <c r="P133" i="10"/>
  <c r="N133" i="10"/>
  <c r="L133" i="10"/>
  <c r="J133" i="10"/>
  <c r="H133" i="10"/>
  <c r="F133" i="10"/>
  <c r="D133" i="10"/>
  <c r="X132" i="10"/>
  <c r="V132" i="10"/>
  <c r="T132" i="10"/>
  <c r="R132" i="10"/>
  <c r="P132" i="10"/>
  <c r="N132" i="10"/>
  <c r="L132" i="10"/>
  <c r="J132" i="10"/>
  <c r="H132" i="10"/>
  <c r="F132" i="10"/>
  <c r="D132" i="10"/>
  <c r="X131" i="10"/>
  <c r="V131" i="10"/>
  <c r="T131" i="10"/>
  <c r="R131" i="10"/>
  <c r="P131" i="10"/>
  <c r="N131" i="10"/>
  <c r="L131" i="10"/>
  <c r="J131" i="10"/>
  <c r="H131" i="10"/>
  <c r="F131" i="10"/>
  <c r="D131" i="10"/>
  <c r="X130" i="10"/>
  <c r="V130" i="10"/>
  <c r="T130" i="10"/>
  <c r="R130" i="10"/>
  <c r="P130" i="10"/>
  <c r="N130" i="10"/>
  <c r="L130" i="10"/>
  <c r="J130" i="10"/>
  <c r="H130" i="10"/>
  <c r="F130" i="10"/>
  <c r="D130" i="10"/>
  <c r="X129" i="10"/>
  <c r="V129" i="10"/>
  <c r="T129" i="10"/>
  <c r="R129" i="10"/>
  <c r="P129" i="10"/>
  <c r="N129" i="10"/>
  <c r="L129" i="10"/>
  <c r="J129" i="10"/>
  <c r="H129" i="10"/>
  <c r="F129" i="10"/>
  <c r="D129" i="10"/>
  <c r="X128" i="10"/>
  <c r="V128" i="10"/>
  <c r="T128" i="10"/>
  <c r="R128" i="10"/>
  <c r="P128" i="10"/>
  <c r="N128" i="10"/>
  <c r="L128" i="10"/>
  <c r="J128" i="10"/>
  <c r="H128" i="10"/>
  <c r="F128" i="10"/>
  <c r="D128" i="10"/>
  <c r="X127" i="10"/>
  <c r="V127" i="10"/>
  <c r="T127" i="10"/>
  <c r="R127" i="10"/>
  <c r="P127" i="10"/>
  <c r="N127" i="10"/>
  <c r="L127" i="10"/>
  <c r="J127" i="10"/>
  <c r="H127" i="10"/>
  <c r="F127" i="10"/>
  <c r="D127" i="10"/>
  <c r="X126" i="10"/>
  <c r="V126" i="10"/>
  <c r="T126" i="10"/>
  <c r="R126" i="10"/>
  <c r="P126" i="10"/>
  <c r="N126" i="10"/>
  <c r="L126" i="10"/>
  <c r="J126" i="10"/>
  <c r="H126" i="10"/>
  <c r="F126" i="10"/>
  <c r="D126" i="10"/>
  <c r="X125" i="10"/>
  <c r="V125" i="10"/>
  <c r="T125" i="10"/>
  <c r="R125" i="10"/>
  <c r="P125" i="10"/>
  <c r="N125" i="10"/>
  <c r="L125" i="10"/>
  <c r="J125" i="10"/>
  <c r="H125" i="10"/>
  <c r="F125" i="10"/>
  <c r="D125" i="10"/>
  <c r="X124" i="10"/>
  <c r="V124" i="10"/>
  <c r="T124" i="10"/>
  <c r="R124" i="10"/>
  <c r="P124" i="10"/>
  <c r="N124" i="10"/>
  <c r="L124" i="10"/>
  <c r="J124" i="10"/>
  <c r="H124" i="10"/>
  <c r="F124" i="10"/>
  <c r="D124" i="10"/>
  <c r="X123" i="10"/>
  <c r="V123" i="10"/>
  <c r="T123" i="10"/>
  <c r="R123" i="10"/>
  <c r="P123" i="10"/>
  <c r="N123" i="10"/>
  <c r="L123" i="10"/>
  <c r="J123" i="10"/>
  <c r="H123" i="10"/>
  <c r="F123" i="10"/>
  <c r="D123" i="10"/>
  <c r="X122" i="10"/>
  <c r="V122" i="10"/>
  <c r="T122" i="10"/>
  <c r="R122" i="10"/>
  <c r="P122" i="10"/>
  <c r="N122" i="10"/>
  <c r="L122" i="10"/>
  <c r="J122" i="10"/>
  <c r="H122" i="10"/>
  <c r="F122" i="10"/>
  <c r="D122" i="10"/>
  <c r="X121" i="10"/>
  <c r="V121" i="10"/>
  <c r="T121" i="10"/>
  <c r="R121" i="10"/>
  <c r="P121" i="10"/>
  <c r="N121" i="10"/>
  <c r="L121" i="10"/>
  <c r="J121" i="10"/>
  <c r="H121" i="10"/>
  <c r="F121" i="10"/>
  <c r="D121" i="10"/>
  <c r="X120" i="10"/>
  <c r="V120" i="10"/>
  <c r="T120" i="10"/>
  <c r="R120" i="10"/>
  <c r="P120" i="10"/>
  <c r="N120" i="10"/>
  <c r="L120" i="10"/>
  <c r="J120" i="10"/>
  <c r="H120" i="10"/>
  <c r="F120" i="10"/>
  <c r="D120" i="10"/>
  <c r="X119" i="10"/>
  <c r="V119" i="10"/>
  <c r="T119" i="10"/>
  <c r="R119" i="10"/>
  <c r="P119" i="10"/>
  <c r="N119" i="10"/>
  <c r="L119" i="10"/>
  <c r="J119" i="10"/>
  <c r="H119" i="10"/>
  <c r="F119" i="10"/>
  <c r="D119" i="10"/>
  <c r="X118" i="10"/>
  <c r="V118" i="10"/>
  <c r="T118" i="10"/>
  <c r="R118" i="10"/>
  <c r="P118" i="10"/>
  <c r="N118" i="10"/>
  <c r="L118" i="10"/>
  <c r="J118" i="10"/>
  <c r="H118" i="10"/>
  <c r="F118" i="10"/>
  <c r="D118" i="10"/>
  <c r="X117" i="10"/>
  <c r="V117" i="10"/>
  <c r="T117" i="10"/>
  <c r="R117" i="10"/>
  <c r="P117" i="10"/>
  <c r="N117" i="10"/>
  <c r="L117" i="10"/>
  <c r="J117" i="10"/>
  <c r="H117" i="10"/>
  <c r="F117" i="10"/>
  <c r="D117" i="10"/>
  <c r="X116" i="10"/>
  <c r="V116" i="10"/>
  <c r="T116" i="10"/>
  <c r="R116" i="10"/>
  <c r="P116" i="10"/>
  <c r="N116" i="10"/>
  <c r="L116" i="10"/>
  <c r="J116" i="10"/>
  <c r="H116" i="10"/>
  <c r="F116" i="10"/>
  <c r="D116" i="10"/>
  <c r="X115" i="10"/>
  <c r="V115" i="10"/>
  <c r="T115" i="10"/>
  <c r="R115" i="10"/>
  <c r="P115" i="10"/>
  <c r="N115" i="10"/>
  <c r="L115" i="10"/>
  <c r="J115" i="10"/>
  <c r="H115" i="10"/>
  <c r="F115" i="10"/>
  <c r="D115" i="10"/>
  <c r="X114" i="10"/>
  <c r="V114" i="10"/>
  <c r="T114" i="10"/>
  <c r="R114" i="10"/>
  <c r="P114" i="10"/>
  <c r="N114" i="10"/>
  <c r="L114" i="10"/>
  <c r="J114" i="10"/>
  <c r="H114" i="10"/>
  <c r="F114" i="10"/>
  <c r="D114" i="10"/>
  <c r="X113" i="10"/>
  <c r="V113" i="10"/>
  <c r="T113" i="10"/>
  <c r="R113" i="10"/>
  <c r="P113" i="10"/>
  <c r="N113" i="10"/>
  <c r="L113" i="10"/>
  <c r="J113" i="10"/>
  <c r="H113" i="10"/>
  <c r="F113" i="10"/>
  <c r="D113" i="10"/>
  <c r="X112" i="10"/>
  <c r="V112" i="10"/>
  <c r="T112" i="10"/>
  <c r="R112" i="10"/>
  <c r="P112" i="10"/>
  <c r="N112" i="10"/>
  <c r="L112" i="10"/>
  <c r="J112" i="10"/>
  <c r="H112" i="10"/>
  <c r="F112" i="10"/>
  <c r="D112" i="10"/>
  <c r="X111" i="10"/>
  <c r="V111" i="10"/>
  <c r="T111" i="10"/>
  <c r="R111" i="10"/>
  <c r="P111" i="10"/>
  <c r="N111" i="10"/>
  <c r="L111" i="10"/>
  <c r="J111" i="10"/>
  <c r="H111" i="10"/>
  <c r="F111" i="10"/>
  <c r="D111" i="10"/>
  <c r="X110" i="10"/>
  <c r="V110" i="10"/>
  <c r="T110" i="10"/>
  <c r="R110" i="10"/>
  <c r="P110" i="10"/>
  <c r="N110" i="10"/>
  <c r="L110" i="10"/>
  <c r="J110" i="10"/>
  <c r="H110" i="10"/>
  <c r="F110" i="10"/>
  <c r="D110" i="10"/>
  <c r="X109" i="10"/>
  <c r="V109" i="10"/>
  <c r="T109" i="10"/>
  <c r="R109" i="10"/>
  <c r="P109" i="10"/>
  <c r="N109" i="10"/>
  <c r="L109" i="10"/>
  <c r="J109" i="10"/>
  <c r="H109" i="10"/>
  <c r="F109" i="10"/>
  <c r="D109" i="10"/>
  <c r="X108" i="10"/>
  <c r="V108" i="10"/>
  <c r="T108" i="10"/>
  <c r="R108" i="10"/>
  <c r="P108" i="10"/>
  <c r="N108" i="10"/>
  <c r="L108" i="10"/>
  <c r="J108" i="10"/>
  <c r="H108" i="10"/>
  <c r="F108" i="10"/>
  <c r="D108" i="10"/>
  <c r="X107" i="10"/>
  <c r="V107" i="10"/>
  <c r="T107" i="10"/>
  <c r="R107" i="10"/>
  <c r="P107" i="10"/>
  <c r="N107" i="10"/>
  <c r="L107" i="10"/>
  <c r="J107" i="10"/>
  <c r="H107" i="10"/>
  <c r="F107" i="10"/>
  <c r="D107" i="10"/>
  <c r="X106" i="10"/>
  <c r="V106" i="10"/>
  <c r="T106" i="10"/>
  <c r="R106" i="10"/>
  <c r="P106" i="10"/>
  <c r="N106" i="10"/>
  <c r="L106" i="10"/>
  <c r="J106" i="10"/>
  <c r="H106" i="10"/>
  <c r="F106" i="10"/>
  <c r="D106" i="10"/>
  <c r="X105" i="10"/>
  <c r="V105" i="10"/>
  <c r="T105" i="10"/>
  <c r="R105" i="10"/>
  <c r="P105" i="10"/>
  <c r="N105" i="10"/>
  <c r="L105" i="10"/>
  <c r="J105" i="10"/>
  <c r="H105" i="10"/>
  <c r="F105" i="10"/>
  <c r="D105" i="10"/>
  <c r="X104" i="10"/>
  <c r="V104" i="10"/>
  <c r="T104" i="10"/>
  <c r="R104" i="10"/>
  <c r="P104" i="10"/>
  <c r="N104" i="10"/>
  <c r="L104" i="10"/>
  <c r="J104" i="10"/>
  <c r="H104" i="10"/>
  <c r="F104" i="10"/>
  <c r="D104" i="10"/>
  <c r="X103" i="10"/>
  <c r="X135" i="10" s="1"/>
  <c r="V103" i="10"/>
  <c r="V135" i="10" s="1"/>
  <c r="T103" i="10"/>
  <c r="T135" i="10" s="1"/>
  <c r="R103" i="10"/>
  <c r="R135" i="10" s="1"/>
  <c r="P103" i="10"/>
  <c r="P135" i="10" s="1"/>
  <c r="Q136" i="6" s="1"/>
  <c r="N103" i="10"/>
  <c r="N135" i="10" s="1"/>
  <c r="L103" i="10"/>
  <c r="L135" i="10" s="1"/>
  <c r="J103" i="10"/>
  <c r="J135" i="10" s="1"/>
  <c r="H103" i="10"/>
  <c r="H135" i="10" s="1"/>
  <c r="F103" i="10"/>
  <c r="F135" i="10" s="1"/>
  <c r="D103" i="10"/>
  <c r="O136" i="6" s="1"/>
  <c r="AD104" i="8"/>
  <c r="AD105" i="8"/>
  <c r="AD106" i="8"/>
  <c r="AD107" i="8"/>
  <c r="AD108" i="8"/>
  <c r="AD109" i="8"/>
  <c r="AD110" i="8"/>
  <c r="AD111" i="8"/>
  <c r="AD112" i="8"/>
  <c r="AD113" i="8"/>
  <c r="AD114" i="8"/>
  <c r="AD115" i="8"/>
  <c r="AD116" i="8"/>
  <c r="AD117" i="8"/>
  <c r="AD118" i="8"/>
  <c r="AD119" i="8"/>
  <c r="AD120" i="8"/>
  <c r="AD121" i="8"/>
  <c r="AD122" i="8"/>
  <c r="AD123" i="8"/>
  <c r="AD124" i="8"/>
  <c r="AD125" i="8"/>
  <c r="AD126" i="8"/>
  <c r="AD127" i="8"/>
  <c r="AD128" i="8"/>
  <c r="AD129" i="8"/>
  <c r="AD130" i="8"/>
  <c r="AD131" i="8"/>
  <c r="AD132" i="8"/>
  <c r="AD103" i="8"/>
  <c r="AC104" i="8"/>
  <c r="Z104" i="8"/>
  <c r="AC105" i="8"/>
  <c r="AC106" i="8"/>
  <c r="AC107" i="8"/>
  <c r="AC108" i="8"/>
  <c r="AC109" i="8"/>
  <c r="AC110" i="8"/>
  <c r="AC111" i="8"/>
  <c r="AC112" i="8"/>
  <c r="AC113" i="8"/>
  <c r="AC114" i="8"/>
  <c r="AC115" i="8"/>
  <c r="AC116" i="8"/>
  <c r="AC117" i="8"/>
  <c r="AC118" i="8"/>
  <c r="AC119" i="8"/>
  <c r="AC120" i="8"/>
  <c r="AC121" i="8"/>
  <c r="AC122" i="8"/>
  <c r="AC123" i="8"/>
  <c r="AC124" i="8"/>
  <c r="AC125" i="8"/>
  <c r="AC127" i="8"/>
  <c r="AC128" i="8"/>
  <c r="AC129" i="8"/>
  <c r="AC130" i="8"/>
  <c r="AC131" i="8"/>
  <c r="AC132" i="8"/>
  <c r="AC103" i="8"/>
  <c r="X134" i="8"/>
  <c r="V134" i="8"/>
  <c r="T134" i="8"/>
  <c r="R134" i="8"/>
  <c r="P134" i="8"/>
  <c r="N134" i="8"/>
  <c r="L134" i="8"/>
  <c r="J134" i="8"/>
  <c r="H134" i="8"/>
  <c r="F134" i="8"/>
  <c r="D134" i="8"/>
  <c r="X133" i="8"/>
  <c r="V133" i="8"/>
  <c r="T133" i="8"/>
  <c r="R133" i="8"/>
  <c r="P133" i="8"/>
  <c r="N133" i="8"/>
  <c r="L133" i="8"/>
  <c r="J133" i="8"/>
  <c r="H133" i="8"/>
  <c r="F133" i="8"/>
  <c r="D133" i="8"/>
  <c r="X132" i="8"/>
  <c r="V132" i="8"/>
  <c r="T132" i="8"/>
  <c r="R132" i="8"/>
  <c r="P132" i="8"/>
  <c r="N132" i="8"/>
  <c r="L132" i="8"/>
  <c r="J132" i="8"/>
  <c r="H132" i="8"/>
  <c r="F132" i="8"/>
  <c r="D132" i="8"/>
  <c r="X131" i="8"/>
  <c r="V131" i="8"/>
  <c r="T131" i="8"/>
  <c r="R131" i="8"/>
  <c r="P131" i="8"/>
  <c r="N131" i="8"/>
  <c r="L131" i="8"/>
  <c r="J131" i="8"/>
  <c r="H131" i="8"/>
  <c r="F131" i="8"/>
  <c r="D131" i="8"/>
  <c r="X130" i="8"/>
  <c r="V130" i="8"/>
  <c r="T130" i="8"/>
  <c r="R130" i="8"/>
  <c r="P130" i="8"/>
  <c r="N130" i="8"/>
  <c r="L130" i="8"/>
  <c r="J130" i="8"/>
  <c r="H130" i="8"/>
  <c r="F130" i="8"/>
  <c r="D130" i="8"/>
  <c r="X129" i="8"/>
  <c r="V129" i="8"/>
  <c r="T129" i="8"/>
  <c r="R129" i="8"/>
  <c r="P129" i="8"/>
  <c r="N129" i="8"/>
  <c r="L129" i="8"/>
  <c r="J129" i="8"/>
  <c r="H129" i="8"/>
  <c r="F129" i="8"/>
  <c r="D129" i="8"/>
  <c r="X128" i="8"/>
  <c r="V128" i="8"/>
  <c r="T128" i="8"/>
  <c r="R128" i="8"/>
  <c r="P128" i="8"/>
  <c r="N128" i="8"/>
  <c r="L128" i="8"/>
  <c r="J128" i="8"/>
  <c r="H128" i="8"/>
  <c r="F128" i="8"/>
  <c r="D128" i="8"/>
  <c r="X127" i="8"/>
  <c r="V127" i="8"/>
  <c r="T127" i="8"/>
  <c r="R127" i="8"/>
  <c r="P127" i="8"/>
  <c r="N127" i="8"/>
  <c r="L127" i="8"/>
  <c r="J127" i="8"/>
  <c r="H127" i="8"/>
  <c r="F127" i="8"/>
  <c r="D127" i="8"/>
  <c r="X126" i="8"/>
  <c r="V126" i="8"/>
  <c r="T126" i="8"/>
  <c r="R126" i="8"/>
  <c r="P126" i="8"/>
  <c r="N126" i="8"/>
  <c r="L126" i="8"/>
  <c r="J126" i="8"/>
  <c r="H126" i="8"/>
  <c r="F126" i="8"/>
  <c r="D126" i="8"/>
  <c r="X125" i="8"/>
  <c r="V125" i="8"/>
  <c r="T125" i="8"/>
  <c r="R125" i="8"/>
  <c r="P125" i="8"/>
  <c r="N125" i="8"/>
  <c r="L125" i="8"/>
  <c r="J125" i="8"/>
  <c r="H125" i="8"/>
  <c r="F125" i="8"/>
  <c r="D125" i="8"/>
  <c r="X124" i="8"/>
  <c r="V124" i="8"/>
  <c r="T124" i="8"/>
  <c r="R124" i="8"/>
  <c r="P124" i="8"/>
  <c r="N124" i="8"/>
  <c r="L124" i="8"/>
  <c r="J124" i="8"/>
  <c r="H124" i="8"/>
  <c r="F124" i="8"/>
  <c r="D124" i="8"/>
  <c r="X123" i="8"/>
  <c r="V123" i="8"/>
  <c r="T123" i="8"/>
  <c r="R123" i="8"/>
  <c r="P123" i="8"/>
  <c r="N123" i="8"/>
  <c r="L123" i="8"/>
  <c r="J123" i="8"/>
  <c r="H123" i="8"/>
  <c r="F123" i="8"/>
  <c r="D123" i="8"/>
  <c r="X122" i="8"/>
  <c r="V122" i="8"/>
  <c r="T122" i="8"/>
  <c r="R122" i="8"/>
  <c r="P122" i="8"/>
  <c r="N122" i="8"/>
  <c r="L122" i="8"/>
  <c r="J122" i="8"/>
  <c r="H122" i="8"/>
  <c r="F122" i="8"/>
  <c r="D122" i="8"/>
  <c r="X121" i="8"/>
  <c r="V121" i="8"/>
  <c r="T121" i="8"/>
  <c r="R121" i="8"/>
  <c r="P121" i="8"/>
  <c r="N121" i="8"/>
  <c r="L121" i="8"/>
  <c r="J121" i="8"/>
  <c r="H121" i="8"/>
  <c r="F121" i="8"/>
  <c r="D121" i="8"/>
  <c r="X120" i="8"/>
  <c r="V120" i="8"/>
  <c r="T120" i="8"/>
  <c r="R120" i="8"/>
  <c r="P120" i="8"/>
  <c r="N120" i="8"/>
  <c r="L120" i="8"/>
  <c r="J120" i="8"/>
  <c r="H120" i="8"/>
  <c r="F120" i="8"/>
  <c r="D120" i="8"/>
  <c r="X119" i="8"/>
  <c r="V119" i="8"/>
  <c r="T119" i="8"/>
  <c r="R119" i="8"/>
  <c r="P119" i="8"/>
  <c r="N119" i="8"/>
  <c r="L119" i="8"/>
  <c r="J119" i="8"/>
  <c r="H119" i="8"/>
  <c r="F119" i="8"/>
  <c r="D119" i="8"/>
  <c r="X118" i="8"/>
  <c r="V118" i="8"/>
  <c r="T118" i="8"/>
  <c r="R118" i="8"/>
  <c r="P118" i="8"/>
  <c r="N118" i="8"/>
  <c r="L118" i="8"/>
  <c r="J118" i="8"/>
  <c r="H118" i="8"/>
  <c r="F118" i="8"/>
  <c r="D118" i="8"/>
  <c r="X117" i="8"/>
  <c r="V117" i="8"/>
  <c r="T117" i="8"/>
  <c r="R117" i="8"/>
  <c r="P117" i="8"/>
  <c r="N117" i="8"/>
  <c r="L117" i="8"/>
  <c r="J117" i="8"/>
  <c r="H117" i="8"/>
  <c r="F117" i="8"/>
  <c r="D117" i="8"/>
  <c r="X116" i="8"/>
  <c r="V116" i="8"/>
  <c r="T116" i="8"/>
  <c r="R116" i="8"/>
  <c r="P116" i="8"/>
  <c r="N116" i="8"/>
  <c r="L116" i="8"/>
  <c r="J116" i="8"/>
  <c r="H116" i="8"/>
  <c r="F116" i="8"/>
  <c r="D116" i="8"/>
  <c r="X115" i="8"/>
  <c r="V115" i="8"/>
  <c r="T115" i="8"/>
  <c r="R115" i="8"/>
  <c r="P115" i="8"/>
  <c r="N115" i="8"/>
  <c r="L115" i="8"/>
  <c r="J115" i="8"/>
  <c r="H115" i="8"/>
  <c r="F115" i="8"/>
  <c r="D115" i="8"/>
  <c r="X114" i="8"/>
  <c r="V114" i="8"/>
  <c r="T114" i="8"/>
  <c r="R114" i="8"/>
  <c r="P114" i="8"/>
  <c r="N114" i="8"/>
  <c r="L114" i="8"/>
  <c r="J114" i="8"/>
  <c r="H114" i="8"/>
  <c r="F114" i="8"/>
  <c r="D114" i="8"/>
  <c r="X113" i="8"/>
  <c r="V113" i="8"/>
  <c r="T113" i="8"/>
  <c r="R113" i="8"/>
  <c r="P113" i="8"/>
  <c r="N113" i="8"/>
  <c r="L113" i="8"/>
  <c r="J113" i="8"/>
  <c r="H113" i="8"/>
  <c r="F113" i="8"/>
  <c r="D113" i="8"/>
  <c r="X112" i="8"/>
  <c r="V112" i="8"/>
  <c r="T112" i="8"/>
  <c r="R112" i="8"/>
  <c r="P112" i="8"/>
  <c r="N112" i="8"/>
  <c r="L112" i="8"/>
  <c r="J112" i="8"/>
  <c r="H112" i="8"/>
  <c r="F112" i="8"/>
  <c r="D112" i="8"/>
  <c r="X111" i="8"/>
  <c r="V111" i="8"/>
  <c r="T111" i="8"/>
  <c r="R111" i="8"/>
  <c r="P111" i="8"/>
  <c r="N111" i="8"/>
  <c r="L111" i="8"/>
  <c r="J111" i="8"/>
  <c r="H111" i="8"/>
  <c r="F111" i="8"/>
  <c r="D111" i="8"/>
  <c r="X110" i="8"/>
  <c r="V110" i="8"/>
  <c r="T110" i="8"/>
  <c r="R110" i="8"/>
  <c r="P110" i="8"/>
  <c r="N110" i="8"/>
  <c r="L110" i="8"/>
  <c r="J110" i="8"/>
  <c r="H110" i="8"/>
  <c r="F110" i="8"/>
  <c r="D110" i="8"/>
  <c r="X109" i="8"/>
  <c r="V109" i="8"/>
  <c r="T109" i="8"/>
  <c r="R109" i="8"/>
  <c r="P109" i="8"/>
  <c r="N109" i="8"/>
  <c r="L109" i="8"/>
  <c r="J109" i="8"/>
  <c r="H109" i="8"/>
  <c r="F109" i="8"/>
  <c r="D109" i="8"/>
  <c r="X108" i="8"/>
  <c r="V108" i="8"/>
  <c r="T108" i="8"/>
  <c r="R108" i="8"/>
  <c r="P108" i="8"/>
  <c r="N108" i="8"/>
  <c r="L108" i="8"/>
  <c r="J108" i="8"/>
  <c r="H108" i="8"/>
  <c r="F108" i="8"/>
  <c r="D108" i="8"/>
  <c r="X107" i="8"/>
  <c r="V107" i="8"/>
  <c r="T107" i="8"/>
  <c r="R107" i="8"/>
  <c r="P107" i="8"/>
  <c r="N107" i="8"/>
  <c r="L107" i="8"/>
  <c r="J107" i="8"/>
  <c r="H107" i="8"/>
  <c r="F107" i="8"/>
  <c r="D107" i="8"/>
  <c r="X106" i="8"/>
  <c r="V106" i="8"/>
  <c r="T106" i="8"/>
  <c r="R106" i="8"/>
  <c r="P106" i="8"/>
  <c r="N106" i="8"/>
  <c r="L106" i="8"/>
  <c r="J106" i="8"/>
  <c r="H106" i="8"/>
  <c r="F106" i="8"/>
  <c r="D106" i="8"/>
  <c r="X105" i="8"/>
  <c r="V105" i="8"/>
  <c r="T105" i="8"/>
  <c r="R105" i="8"/>
  <c r="P105" i="8"/>
  <c r="N105" i="8"/>
  <c r="L105" i="8"/>
  <c r="J105" i="8"/>
  <c r="H105" i="8"/>
  <c r="F105" i="8"/>
  <c r="D105" i="8"/>
  <c r="X104" i="8"/>
  <c r="V104" i="8"/>
  <c r="T104" i="8"/>
  <c r="R104" i="8"/>
  <c r="P104" i="8"/>
  <c r="N104" i="8"/>
  <c r="L104" i="8"/>
  <c r="J104" i="8"/>
  <c r="H104" i="8"/>
  <c r="F104" i="8"/>
  <c r="D104" i="8"/>
  <c r="X103" i="8"/>
  <c r="V103" i="8"/>
  <c r="T103" i="8"/>
  <c r="R103" i="8"/>
  <c r="P103" i="8"/>
  <c r="N103" i="8"/>
  <c r="L103" i="8"/>
  <c r="J103" i="8"/>
  <c r="H103" i="8"/>
  <c r="F103" i="8"/>
  <c r="D103" i="8"/>
  <c r="AO103" i="12"/>
  <c r="AO104" i="12"/>
  <c r="AM134" i="12"/>
  <c r="AK134" i="12"/>
  <c r="AI134" i="12"/>
  <c r="AG134" i="12"/>
  <c r="AE134" i="12"/>
  <c r="AC134" i="12"/>
  <c r="W134" i="12"/>
  <c r="U134" i="12"/>
  <c r="S134" i="12"/>
  <c r="Q134" i="12"/>
  <c r="O134" i="12"/>
  <c r="M134" i="12"/>
  <c r="K134" i="12"/>
  <c r="I134" i="12"/>
  <c r="G134" i="12"/>
  <c r="E134" i="12"/>
  <c r="AM133" i="12"/>
  <c r="AK133" i="12"/>
  <c r="AI133" i="12"/>
  <c r="AG133" i="12"/>
  <c r="AE133" i="12"/>
  <c r="AC133" i="12"/>
  <c r="W133" i="12"/>
  <c r="U133" i="12"/>
  <c r="S133" i="12"/>
  <c r="Q133" i="12"/>
  <c r="O133" i="12"/>
  <c r="M133" i="12"/>
  <c r="K133" i="12"/>
  <c r="I133" i="12"/>
  <c r="G133" i="12"/>
  <c r="E133" i="12"/>
  <c r="AM132" i="12"/>
  <c r="AK132" i="12"/>
  <c r="AI132" i="12"/>
  <c r="AG132" i="12"/>
  <c r="AE132" i="12"/>
  <c r="AC132" i="12"/>
  <c r="W132" i="12"/>
  <c r="U132" i="12"/>
  <c r="S132" i="12"/>
  <c r="Q132" i="12"/>
  <c r="O132" i="12"/>
  <c r="M132" i="12"/>
  <c r="K132" i="12"/>
  <c r="I132" i="12"/>
  <c r="G132" i="12"/>
  <c r="E132" i="12"/>
  <c r="AM131" i="12"/>
  <c r="AK131" i="12"/>
  <c r="AI131" i="12"/>
  <c r="AG131" i="12"/>
  <c r="AE131" i="12"/>
  <c r="AC131" i="12"/>
  <c r="W131" i="12"/>
  <c r="U131" i="12"/>
  <c r="S131" i="12"/>
  <c r="Q131" i="12"/>
  <c r="O131" i="12"/>
  <c r="M131" i="12"/>
  <c r="K131" i="12"/>
  <c r="I131" i="12"/>
  <c r="G131" i="12"/>
  <c r="E131" i="12"/>
  <c r="AM130" i="12"/>
  <c r="AK130" i="12"/>
  <c r="AI130" i="12"/>
  <c r="AG130" i="12"/>
  <c r="AE130" i="12"/>
  <c r="AC130" i="12"/>
  <c r="W130" i="12"/>
  <c r="U130" i="12"/>
  <c r="S130" i="12"/>
  <c r="Q130" i="12"/>
  <c r="O130" i="12"/>
  <c r="M130" i="12"/>
  <c r="K130" i="12"/>
  <c r="I130" i="12"/>
  <c r="G130" i="12"/>
  <c r="E130" i="12"/>
  <c r="AM129" i="12"/>
  <c r="AK129" i="12"/>
  <c r="AI129" i="12"/>
  <c r="AG129" i="12"/>
  <c r="AE129" i="12"/>
  <c r="AC129" i="12"/>
  <c r="W129" i="12"/>
  <c r="U129" i="12"/>
  <c r="S129" i="12"/>
  <c r="Q129" i="12"/>
  <c r="O129" i="12"/>
  <c r="M129" i="12"/>
  <c r="K129" i="12"/>
  <c r="I129" i="12"/>
  <c r="G129" i="12"/>
  <c r="E129" i="12"/>
  <c r="AM128" i="12"/>
  <c r="AK128" i="12"/>
  <c r="AI128" i="12"/>
  <c r="AG128" i="12"/>
  <c r="AE128" i="12"/>
  <c r="AC128" i="12"/>
  <c r="W128" i="12"/>
  <c r="U128" i="12"/>
  <c r="S128" i="12"/>
  <c r="Q128" i="12"/>
  <c r="O128" i="12"/>
  <c r="M128" i="12"/>
  <c r="K128" i="12"/>
  <c r="I128" i="12"/>
  <c r="G128" i="12"/>
  <c r="E128" i="12"/>
  <c r="AM127" i="12"/>
  <c r="AK127" i="12"/>
  <c r="AI127" i="12"/>
  <c r="AG127" i="12"/>
  <c r="AE127" i="12"/>
  <c r="AC127" i="12"/>
  <c r="W127" i="12"/>
  <c r="U127" i="12"/>
  <c r="S127" i="12"/>
  <c r="Q127" i="12"/>
  <c r="O127" i="12"/>
  <c r="M127" i="12"/>
  <c r="K127" i="12"/>
  <c r="I127" i="12"/>
  <c r="G127" i="12"/>
  <c r="E127" i="12"/>
  <c r="AM126" i="12"/>
  <c r="AK126" i="12"/>
  <c r="AI126" i="12"/>
  <c r="AG126" i="12"/>
  <c r="AE126" i="12"/>
  <c r="AC126" i="12"/>
  <c r="W126" i="12"/>
  <c r="U126" i="12"/>
  <c r="S126" i="12"/>
  <c r="Q126" i="12"/>
  <c r="O126" i="12"/>
  <c r="M126" i="12"/>
  <c r="K126" i="12"/>
  <c r="I126" i="12"/>
  <c r="G126" i="12"/>
  <c r="E126" i="12"/>
  <c r="AM125" i="12"/>
  <c r="AK125" i="12"/>
  <c r="AI125" i="12"/>
  <c r="AG125" i="12"/>
  <c r="AE125" i="12"/>
  <c r="AC125" i="12"/>
  <c r="W125" i="12"/>
  <c r="U125" i="12"/>
  <c r="S125" i="12"/>
  <c r="Q125" i="12"/>
  <c r="O125" i="12"/>
  <c r="M125" i="12"/>
  <c r="K125" i="12"/>
  <c r="I125" i="12"/>
  <c r="G125" i="12"/>
  <c r="E125" i="12"/>
  <c r="AM124" i="12"/>
  <c r="AK124" i="12"/>
  <c r="AI124" i="12"/>
  <c r="AG124" i="12"/>
  <c r="AE124" i="12"/>
  <c r="AC124" i="12"/>
  <c r="W124" i="12"/>
  <c r="U124" i="12"/>
  <c r="S124" i="12"/>
  <c r="Q124" i="12"/>
  <c r="O124" i="12"/>
  <c r="M124" i="12"/>
  <c r="K124" i="12"/>
  <c r="I124" i="12"/>
  <c r="G124" i="12"/>
  <c r="E124" i="12"/>
  <c r="AM123" i="12"/>
  <c r="AK123" i="12"/>
  <c r="AI123" i="12"/>
  <c r="AG123" i="12"/>
  <c r="AE123" i="12"/>
  <c r="AC123" i="12"/>
  <c r="W123" i="12"/>
  <c r="U123" i="12"/>
  <c r="S123" i="12"/>
  <c r="Q123" i="12"/>
  <c r="O123" i="12"/>
  <c r="M123" i="12"/>
  <c r="K123" i="12"/>
  <c r="I123" i="12"/>
  <c r="G123" i="12"/>
  <c r="E123" i="12"/>
  <c r="AM122" i="12"/>
  <c r="AK122" i="12"/>
  <c r="AG122" i="12"/>
  <c r="AE122" i="12"/>
  <c r="AC122" i="12"/>
  <c r="W122" i="12"/>
  <c r="U122" i="12"/>
  <c r="S122" i="12"/>
  <c r="Q122" i="12"/>
  <c r="O122" i="12"/>
  <c r="M122" i="12"/>
  <c r="K122" i="12"/>
  <c r="I122" i="12"/>
  <c r="G122" i="12"/>
  <c r="E122" i="12"/>
  <c r="AM121" i="12"/>
  <c r="AK121" i="12"/>
  <c r="AI121" i="12"/>
  <c r="AG121" i="12"/>
  <c r="AE121" i="12"/>
  <c r="AC121" i="12"/>
  <c r="W121" i="12"/>
  <c r="U121" i="12"/>
  <c r="S121" i="12"/>
  <c r="Q121" i="12"/>
  <c r="O121" i="12"/>
  <c r="M121" i="12"/>
  <c r="K121" i="12"/>
  <c r="I121" i="12"/>
  <c r="G121" i="12"/>
  <c r="E121" i="12"/>
  <c r="AM120" i="12"/>
  <c r="AK120" i="12"/>
  <c r="AI120" i="12"/>
  <c r="AG120" i="12"/>
  <c r="AE120" i="12"/>
  <c r="AC120" i="12"/>
  <c r="W120" i="12"/>
  <c r="U120" i="12"/>
  <c r="S120" i="12"/>
  <c r="Q120" i="12"/>
  <c r="O120" i="12"/>
  <c r="M120" i="12"/>
  <c r="K120" i="12"/>
  <c r="I120" i="12"/>
  <c r="G120" i="12"/>
  <c r="E120" i="12"/>
  <c r="AM119" i="12"/>
  <c r="AK119" i="12"/>
  <c r="AI119" i="12"/>
  <c r="AG119" i="12"/>
  <c r="AE119" i="12"/>
  <c r="AC119" i="12"/>
  <c r="W119" i="12"/>
  <c r="U119" i="12"/>
  <c r="S119" i="12"/>
  <c r="Q119" i="12"/>
  <c r="O119" i="12"/>
  <c r="M119" i="12"/>
  <c r="K119" i="12"/>
  <c r="I119" i="12"/>
  <c r="G119" i="12"/>
  <c r="E119" i="12"/>
  <c r="AM118" i="12"/>
  <c r="AK118" i="12"/>
  <c r="AI118" i="12"/>
  <c r="AG118" i="12"/>
  <c r="AE118" i="12"/>
  <c r="AC118" i="12"/>
  <c r="W118" i="12"/>
  <c r="U118" i="12"/>
  <c r="S118" i="12"/>
  <c r="Q118" i="12"/>
  <c r="O118" i="12"/>
  <c r="M118" i="12"/>
  <c r="K118" i="12"/>
  <c r="I118" i="12"/>
  <c r="G118" i="12"/>
  <c r="E118" i="12"/>
  <c r="AM117" i="12"/>
  <c r="AK117" i="12"/>
  <c r="AI117" i="12"/>
  <c r="AG117" i="12"/>
  <c r="AE117" i="12"/>
  <c r="AC117" i="12"/>
  <c r="W117" i="12"/>
  <c r="U117" i="12"/>
  <c r="S117" i="12"/>
  <c r="Q117" i="12"/>
  <c r="O117" i="12"/>
  <c r="M117" i="12"/>
  <c r="K117" i="12"/>
  <c r="I117" i="12"/>
  <c r="G117" i="12"/>
  <c r="E117" i="12"/>
  <c r="AM116" i="12"/>
  <c r="AK116" i="12"/>
  <c r="AI116" i="12"/>
  <c r="AG116" i="12"/>
  <c r="AE116" i="12"/>
  <c r="AC116" i="12"/>
  <c r="W116" i="12"/>
  <c r="U116" i="12"/>
  <c r="S116" i="12"/>
  <c r="Q116" i="12"/>
  <c r="O116" i="12"/>
  <c r="M116" i="12"/>
  <c r="K116" i="12"/>
  <c r="I116" i="12"/>
  <c r="G116" i="12"/>
  <c r="E116" i="12"/>
  <c r="AM115" i="12"/>
  <c r="AK115" i="12"/>
  <c r="AI115" i="12"/>
  <c r="AG115" i="12"/>
  <c r="AE115" i="12"/>
  <c r="AC115" i="12"/>
  <c r="W115" i="12"/>
  <c r="U115" i="12"/>
  <c r="S115" i="12"/>
  <c r="Q115" i="12"/>
  <c r="O115" i="12"/>
  <c r="M115" i="12"/>
  <c r="K115" i="12"/>
  <c r="I115" i="12"/>
  <c r="G115" i="12"/>
  <c r="E115" i="12"/>
  <c r="AM114" i="12"/>
  <c r="AK114" i="12"/>
  <c r="AI114" i="12"/>
  <c r="AG114" i="12"/>
  <c r="AE114" i="12"/>
  <c r="AC114" i="12"/>
  <c r="W114" i="12"/>
  <c r="U114" i="12"/>
  <c r="S114" i="12"/>
  <c r="Q114" i="12"/>
  <c r="O114" i="12"/>
  <c r="M114" i="12"/>
  <c r="K114" i="12"/>
  <c r="I114" i="12"/>
  <c r="G114" i="12"/>
  <c r="E114" i="12"/>
  <c r="AM113" i="12"/>
  <c r="AK113" i="12"/>
  <c r="AI113" i="12"/>
  <c r="AG113" i="12"/>
  <c r="AE113" i="12"/>
  <c r="AC113" i="12"/>
  <c r="W113" i="12"/>
  <c r="U113" i="12"/>
  <c r="S113" i="12"/>
  <c r="Q113" i="12"/>
  <c r="O113" i="12"/>
  <c r="M113" i="12"/>
  <c r="K113" i="12"/>
  <c r="I113" i="12"/>
  <c r="G113" i="12"/>
  <c r="E113" i="12"/>
  <c r="AM112" i="12"/>
  <c r="AK112" i="12"/>
  <c r="AI112" i="12"/>
  <c r="AG112" i="12"/>
  <c r="AE112" i="12"/>
  <c r="AC112" i="12"/>
  <c r="W112" i="12"/>
  <c r="U112" i="12"/>
  <c r="S112" i="12"/>
  <c r="Q112" i="12"/>
  <c r="O112" i="12"/>
  <c r="M112" i="12"/>
  <c r="K112" i="12"/>
  <c r="I112" i="12"/>
  <c r="G112" i="12"/>
  <c r="E112" i="12"/>
  <c r="AM111" i="12"/>
  <c r="AK111" i="12"/>
  <c r="AI111" i="12"/>
  <c r="AG111" i="12"/>
  <c r="AE111" i="12"/>
  <c r="AC111" i="12"/>
  <c r="W111" i="12"/>
  <c r="U111" i="12"/>
  <c r="S111" i="12"/>
  <c r="Q111" i="12"/>
  <c r="O111" i="12"/>
  <c r="M111" i="12"/>
  <c r="K111" i="12"/>
  <c r="I111" i="12"/>
  <c r="G111" i="12"/>
  <c r="E111" i="12"/>
  <c r="AM110" i="12"/>
  <c r="AK110" i="12"/>
  <c r="AI110" i="12"/>
  <c r="AG110" i="12"/>
  <c r="AE110" i="12"/>
  <c r="AC110" i="12"/>
  <c r="W110" i="12"/>
  <c r="U110" i="12"/>
  <c r="S110" i="12"/>
  <c r="Q110" i="12"/>
  <c r="O110" i="12"/>
  <c r="M110" i="12"/>
  <c r="K110" i="12"/>
  <c r="I110" i="12"/>
  <c r="G110" i="12"/>
  <c r="E110" i="12"/>
  <c r="AM109" i="12"/>
  <c r="AK109" i="12"/>
  <c r="AI109" i="12"/>
  <c r="AG109" i="12"/>
  <c r="AE109" i="12"/>
  <c r="AC109" i="12"/>
  <c r="W109" i="12"/>
  <c r="U109" i="12"/>
  <c r="S109" i="12"/>
  <c r="Q109" i="12"/>
  <c r="O109" i="12"/>
  <c r="M109" i="12"/>
  <c r="K109" i="12"/>
  <c r="I109" i="12"/>
  <c r="G109" i="12"/>
  <c r="E109" i="12"/>
  <c r="AM108" i="12"/>
  <c r="AK108" i="12"/>
  <c r="AI108" i="12"/>
  <c r="AG108" i="12"/>
  <c r="AE108" i="12"/>
  <c r="AC108" i="12"/>
  <c r="W108" i="12"/>
  <c r="U108" i="12"/>
  <c r="S108" i="12"/>
  <c r="Q108" i="12"/>
  <c r="O108" i="12"/>
  <c r="M108" i="12"/>
  <c r="K108" i="12"/>
  <c r="I108" i="12"/>
  <c r="G108" i="12"/>
  <c r="E108" i="12"/>
  <c r="AM107" i="12"/>
  <c r="AK107" i="12"/>
  <c r="AI107" i="12"/>
  <c r="AG107" i="12"/>
  <c r="AE107" i="12"/>
  <c r="AC107" i="12"/>
  <c r="W107" i="12"/>
  <c r="U107" i="12"/>
  <c r="S107" i="12"/>
  <c r="Q107" i="12"/>
  <c r="O107" i="12"/>
  <c r="M107" i="12"/>
  <c r="K107" i="12"/>
  <c r="I107" i="12"/>
  <c r="G107" i="12"/>
  <c r="E107" i="12"/>
  <c r="AM106" i="12"/>
  <c r="AK106" i="12"/>
  <c r="AI106" i="12"/>
  <c r="AG106" i="12"/>
  <c r="AE106" i="12"/>
  <c r="AC106" i="12"/>
  <c r="W106" i="12"/>
  <c r="U106" i="12"/>
  <c r="S106" i="12"/>
  <c r="Q106" i="12"/>
  <c r="O106" i="12"/>
  <c r="M106" i="12"/>
  <c r="K106" i="12"/>
  <c r="I106" i="12"/>
  <c r="G106" i="12"/>
  <c r="E106" i="12"/>
  <c r="AM105" i="12"/>
  <c r="AK105" i="12"/>
  <c r="AI105" i="12"/>
  <c r="AG105" i="12"/>
  <c r="AE105" i="12"/>
  <c r="AC105" i="12"/>
  <c r="W105" i="12"/>
  <c r="U105" i="12"/>
  <c r="S105" i="12"/>
  <c r="Q105" i="12"/>
  <c r="O105" i="12"/>
  <c r="M105" i="12"/>
  <c r="K105" i="12"/>
  <c r="I105" i="12"/>
  <c r="G105" i="12"/>
  <c r="E105" i="12"/>
  <c r="AM104" i="12"/>
  <c r="AK104" i="12"/>
  <c r="AI104" i="12"/>
  <c r="AG104" i="12"/>
  <c r="AE104" i="12"/>
  <c r="AC104" i="12"/>
  <c r="W104" i="12"/>
  <c r="U104" i="12"/>
  <c r="S104" i="12"/>
  <c r="Q104" i="12"/>
  <c r="O104" i="12"/>
  <c r="M104" i="12"/>
  <c r="K104" i="12"/>
  <c r="I104" i="12"/>
  <c r="G104" i="12"/>
  <c r="E104" i="12"/>
  <c r="AE103" i="12"/>
  <c r="AC103" i="12"/>
  <c r="W103" i="12"/>
  <c r="U103" i="12"/>
  <c r="S103" i="12"/>
  <c r="Q103" i="12"/>
  <c r="O103" i="12"/>
  <c r="M103" i="12"/>
  <c r="K103" i="12"/>
  <c r="I103" i="12"/>
  <c r="G103" i="12"/>
  <c r="E103" i="12"/>
  <c r="P37" i="14" l="1"/>
  <c r="S172" i="6"/>
  <c r="J135" i="11"/>
  <c r="R135" i="11"/>
  <c r="AH37" i="14"/>
  <c r="Q30" i="18" s="1"/>
  <c r="AN37" i="14"/>
  <c r="R32" i="18" s="1"/>
  <c r="D135" i="11"/>
  <c r="S136" i="6" s="1"/>
  <c r="L135" i="11"/>
  <c r="T135" i="11"/>
  <c r="F135" i="11"/>
  <c r="N135" i="11"/>
  <c r="V135" i="11"/>
  <c r="Y135" i="11"/>
  <c r="E172" i="6"/>
  <c r="P41" i="18"/>
  <c r="J37" i="14"/>
  <c r="H35" i="18" s="1"/>
  <c r="H37" i="14"/>
  <c r="G29" i="18" s="1"/>
  <c r="AF37" i="14"/>
  <c r="Q32" i="18" s="1"/>
  <c r="AJ37" i="14"/>
  <c r="Q29" i="18" s="1"/>
  <c r="AX37" i="14"/>
  <c r="BB37" i="14"/>
  <c r="AA35" i="18" s="1"/>
  <c r="F37" i="14"/>
  <c r="G30" i="18" s="1"/>
  <c r="N37" i="14"/>
  <c r="H29" i="18" s="1"/>
  <c r="AD37" i="14"/>
  <c r="Q35" i="18" s="1"/>
  <c r="AL37" i="14"/>
  <c r="R35" i="18" s="1"/>
  <c r="AV37" i="14"/>
  <c r="Z30" i="18" s="1"/>
  <c r="BF37" i="14"/>
  <c r="R37" i="14"/>
  <c r="L32" i="18" s="1"/>
  <c r="BH37" i="14"/>
  <c r="D37" i="14"/>
  <c r="G35" i="18" s="1"/>
  <c r="L37" i="14"/>
  <c r="G32" i="18" s="1"/>
  <c r="AR37" i="14"/>
  <c r="AT37" i="14" s="1"/>
  <c r="BD37" i="14"/>
  <c r="AA29" i="18" s="1"/>
  <c r="Z29" i="18"/>
  <c r="AZ37" i="14"/>
  <c r="Z35" i="18"/>
  <c r="Z36" i="18" s="1"/>
  <c r="X37" i="18"/>
  <c r="K39" i="18"/>
  <c r="F37" i="18"/>
  <c r="F39" i="18"/>
  <c r="V44" i="18"/>
  <c r="X44" i="18" s="1"/>
  <c r="AP168" i="12"/>
  <c r="AS168" i="12" s="1"/>
  <c r="X38" i="18"/>
  <c r="P39" i="18"/>
  <c r="Z168" i="11"/>
  <c r="AC168" i="11" s="1"/>
  <c r="O40" i="18"/>
  <c r="P40" i="18" s="1"/>
  <c r="S38" i="18"/>
  <c r="K41" i="18"/>
  <c r="K37" i="18"/>
  <c r="K40" i="18"/>
  <c r="Z168" i="10"/>
  <c r="AC168" i="10" s="1"/>
  <c r="F41" i="18"/>
  <c r="X40" i="18"/>
  <c r="Y40" i="18" s="1"/>
  <c r="AO168" i="12"/>
  <c r="AR168" i="12" s="1"/>
  <c r="AN168" i="12"/>
  <c r="AQ168" i="12" s="1"/>
  <c r="Y168" i="11"/>
  <c r="AB168" i="11" s="1"/>
  <c r="Y168" i="10"/>
  <c r="AB168" i="10" s="1"/>
  <c r="AA168" i="10"/>
  <c r="AD168" i="10" s="1"/>
  <c r="AA168" i="11"/>
  <c r="AD168" i="11" s="1"/>
  <c r="Z168" i="8"/>
  <c r="AC168" i="8" s="1"/>
  <c r="Y168" i="8"/>
  <c r="AB168" i="8" s="1"/>
  <c r="AA168" i="8"/>
  <c r="AD168" i="8" s="1"/>
  <c r="AK122" i="6"/>
  <c r="AI136" i="6"/>
  <c r="AI137" i="6" s="1"/>
  <c r="AA137" i="6"/>
  <c r="AA136" i="6"/>
  <c r="AC136" i="6"/>
  <c r="AC137" i="6" s="1"/>
  <c r="O137" i="6"/>
  <c r="G137" i="6"/>
  <c r="Y137" i="6"/>
  <c r="U137" i="6"/>
  <c r="I137" i="6"/>
  <c r="Q137" i="6"/>
  <c r="V37" i="14"/>
  <c r="L29" i="18" s="1"/>
  <c r="Z37" i="14"/>
  <c r="M32" i="18" s="1"/>
  <c r="M137" i="6"/>
  <c r="K137" i="6"/>
  <c r="AB37" i="14"/>
  <c r="M29" i="18" s="1"/>
  <c r="X37" i="14"/>
  <c r="M35" i="18" s="1"/>
  <c r="T37" i="14"/>
  <c r="L30" i="18" s="1"/>
  <c r="L35" i="18"/>
  <c r="X33" i="18"/>
  <c r="X31" i="18"/>
  <c r="X25" i="18"/>
  <c r="X23" i="18"/>
  <c r="X17" i="18"/>
  <c r="X15" i="18"/>
  <c r="X7" i="18"/>
  <c r="X9" i="18"/>
  <c r="W11" i="18"/>
  <c r="X11" i="18" s="1"/>
  <c r="W10" i="18"/>
  <c r="X10" i="18" s="1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37" i="12" s="1"/>
  <c r="E9" i="12"/>
  <c r="E8" i="12"/>
  <c r="E7" i="12"/>
  <c r="E6" i="12"/>
  <c r="W5" i="18"/>
  <c r="P35" i="18"/>
  <c r="P34" i="18"/>
  <c r="P27" i="18"/>
  <c r="P26" i="18"/>
  <c r="P19" i="18"/>
  <c r="P18" i="18"/>
  <c r="K35" i="18"/>
  <c r="K34" i="18"/>
  <c r="K27" i="18"/>
  <c r="K26" i="18"/>
  <c r="K19" i="18"/>
  <c r="K18" i="18"/>
  <c r="K11" i="18"/>
  <c r="K10" i="18"/>
  <c r="F35" i="18"/>
  <c r="F34" i="18"/>
  <c r="K30" i="19"/>
  <c r="J30" i="19"/>
  <c r="J31" i="19" s="1"/>
  <c r="G30" i="19"/>
  <c r="G31" i="19" s="1"/>
  <c r="E30" i="19"/>
  <c r="E31" i="19" s="1"/>
  <c r="C30" i="19"/>
  <c r="C31" i="19" s="1"/>
  <c r="I29" i="19"/>
  <c r="I30" i="19" s="1"/>
  <c r="I31" i="19" s="1"/>
  <c r="G29" i="19"/>
  <c r="E29" i="19"/>
  <c r="C29" i="19"/>
  <c r="G28" i="19"/>
  <c r="E28" i="19"/>
  <c r="C28" i="19"/>
  <c r="O8" i="19"/>
  <c r="N8" i="19"/>
  <c r="P7" i="19"/>
  <c r="Q7" i="19" s="1"/>
  <c r="R7" i="19" s="1"/>
  <c r="P6" i="19"/>
  <c r="Q6" i="19" s="1"/>
  <c r="R6" i="19" s="1"/>
  <c r="P5" i="19"/>
  <c r="Q5" i="19" s="1"/>
  <c r="R5" i="19" s="1"/>
  <c r="P4" i="19"/>
  <c r="Q4" i="19" s="1"/>
  <c r="F27" i="18"/>
  <c r="F26" i="18"/>
  <c r="F19" i="18"/>
  <c r="F18" i="18"/>
  <c r="P11" i="18"/>
  <c r="F11" i="18"/>
  <c r="P10" i="18"/>
  <c r="F10" i="18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AJ103" i="6"/>
  <c r="AN132" i="12"/>
  <c r="AO131" i="12"/>
  <c r="AR131" i="12" s="1"/>
  <c r="AN131" i="12"/>
  <c r="AP131" i="12"/>
  <c r="AQ131" i="12"/>
  <c r="AO130" i="12"/>
  <c r="AR130" i="12"/>
  <c r="AN130" i="12"/>
  <c r="AO129" i="12"/>
  <c r="AR129" i="12"/>
  <c r="AN129" i="12"/>
  <c r="AQ129" i="12" s="1"/>
  <c r="AP129" i="12"/>
  <c r="AO128" i="12"/>
  <c r="AR128" i="12"/>
  <c r="AN128" i="12"/>
  <c r="AO127" i="12"/>
  <c r="AR127" i="12"/>
  <c r="AN127" i="12"/>
  <c r="AP127" i="12"/>
  <c r="AQ127" i="12"/>
  <c r="AO126" i="12"/>
  <c r="AR126" i="12"/>
  <c r="AP126" i="12"/>
  <c r="AS126" i="12" s="1"/>
  <c r="AO125" i="12"/>
  <c r="AR125" i="12"/>
  <c r="AN125" i="12"/>
  <c r="AP125" i="12"/>
  <c r="AQ125" i="12"/>
  <c r="AO124" i="12"/>
  <c r="AR124" i="12"/>
  <c r="AP124" i="12"/>
  <c r="AO123" i="12"/>
  <c r="AR123" i="12"/>
  <c r="AN123" i="12"/>
  <c r="AQ123" i="12" s="1"/>
  <c r="AP123" i="12"/>
  <c r="AN122" i="12"/>
  <c r="AO121" i="12"/>
  <c r="AP121" i="12"/>
  <c r="AN120" i="12"/>
  <c r="AN118" i="12"/>
  <c r="AO116" i="12"/>
  <c r="AO115" i="12"/>
  <c r="AN108" i="12"/>
  <c r="W29" i="18"/>
  <c r="O32" i="18"/>
  <c r="Z115" i="11"/>
  <c r="AC115" i="11" s="1"/>
  <c r="Y119" i="11"/>
  <c r="Z119" i="11"/>
  <c r="AC119" i="11" s="1"/>
  <c r="Z122" i="11"/>
  <c r="Z123" i="11"/>
  <c r="AA124" i="11"/>
  <c r="AD124" i="11" s="1"/>
  <c r="Z124" i="11"/>
  <c r="AC124" i="11" s="1"/>
  <c r="Z125" i="11"/>
  <c r="AC125" i="11" s="1"/>
  <c r="Z126" i="11"/>
  <c r="Z127" i="11"/>
  <c r="Z128" i="11"/>
  <c r="AC128" i="11" s="1"/>
  <c r="Z129" i="11"/>
  <c r="AC129" i="11" s="1"/>
  <c r="Z130" i="11"/>
  <c r="AC130" i="11" s="1"/>
  <c r="Y131" i="11"/>
  <c r="Y132" i="11"/>
  <c r="AA132" i="11"/>
  <c r="AD132" i="11" s="1"/>
  <c r="Z133" i="11"/>
  <c r="AC133" i="11" s="1"/>
  <c r="Z134" i="11"/>
  <c r="Y108" i="11"/>
  <c r="AB108" i="11" s="1"/>
  <c r="Z109" i="11"/>
  <c r="Z111" i="11"/>
  <c r="AC111" i="11" s="1"/>
  <c r="AA132" i="10"/>
  <c r="Z131" i="10"/>
  <c r="Z130" i="10"/>
  <c r="AA128" i="10"/>
  <c r="Z127" i="10"/>
  <c r="Z126" i="10"/>
  <c r="AA124" i="10"/>
  <c r="Z123" i="10"/>
  <c r="AM93" i="12"/>
  <c r="AK93" i="12"/>
  <c r="AI93" i="12"/>
  <c r="AG93" i="12"/>
  <c r="AE93" i="12"/>
  <c r="AC93" i="12"/>
  <c r="W93" i="12"/>
  <c r="U93" i="12"/>
  <c r="S93" i="12"/>
  <c r="Q93" i="12"/>
  <c r="O93" i="12"/>
  <c r="M93" i="12"/>
  <c r="K93" i="12"/>
  <c r="I93" i="12"/>
  <c r="G93" i="12"/>
  <c r="E93" i="12"/>
  <c r="AM92" i="12"/>
  <c r="AK92" i="12"/>
  <c r="AI92" i="12"/>
  <c r="AG92" i="12"/>
  <c r="AE92" i="12"/>
  <c r="AC92" i="12"/>
  <c r="W92" i="12"/>
  <c r="U92" i="12"/>
  <c r="S92" i="12"/>
  <c r="Q92" i="12"/>
  <c r="O92" i="12"/>
  <c r="M92" i="12"/>
  <c r="K92" i="12"/>
  <c r="I92" i="12"/>
  <c r="G92" i="12"/>
  <c r="E92" i="12"/>
  <c r="AM91" i="12"/>
  <c r="AK91" i="12"/>
  <c r="AI91" i="12"/>
  <c r="AG91" i="12"/>
  <c r="AE91" i="12"/>
  <c r="AC91" i="12"/>
  <c r="W91" i="12"/>
  <c r="U91" i="12"/>
  <c r="S91" i="12"/>
  <c r="Q91" i="12"/>
  <c r="O91" i="12"/>
  <c r="M91" i="12"/>
  <c r="K91" i="12"/>
  <c r="I91" i="12"/>
  <c r="G91" i="12"/>
  <c r="E91" i="12"/>
  <c r="AM90" i="12"/>
  <c r="AK90" i="12"/>
  <c r="AI90" i="12"/>
  <c r="AG90" i="12"/>
  <c r="AE90" i="12"/>
  <c r="AC90" i="12"/>
  <c r="W90" i="12"/>
  <c r="U90" i="12"/>
  <c r="S90" i="12"/>
  <c r="Q90" i="12"/>
  <c r="O90" i="12"/>
  <c r="M90" i="12"/>
  <c r="K90" i="12"/>
  <c r="I90" i="12"/>
  <c r="G90" i="12"/>
  <c r="E90" i="12"/>
  <c r="AM89" i="12"/>
  <c r="AK89" i="12"/>
  <c r="AI89" i="12"/>
  <c r="AG89" i="12"/>
  <c r="AE89" i="12"/>
  <c r="AC89" i="12"/>
  <c r="W89" i="12"/>
  <c r="U89" i="12"/>
  <c r="S89" i="12"/>
  <c r="Q89" i="12"/>
  <c r="O89" i="12"/>
  <c r="M89" i="12"/>
  <c r="K89" i="12"/>
  <c r="I89" i="12"/>
  <c r="G89" i="12"/>
  <c r="E89" i="12"/>
  <c r="X93" i="11"/>
  <c r="V93" i="11"/>
  <c r="T93" i="11"/>
  <c r="R93" i="11"/>
  <c r="P93" i="11"/>
  <c r="N93" i="11"/>
  <c r="L93" i="11"/>
  <c r="J93" i="11"/>
  <c r="H93" i="11"/>
  <c r="F93" i="11"/>
  <c r="D93" i="11"/>
  <c r="X92" i="11"/>
  <c r="V92" i="11"/>
  <c r="T92" i="11"/>
  <c r="R92" i="11"/>
  <c r="P92" i="11"/>
  <c r="N92" i="11"/>
  <c r="L92" i="11"/>
  <c r="J92" i="11"/>
  <c r="H92" i="11"/>
  <c r="F92" i="11"/>
  <c r="D92" i="11"/>
  <c r="X91" i="11"/>
  <c r="V91" i="11"/>
  <c r="T91" i="11"/>
  <c r="R91" i="11"/>
  <c r="P91" i="11"/>
  <c r="N91" i="11"/>
  <c r="L91" i="11"/>
  <c r="J91" i="11"/>
  <c r="H91" i="11"/>
  <c r="F91" i="11"/>
  <c r="D91" i="11"/>
  <c r="X90" i="11"/>
  <c r="V90" i="11"/>
  <c r="T90" i="11"/>
  <c r="R90" i="11"/>
  <c r="P90" i="11"/>
  <c r="N90" i="11"/>
  <c r="L90" i="11"/>
  <c r="J90" i="11"/>
  <c r="H90" i="11"/>
  <c r="F90" i="11"/>
  <c r="D90" i="11"/>
  <c r="X89" i="11"/>
  <c r="V89" i="11"/>
  <c r="T89" i="11"/>
  <c r="R89" i="11"/>
  <c r="P89" i="11"/>
  <c r="N89" i="11"/>
  <c r="L89" i="11"/>
  <c r="J89" i="11"/>
  <c r="H89" i="11"/>
  <c r="F89" i="11"/>
  <c r="D89" i="11"/>
  <c r="X93" i="10"/>
  <c r="V93" i="10"/>
  <c r="T93" i="10"/>
  <c r="R93" i="10"/>
  <c r="P93" i="10"/>
  <c r="N93" i="10"/>
  <c r="L93" i="10"/>
  <c r="J93" i="10"/>
  <c r="H93" i="10"/>
  <c r="F93" i="10"/>
  <c r="D93" i="10"/>
  <c r="X92" i="10"/>
  <c r="V92" i="10"/>
  <c r="T92" i="10"/>
  <c r="R92" i="10"/>
  <c r="P92" i="10"/>
  <c r="N92" i="10"/>
  <c r="L92" i="10"/>
  <c r="J92" i="10"/>
  <c r="H92" i="10"/>
  <c r="F92" i="10"/>
  <c r="D92" i="10"/>
  <c r="X91" i="10"/>
  <c r="V91" i="10"/>
  <c r="T91" i="10"/>
  <c r="R91" i="10"/>
  <c r="P91" i="10"/>
  <c r="N91" i="10"/>
  <c r="L91" i="10"/>
  <c r="J91" i="10"/>
  <c r="H91" i="10"/>
  <c r="F91" i="10"/>
  <c r="D91" i="10"/>
  <c r="X90" i="10"/>
  <c r="V90" i="10"/>
  <c r="T90" i="10"/>
  <c r="R90" i="10"/>
  <c r="P90" i="10"/>
  <c r="N90" i="10"/>
  <c r="L90" i="10"/>
  <c r="J90" i="10"/>
  <c r="H90" i="10"/>
  <c r="F90" i="10"/>
  <c r="D90" i="10"/>
  <c r="X89" i="10"/>
  <c r="V89" i="10"/>
  <c r="T89" i="10"/>
  <c r="R89" i="10"/>
  <c r="P89" i="10"/>
  <c r="N89" i="10"/>
  <c r="L89" i="10"/>
  <c r="J89" i="10"/>
  <c r="H89" i="10"/>
  <c r="F89" i="10"/>
  <c r="D89" i="10"/>
  <c r="X93" i="8"/>
  <c r="V93" i="8"/>
  <c r="T93" i="8"/>
  <c r="R93" i="8"/>
  <c r="P93" i="8"/>
  <c r="N93" i="8"/>
  <c r="L93" i="8"/>
  <c r="J93" i="8"/>
  <c r="H93" i="8"/>
  <c r="F93" i="8"/>
  <c r="D93" i="8"/>
  <c r="X92" i="8"/>
  <c r="V92" i="8"/>
  <c r="T92" i="8"/>
  <c r="R92" i="8"/>
  <c r="P92" i="8"/>
  <c r="N92" i="8"/>
  <c r="L92" i="8"/>
  <c r="J92" i="8"/>
  <c r="H92" i="8"/>
  <c r="F92" i="8"/>
  <c r="D92" i="8"/>
  <c r="X91" i="8"/>
  <c r="V91" i="8"/>
  <c r="T91" i="8"/>
  <c r="R91" i="8"/>
  <c r="P91" i="8"/>
  <c r="N91" i="8"/>
  <c r="L91" i="8"/>
  <c r="J91" i="8"/>
  <c r="H91" i="8"/>
  <c r="F91" i="8"/>
  <c r="D91" i="8"/>
  <c r="X90" i="8"/>
  <c r="V90" i="8"/>
  <c r="T90" i="8"/>
  <c r="R90" i="8"/>
  <c r="P90" i="8"/>
  <c r="N90" i="8"/>
  <c r="L90" i="8"/>
  <c r="J90" i="8"/>
  <c r="H90" i="8"/>
  <c r="F90" i="8"/>
  <c r="D90" i="8"/>
  <c r="X89" i="8"/>
  <c r="V89" i="8"/>
  <c r="T89" i="8"/>
  <c r="R89" i="8"/>
  <c r="P89" i="8"/>
  <c r="N89" i="8"/>
  <c r="L89" i="8"/>
  <c r="J89" i="8"/>
  <c r="H89" i="8"/>
  <c r="F89" i="8"/>
  <c r="D89" i="8"/>
  <c r="AI93" i="6"/>
  <c r="AG93" i="6"/>
  <c r="AE93" i="6"/>
  <c r="AC93" i="6"/>
  <c r="AA93" i="6"/>
  <c r="Y93" i="6"/>
  <c r="W93" i="6"/>
  <c r="U93" i="6"/>
  <c r="S93" i="6"/>
  <c r="Q93" i="6"/>
  <c r="O93" i="6"/>
  <c r="M93" i="6"/>
  <c r="K93" i="6"/>
  <c r="I93" i="6"/>
  <c r="G93" i="6"/>
  <c r="AI92" i="6"/>
  <c r="AG92" i="6"/>
  <c r="AE92" i="6"/>
  <c r="AC92" i="6"/>
  <c r="AA92" i="6"/>
  <c r="Y92" i="6"/>
  <c r="W92" i="6"/>
  <c r="U92" i="6"/>
  <c r="S92" i="6"/>
  <c r="Q92" i="6"/>
  <c r="O92" i="6"/>
  <c r="M92" i="6"/>
  <c r="K92" i="6"/>
  <c r="I92" i="6"/>
  <c r="G92" i="6"/>
  <c r="AI91" i="6"/>
  <c r="AG91" i="6"/>
  <c r="AE91" i="6"/>
  <c r="AC91" i="6"/>
  <c r="AA91" i="6"/>
  <c r="Y91" i="6"/>
  <c r="W91" i="6"/>
  <c r="U91" i="6"/>
  <c r="S91" i="6"/>
  <c r="Q91" i="6"/>
  <c r="O91" i="6"/>
  <c r="M91" i="6"/>
  <c r="K91" i="6"/>
  <c r="I91" i="6"/>
  <c r="G91" i="6"/>
  <c r="AI90" i="6"/>
  <c r="AG90" i="6"/>
  <c r="AE90" i="6"/>
  <c r="AC90" i="6"/>
  <c r="AA90" i="6"/>
  <c r="Y90" i="6"/>
  <c r="W90" i="6"/>
  <c r="U90" i="6"/>
  <c r="S90" i="6"/>
  <c r="Q90" i="6"/>
  <c r="O90" i="6"/>
  <c r="M90" i="6"/>
  <c r="K90" i="6"/>
  <c r="I90" i="6"/>
  <c r="G90" i="6"/>
  <c r="AI89" i="6"/>
  <c r="AG89" i="6"/>
  <c r="AE89" i="6"/>
  <c r="AC89" i="6"/>
  <c r="AA89" i="6"/>
  <c r="Y89" i="6"/>
  <c r="W89" i="6"/>
  <c r="U89" i="6"/>
  <c r="S89" i="6"/>
  <c r="Q89" i="6"/>
  <c r="O89" i="6"/>
  <c r="M89" i="6"/>
  <c r="K89" i="6"/>
  <c r="I89" i="6"/>
  <c r="G89" i="6"/>
  <c r="G36" i="18" l="1"/>
  <c r="P8" i="19"/>
  <c r="Y38" i="18"/>
  <c r="Y39" i="18"/>
  <c r="Y41" i="18"/>
  <c r="Y42" i="18"/>
  <c r="Y43" i="18"/>
  <c r="Y37" i="18"/>
  <c r="E136" i="6"/>
  <c r="E137" i="6" s="1"/>
  <c r="S137" i="6"/>
  <c r="Q36" i="18"/>
  <c r="L36" i="18"/>
  <c r="S39" i="18"/>
  <c r="P44" i="18"/>
  <c r="S41" i="18"/>
  <c r="F44" i="18"/>
  <c r="K44" i="18"/>
  <c r="S37" i="18"/>
  <c r="S40" i="18"/>
  <c r="K31" i="19"/>
  <c r="C32" i="19" s="1"/>
  <c r="Z92" i="10"/>
  <c r="S27" i="18"/>
  <c r="AA89" i="11"/>
  <c r="Y91" i="11"/>
  <c r="Z91" i="11"/>
  <c r="AC91" i="11" s="1"/>
  <c r="Z91" i="10"/>
  <c r="Z90" i="10"/>
  <c r="AC90" i="10" s="1"/>
  <c r="S34" i="18"/>
  <c r="S11" i="18"/>
  <c r="AN90" i="12"/>
  <c r="AQ90" i="12" s="1"/>
  <c r="AN92" i="12"/>
  <c r="AQ92" i="12" s="1"/>
  <c r="S19" i="18"/>
  <c r="Y91" i="10"/>
  <c r="AB91" i="10" s="1"/>
  <c r="S35" i="18"/>
  <c r="S10" i="18"/>
  <c r="S18" i="18"/>
  <c r="S26" i="18"/>
  <c r="Q8" i="19"/>
  <c r="R4" i="19"/>
  <c r="R8" i="19" s="1"/>
  <c r="AO122" i="12"/>
  <c r="AR122" i="12" s="1"/>
  <c r="AR121" i="12"/>
  <c r="AN121" i="12"/>
  <c r="Z121" i="11"/>
  <c r="AC121" i="11" s="1"/>
  <c r="Z122" i="10"/>
  <c r="AO120" i="12"/>
  <c r="AR120" i="12" s="1"/>
  <c r="Z120" i="11"/>
  <c r="AC120" i="11" s="1"/>
  <c r="AA120" i="10"/>
  <c r="AD120" i="10" s="1"/>
  <c r="AO119" i="12"/>
  <c r="AR119" i="12" s="1"/>
  <c r="AP119" i="12"/>
  <c r="AS119" i="12" s="1"/>
  <c r="AN119" i="12"/>
  <c r="Z119" i="10"/>
  <c r="AC119" i="10" s="1"/>
  <c r="AO117" i="12"/>
  <c r="AO118" i="12"/>
  <c r="AR118" i="12"/>
  <c r="Z118" i="10"/>
  <c r="AC118" i="10" s="1"/>
  <c r="AR116" i="12"/>
  <c r="AR117" i="12"/>
  <c r="V30" i="18"/>
  <c r="X30" i="18" s="1"/>
  <c r="AN116" i="12"/>
  <c r="AQ116" i="12" s="1"/>
  <c r="AP117" i="12"/>
  <c r="AS117" i="12" s="1"/>
  <c r="Z116" i="11"/>
  <c r="AC116" i="11" s="1"/>
  <c r="AA116" i="10"/>
  <c r="AD116" i="10" s="1"/>
  <c r="AR115" i="12"/>
  <c r="AP115" i="12"/>
  <c r="AS115" i="12" s="1"/>
  <c r="AN114" i="12"/>
  <c r="AN115" i="12"/>
  <c r="AQ115" i="12" s="1"/>
  <c r="AQ114" i="12"/>
  <c r="Z114" i="10"/>
  <c r="AC114" i="10" s="1"/>
  <c r="Z115" i="10"/>
  <c r="AC115" i="10" s="1"/>
  <c r="AN112" i="12"/>
  <c r="AQ112" i="12" s="1"/>
  <c r="AA112" i="10"/>
  <c r="AD112" i="10" s="1"/>
  <c r="Z110" i="11"/>
  <c r="AC110" i="11" s="1"/>
  <c r="Z110" i="10"/>
  <c r="AC110" i="10" s="1"/>
  <c r="W35" i="18"/>
  <c r="X35" i="18" s="1"/>
  <c r="AQ108" i="12"/>
  <c r="Z108" i="11"/>
  <c r="AC108" i="11" s="1"/>
  <c r="Z107" i="11"/>
  <c r="AC107" i="11" s="1"/>
  <c r="Z106" i="11"/>
  <c r="AC106" i="11" s="1"/>
  <c r="N29" i="18"/>
  <c r="Z106" i="10"/>
  <c r="AC106" i="10" s="1"/>
  <c r="AA108" i="10"/>
  <c r="AD108" i="10" s="1"/>
  <c r="Y106" i="11"/>
  <c r="AB106" i="11" s="1"/>
  <c r="W34" i="18"/>
  <c r="X34" i="18" s="1"/>
  <c r="V29" i="18"/>
  <c r="X29" i="18" s="1"/>
  <c r="AN106" i="12"/>
  <c r="AQ106" i="12" s="1"/>
  <c r="J29" i="18"/>
  <c r="J32" i="18"/>
  <c r="I33" i="18"/>
  <c r="I31" i="18"/>
  <c r="I32" i="18"/>
  <c r="AG135" i="6"/>
  <c r="AG137" i="6" s="1"/>
  <c r="AE135" i="6"/>
  <c r="AE137" i="6" s="1"/>
  <c r="AN104" i="12"/>
  <c r="AQ104" i="12" s="1"/>
  <c r="N30" i="18"/>
  <c r="P30" i="18" s="1"/>
  <c r="AB91" i="11"/>
  <c r="AA92" i="11"/>
  <c r="AD92" i="11" s="1"/>
  <c r="AA91" i="11"/>
  <c r="AD91" i="11" s="1"/>
  <c r="Y92" i="11"/>
  <c r="AB92" i="11" s="1"/>
  <c r="Y90" i="11"/>
  <c r="AB90" i="11" s="1"/>
  <c r="J31" i="18"/>
  <c r="I29" i="18"/>
  <c r="I30" i="18"/>
  <c r="K30" i="18" s="1"/>
  <c r="Y90" i="10"/>
  <c r="AB90" i="10" s="1"/>
  <c r="AA91" i="10"/>
  <c r="AA92" i="10"/>
  <c r="AD92" i="10" s="1"/>
  <c r="Z89" i="10"/>
  <c r="AC89" i="10" s="1"/>
  <c r="AA89" i="10"/>
  <c r="AD89" i="10" s="1"/>
  <c r="AC92" i="10"/>
  <c r="Z93" i="10"/>
  <c r="AC93" i="10" s="1"/>
  <c r="W135" i="6"/>
  <c r="Z109" i="8"/>
  <c r="AA118" i="8"/>
  <c r="Y121" i="8"/>
  <c r="AB121" i="8" s="1"/>
  <c r="Z130" i="8"/>
  <c r="Z103" i="8"/>
  <c r="Y134" i="8"/>
  <c r="AB134" i="8" s="1"/>
  <c r="AA130" i="8"/>
  <c r="AA126" i="8"/>
  <c r="Y122" i="8"/>
  <c r="AB122" i="8" s="1"/>
  <c r="Y118" i="8"/>
  <c r="AB118" i="8" s="1"/>
  <c r="AA114" i="8"/>
  <c r="AA110" i="8"/>
  <c r="Y106" i="8"/>
  <c r="AB106" i="8" s="1"/>
  <c r="Y133" i="8"/>
  <c r="AB133" i="8" s="1"/>
  <c r="Y129" i="8"/>
  <c r="AB129" i="8" s="1"/>
  <c r="AA125" i="8"/>
  <c r="AA121" i="8"/>
  <c r="Y117" i="8"/>
  <c r="AB117" i="8" s="1"/>
  <c r="Y113" i="8"/>
  <c r="AB113" i="8" s="1"/>
  <c r="AA109" i="8"/>
  <c r="AA105" i="8"/>
  <c r="AA132" i="8"/>
  <c r="Y128" i="8"/>
  <c r="AB128" i="8" s="1"/>
  <c r="Y124" i="8"/>
  <c r="AB124" i="8" s="1"/>
  <c r="AA120" i="8"/>
  <c r="AA116" i="8"/>
  <c r="Y112" i="8"/>
  <c r="AB112" i="8" s="1"/>
  <c r="Y108" i="8"/>
  <c r="AB108" i="8" s="1"/>
  <c r="Z132" i="8"/>
  <c r="Z128" i="8"/>
  <c r="Z124" i="8"/>
  <c r="Z120" i="8"/>
  <c r="Z116" i="8"/>
  <c r="Z112" i="8"/>
  <c r="Z108" i="8"/>
  <c r="Z134" i="8"/>
  <c r="AC134" i="8" s="1"/>
  <c r="Z126" i="8"/>
  <c r="Z122" i="8"/>
  <c r="Z118" i="8"/>
  <c r="Z114" i="8"/>
  <c r="Z110" i="8"/>
  <c r="Z106" i="8"/>
  <c r="Z133" i="8"/>
  <c r="AC133" i="8" s="1"/>
  <c r="Z129" i="8"/>
  <c r="Z125" i="8"/>
  <c r="Z121" i="8"/>
  <c r="Z117" i="8"/>
  <c r="Z113" i="8"/>
  <c r="Z105" i="8"/>
  <c r="Y116" i="8"/>
  <c r="AB116" i="8" s="1"/>
  <c r="AA134" i="8"/>
  <c r="AD134" i="8" s="1"/>
  <c r="AA113" i="8"/>
  <c r="Y132" i="8"/>
  <c r="AB132" i="8" s="1"/>
  <c r="Y110" i="8"/>
  <c r="AB110" i="8" s="1"/>
  <c r="AA129" i="8"/>
  <c r="AA108" i="8"/>
  <c r="D31" i="18"/>
  <c r="Y126" i="8"/>
  <c r="AB126" i="8" s="1"/>
  <c r="Y105" i="8"/>
  <c r="AB105" i="8" s="1"/>
  <c r="AA124" i="8"/>
  <c r="E29" i="18"/>
  <c r="Y130" i="8"/>
  <c r="AB130" i="8" s="1"/>
  <c r="Y125" i="8"/>
  <c r="AB125" i="8" s="1"/>
  <c r="Y120" i="8"/>
  <c r="AB120" i="8" s="1"/>
  <c r="Y114" i="8"/>
  <c r="AB114" i="8" s="1"/>
  <c r="Y109" i="8"/>
  <c r="AB109" i="8" s="1"/>
  <c r="AA133" i="8"/>
  <c r="AD133" i="8" s="1"/>
  <c r="AA128" i="8"/>
  <c r="AA122" i="8"/>
  <c r="AA117" i="8"/>
  <c r="AA112" i="8"/>
  <c r="AA106" i="8"/>
  <c r="E32" i="18"/>
  <c r="D30" i="18"/>
  <c r="F30" i="18" s="1"/>
  <c r="E33" i="18"/>
  <c r="D29" i="18"/>
  <c r="E31" i="18"/>
  <c r="AA92" i="8"/>
  <c r="AD92" i="8" s="1"/>
  <c r="AO89" i="12"/>
  <c r="AR89" i="12" s="1"/>
  <c r="AO90" i="12"/>
  <c r="AR90" i="12" s="1"/>
  <c r="AO91" i="12"/>
  <c r="AR91" i="12" s="1"/>
  <c r="AN89" i="12"/>
  <c r="AP91" i="12"/>
  <c r="AS91" i="12" s="1"/>
  <c r="AP92" i="12"/>
  <c r="AN91" i="12"/>
  <c r="AQ91" i="12" s="1"/>
  <c r="AO92" i="12"/>
  <c r="AR92" i="12" s="1"/>
  <c r="AP90" i="12"/>
  <c r="AS90" i="12" s="1"/>
  <c r="N33" i="18"/>
  <c r="N31" i="18"/>
  <c r="Y104" i="11"/>
  <c r="AB104" i="11" s="1"/>
  <c r="AA104" i="10"/>
  <c r="AD104" i="10" s="1"/>
  <c r="Z131" i="8"/>
  <c r="Z127" i="8"/>
  <c r="Z123" i="8"/>
  <c r="Z119" i="8"/>
  <c r="Z115" i="8"/>
  <c r="Z111" i="8"/>
  <c r="Z107" i="8"/>
  <c r="AA131" i="8"/>
  <c r="AA127" i="8"/>
  <c r="AA123" i="8"/>
  <c r="AA119" i="8"/>
  <c r="AA115" i="8"/>
  <c r="AA111" i="8"/>
  <c r="AA107" i="8"/>
  <c r="Y131" i="8"/>
  <c r="AB131" i="8" s="1"/>
  <c r="Y127" i="8"/>
  <c r="AB127" i="8" s="1"/>
  <c r="Y123" i="8"/>
  <c r="AB123" i="8" s="1"/>
  <c r="Y119" i="8"/>
  <c r="AB119" i="8" s="1"/>
  <c r="Y115" i="8"/>
  <c r="AB115" i="8" s="1"/>
  <c r="Y111" i="8"/>
  <c r="AB111" i="8" s="1"/>
  <c r="Y107" i="8"/>
  <c r="AB107" i="8" s="1"/>
  <c r="Y103" i="8"/>
  <c r="AB103" i="8" s="1"/>
  <c r="AA104" i="8"/>
  <c r="Y104" i="8"/>
  <c r="AB104" i="8" s="1"/>
  <c r="D33" i="18"/>
  <c r="Z89" i="8"/>
  <c r="AC89" i="8" s="1"/>
  <c r="Z90" i="8"/>
  <c r="AC90" i="8" s="1"/>
  <c r="AA91" i="8"/>
  <c r="AD91" i="8" s="1"/>
  <c r="Y92" i="8"/>
  <c r="AB92" i="8" s="1"/>
  <c r="Y90" i="8"/>
  <c r="AB90" i="8" s="1"/>
  <c r="Z92" i="8"/>
  <c r="AC92" i="8" s="1"/>
  <c r="Y89" i="8"/>
  <c r="AB89" i="8" s="1"/>
  <c r="Y91" i="8"/>
  <c r="AB91" i="8" s="1"/>
  <c r="Z91" i="8"/>
  <c r="AC91" i="8" s="1"/>
  <c r="AO134" i="12"/>
  <c r="AR134" i="12" s="1"/>
  <c r="AN134" i="12"/>
  <c r="AN133" i="12"/>
  <c r="AQ133" i="12" s="1"/>
  <c r="AP134" i="12"/>
  <c r="AS134" i="12" s="1"/>
  <c r="AQ134" i="12"/>
  <c r="AO133" i="12"/>
  <c r="AR133" i="12" s="1"/>
  <c r="AP133" i="12"/>
  <c r="AS133" i="12" s="1"/>
  <c r="AO132" i="12"/>
  <c r="AR132" i="12" s="1"/>
  <c r="AR104" i="12"/>
  <c r="AP105" i="12"/>
  <c r="AS105" i="12" s="1"/>
  <c r="AO105" i="12"/>
  <c r="AR105" i="12" s="1"/>
  <c r="AO106" i="12"/>
  <c r="AR106" i="12" s="1"/>
  <c r="AP107" i="12"/>
  <c r="AS107" i="12" s="1"/>
  <c r="AO107" i="12"/>
  <c r="AR107" i="12" s="1"/>
  <c r="AO108" i="12"/>
  <c r="AR108" i="12" s="1"/>
  <c r="AP109" i="12"/>
  <c r="AS109" i="12" s="1"/>
  <c r="AO109" i="12"/>
  <c r="AR109" i="12" s="1"/>
  <c r="AO110" i="12"/>
  <c r="AR110" i="12" s="1"/>
  <c r="AP111" i="12"/>
  <c r="AS111" i="12" s="1"/>
  <c r="AO111" i="12"/>
  <c r="AR111" i="12" s="1"/>
  <c r="AO112" i="12"/>
  <c r="AR112" i="12" s="1"/>
  <c r="AP113" i="12"/>
  <c r="AS113" i="12" s="1"/>
  <c r="AO113" i="12"/>
  <c r="AR113" i="12" s="1"/>
  <c r="AO114" i="12"/>
  <c r="AR114" i="12" s="1"/>
  <c r="AN117" i="12"/>
  <c r="AQ117" i="12" s="1"/>
  <c r="AN110" i="12"/>
  <c r="AQ110" i="12" s="1"/>
  <c r="AS124" i="12"/>
  <c r="AQ119" i="12"/>
  <c r="AQ121" i="12"/>
  <c r="AP116" i="12"/>
  <c r="AS116" i="12" s="1"/>
  <c r="AP118" i="12"/>
  <c r="AS118" i="12" s="1"/>
  <c r="AP128" i="12"/>
  <c r="AS128" i="12" s="1"/>
  <c r="AP130" i="12"/>
  <c r="AS130" i="12" s="1"/>
  <c r="AP132" i="12"/>
  <c r="AS132" i="12" s="1"/>
  <c r="AN103" i="12"/>
  <c r="AQ103" i="12" s="1"/>
  <c r="AP104" i="12"/>
  <c r="AS104" i="12" s="1"/>
  <c r="AN105" i="12"/>
  <c r="AQ105" i="12" s="1"/>
  <c r="AP106" i="12"/>
  <c r="AS106" i="12" s="1"/>
  <c r="AN107" i="12"/>
  <c r="AQ107" i="12" s="1"/>
  <c r="AP108" i="12"/>
  <c r="AS108" i="12" s="1"/>
  <c r="AN109" i="12"/>
  <c r="AQ109" i="12" s="1"/>
  <c r="AP110" i="12"/>
  <c r="AS110" i="12" s="1"/>
  <c r="AN111" i="12"/>
  <c r="AQ111" i="12" s="1"/>
  <c r="AP112" i="12"/>
  <c r="AS112" i="12" s="1"/>
  <c r="AN113" i="12"/>
  <c r="AQ113" i="12" s="1"/>
  <c r="AP114" i="12"/>
  <c r="AS114" i="12" s="1"/>
  <c r="AQ118" i="12"/>
  <c r="AQ120" i="12"/>
  <c r="AS121" i="12"/>
  <c r="AQ122" i="12"/>
  <c r="AS123" i="12"/>
  <c r="AS125" i="12"/>
  <c r="AS127" i="12"/>
  <c r="AQ128" i="12"/>
  <c r="AS129" i="12"/>
  <c r="AQ130" i="12"/>
  <c r="AS131" i="12"/>
  <c r="AQ132" i="12"/>
  <c r="AP120" i="12"/>
  <c r="AS120" i="12" s="1"/>
  <c r="AP122" i="12"/>
  <c r="AS122" i="12" s="1"/>
  <c r="AN124" i="12"/>
  <c r="AQ124" i="12" s="1"/>
  <c r="AN126" i="12"/>
  <c r="AQ126" i="12" s="1"/>
  <c r="AR103" i="12"/>
  <c r="AP103" i="12"/>
  <c r="AS103" i="12" s="1"/>
  <c r="Z132" i="11"/>
  <c r="AC132" i="11" s="1"/>
  <c r="Z117" i="11"/>
  <c r="AC117" i="11" s="1"/>
  <c r="Z112" i="11"/>
  <c r="AC112" i="11" s="1"/>
  <c r="Z105" i="11"/>
  <c r="AC105" i="11" s="1"/>
  <c r="Z118" i="11"/>
  <c r="AC118" i="11" s="1"/>
  <c r="Z113" i="11"/>
  <c r="AC113" i="11" s="1"/>
  <c r="Z103" i="11"/>
  <c r="AC103" i="11" s="1"/>
  <c r="Z114" i="11"/>
  <c r="AC114" i="11" s="1"/>
  <c r="AC109" i="11"/>
  <c r="Z104" i="11"/>
  <c r="AC104" i="11" s="1"/>
  <c r="Z131" i="11"/>
  <c r="AC131" i="11" s="1"/>
  <c r="AA131" i="11"/>
  <c r="AD131" i="11" s="1"/>
  <c r="AA122" i="11"/>
  <c r="AD122" i="11" s="1"/>
  <c r="AA110" i="11"/>
  <c r="AD110" i="11" s="1"/>
  <c r="AA129" i="11"/>
  <c r="AC123" i="11"/>
  <c r="AC122" i="11"/>
  <c r="AA104" i="11"/>
  <c r="AD104" i="11" s="1"/>
  <c r="AC127" i="11"/>
  <c r="AC126" i="11"/>
  <c r="AA126" i="11"/>
  <c r="AD126" i="11" s="1"/>
  <c r="AA125" i="11"/>
  <c r="AD125" i="11" s="1"/>
  <c r="AC134" i="11"/>
  <c r="AA111" i="11"/>
  <c r="AD111" i="11" s="1"/>
  <c r="AA108" i="11"/>
  <c r="AD108" i="11" s="1"/>
  <c r="Y105" i="11"/>
  <c r="AB105" i="11" s="1"/>
  <c r="AA105" i="11"/>
  <c r="AD105" i="11" s="1"/>
  <c r="AA130" i="11"/>
  <c r="AD130" i="11" s="1"/>
  <c r="Y126" i="11"/>
  <c r="AB126" i="11" s="1"/>
  <c r="Y118" i="11"/>
  <c r="AB118" i="11" s="1"/>
  <c r="AA120" i="11"/>
  <c r="AD120" i="11" s="1"/>
  <c r="Y129" i="11"/>
  <c r="AA128" i="11"/>
  <c r="AD128" i="11" s="1"/>
  <c r="Y120" i="11"/>
  <c r="AB120" i="11" s="1"/>
  <c r="AA118" i="11"/>
  <c r="AD118" i="11" s="1"/>
  <c r="AA114" i="11"/>
  <c r="AD114" i="11" s="1"/>
  <c r="AA113" i="11"/>
  <c r="AD113" i="11" s="1"/>
  <c r="AA117" i="11"/>
  <c r="AD117" i="11" s="1"/>
  <c r="AA119" i="11"/>
  <c r="AD119" i="11" s="1"/>
  <c r="AA115" i="11"/>
  <c r="AD115" i="11" s="1"/>
  <c r="N32" i="18"/>
  <c r="P32" i="18" s="1"/>
  <c r="AA109" i="11"/>
  <c r="AD109" i="11" s="1"/>
  <c r="Y107" i="11"/>
  <c r="AB107" i="11" s="1"/>
  <c r="AA127" i="11"/>
  <c r="AD127" i="11" s="1"/>
  <c r="AA123" i="11"/>
  <c r="AD123" i="11" s="1"/>
  <c r="AA116" i="11"/>
  <c r="AD116" i="11" s="1"/>
  <c r="AA112" i="11"/>
  <c r="AD112" i="11" s="1"/>
  <c r="Y127" i="11"/>
  <c r="AB127" i="11" s="1"/>
  <c r="AA133" i="11"/>
  <c r="AD133" i="11" s="1"/>
  <c r="Y121" i="11"/>
  <c r="AB121" i="11" s="1"/>
  <c r="Y111" i="11"/>
  <c r="AB111" i="11" s="1"/>
  <c r="Y109" i="11"/>
  <c r="AB109" i="11" s="1"/>
  <c r="AA107" i="11"/>
  <c r="AD107" i="11" s="1"/>
  <c r="AA106" i="11"/>
  <c r="AD106" i="11" s="1"/>
  <c r="Y133" i="11"/>
  <c r="AB133" i="11" s="1"/>
  <c r="Y130" i="11"/>
  <c r="AB130" i="11" s="1"/>
  <c r="Y128" i="11"/>
  <c r="AB128" i="11" s="1"/>
  <c r="Y125" i="11"/>
  <c r="AB125" i="11" s="1"/>
  <c r="Y123" i="11"/>
  <c r="AB123" i="11" s="1"/>
  <c r="AA121" i="11"/>
  <c r="AD121" i="11" s="1"/>
  <c r="Y117" i="11"/>
  <c r="AB117" i="11" s="1"/>
  <c r="Y116" i="11"/>
  <c r="AB116" i="11" s="1"/>
  <c r="Y114" i="11"/>
  <c r="AB114" i="11" s="1"/>
  <c r="Y113" i="11"/>
  <c r="AB113" i="11" s="1"/>
  <c r="Y112" i="11"/>
  <c r="AB112" i="11" s="1"/>
  <c r="Y103" i="11"/>
  <c r="AB103" i="11" s="1"/>
  <c r="Y110" i="11"/>
  <c r="AB110" i="11" s="1"/>
  <c r="Y124" i="11"/>
  <c r="AB124" i="11" s="1"/>
  <c r="Y122" i="11"/>
  <c r="AB122" i="11" s="1"/>
  <c r="Y115" i="11"/>
  <c r="AB115" i="11" s="1"/>
  <c r="AB129" i="11"/>
  <c r="AB132" i="11"/>
  <c r="AB131" i="11"/>
  <c r="AB119" i="11"/>
  <c r="AD129" i="11"/>
  <c r="Y134" i="11"/>
  <c r="AB134" i="11" s="1"/>
  <c r="AA134" i="11"/>
  <c r="AD134" i="11" s="1"/>
  <c r="AA103" i="11"/>
  <c r="AD103" i="11" s="1"/>
  <c r="Z134" i="10"/>
  <c r="AC134" i="10" s="1"/>
  <c r="Z105" i="10"/>
  <c r="AC105" i="10" s="1"/>
  <c r="Z109" i="10"/>
  <c r="AC109" i="10" s="1"/>
  <c r="Z113" i="10"/>
  <c r="Z117" i="10"/>
  <c r="AC117" i="10" s="1"/>
  <c r="Z121" i="10"/>
  <c r="AC121" i="10" s="1"/>
  <c r="Z125" i="10"/>
  <c r="AC125" i="10" s="1"/>
  <c r="Z129" i="10"/>
  <c r="Z103" i="10"/>
  <c r="AC103" i="10" s="1"/>
  <c r="Z107" i="10"/>
  <c r="AC107" i="10" s="1"/>
  <c r="Z111" i="10"/>
  <c r="AC111" i="10" s="1"/>
  <c r="Z104" i="10"/>
  <c r="AC104" i="10" s="1"/>
  <c r="Z108" i="10"/>
  <c r="AC108" i="10" s="1"/>
  <c r="Z112" i="10"/>
  <c r="AC112" i="10" s="1"/>
  <c r="Z116" i="10"/>
  <c r="AC116" i="10" s="1"/>
  <c r="Z120" i="10"/>
  <c r="AC120" i="10" s="1"/>
  <c r="Z124" i="10"/>
  <c r="AC124" i="10" s="1"/>
  <c r="Z128" i="10"/>
  <c r="AC128" i="10" s="1"/>
  <c r="Z132" i="10"/>
  <c r="AC132" i="10" s="1"/>
  <c r="AC113" i="10"/>
  <c r="AC129" i="10"/>
  <c r="AA107" i="10"/>
  <c r="AD107" i="10" s="1"/>
  <c r="AA111" i="10"/>
  <c r="AD111" i="10" s="1"/>
  <c r="AA115" i="10"/>
  <c r="AD115" i="10" s="1"/>
  <c r="AA119" i="10"/>
  <c r="AD119" i="10" s="1"/>
  <c r="AA123" i="10"/>
  <c r="AD123" i="10" s="1"/>
  <c r="AA127" i="10"/>
  <c r="AD127" i="10" s="1"/>
  <c r="AA131" i="10"/>
  <c r="AD131" i="10" s="1"/>
  <c r="AA106" i="10"/>
  <c r="AD106" i="10" s="1"/>
  <c r="AA110" i="10"/>
  <c r="AD110" i="10" s="1"/>
  <c r="AA114" i="10"/>
  <c r="AD114" i="10" s="1"/>
  <c r="AA118" i="10"/>
  <c r="AD118" i="10" s="1"/>
  <c r="AA122" i="10"/>
  <c r="AD122" i="10" s="1"/>
  <c r="AA126" i="10"/>
  <c r="AD126" i="10" s="1"/>
  <c r="AA130" i="10"/>
  <c r="AD130" i="10" s="1"/>
  <c r="Y106" i="10"/>
  <c r="AB106" i="10" s="1"/>
  <c r="Y110" i="10"/>
  <c r="AB110" i="10" s="1"/>
  <c r="Y114" i="10"/>
  <c r="AB114" i="10" s="1"/>
  <c r="Y118" i="10"/>
  <c r="AB118" i="10" s="1"/>
  <c r="Y122" i="10"/>
  <c r="AB122" i="10" s="1"/>
  <c r="Y130" i="10"/>
  <c r="AB130" i="10" s="1"/>
  <c r="Y113" i="10"/>
  <c r="AB113" i="10" s="1"/>
  <c r="Y129" i="10"/>
  <c r="AB129" i="10" s="1"/>
  <c r="Y105" i="10"/>
  <c r="AB105" i="10" s="1"/>
  <c r="Y109" i="10"/>
  <c r="AB109" i="10" s="1"/>
  <c r="Y117" i="10"/>
  <c r="AB117" i="10" s="1"/>
  <c r="Y121" i="10"/>
  <c r="AB121" i="10" s="1"/>
  <c r="Y125" i="10"/>
  <c r="AB125" i="10" s="1"/>
  <c r="AA105" i="10"/>
  <c r="AD105" i="10" s="1"/>
  <c r="AA109" i="10"/>
  <c r="AD109" i="10" s="1"/>
  <c r="AA113" i="10"/>
  <c r="AD113" i="10" s="1"/>
  <c r="AA117" i="10"/>
  <c r="AD117" i="10" s="1"/>
  <c r="AA121" i="10"/>
  <c r="AD121" i="10" s="1"/>
  <c r="AA125" i="10"/>
  <c r="AD125" i="10" s="1"/>
  <c r="AA129" i="10"/>
  <c r="AD129" i="10" s="1"/>
  <c r="Y126" i="10"/>
  <c r="AB126" i="10" s="1"/>
  <c r="AA134" i="10"/>
  <c r="AD134" i="10" s="1"/>
  <c r="Y134" i="10"/>
  <c r="AB134" i="10" s="1"/>
  <c r="AA133" i="10"/>
  <c r="AD133" i="10" s="1"/>
  <c r="Y133" i="10"/>
  <c r="AB133" i="10" s="1"/>
  <c r="Z133" i="10"/>
  <c r="AC133" i="10" s="1"/>
  <c r="AC123" i="10"/>
  <c r="AC127" i="10"/>
  <c r="AC131" i="10"/>
  <c r="AC122" i="10"/>
  <c r="AD124" i="10"/>
  <c r="AC126" i="10"/>
  <c r="AD128" i="10"/>
  <c r="AC130" i="10"/>
  <c r="AD132" i="10"/>
  <c r="Y103" i="10"/>
  <c r="AB103" i="10" s="1"/>
  <c r="Y107" i="10"/>
  <c r="AB107" i="10" s="1"/>
  <c r="Y111" i="10"/>
  <c r="AB111" i="10" s="1"/>
  <c r="Y115" i="10"/>
  <c r="AB115" i="10" s="1"/>
  <c r="Y119" i="10"/>
  <c r="AB119" i="10" s="1"/>
  <c r="Y123" i="10"/>
  <c r="AB123" i="10" s="1"/>
  <c r="Y127" i="10"/>
  <c r="AB127" i="10" s="1"/>
  <c r="Y131" i="10"/>
  <c r="AB131" i="10" s="1"/>
  <c r="Y104" i="10"/>
  <c r="AB104" i="10" s="1"/>
  <c r="Y108" i="10"/>
  <c r="AB108" i="10" s="1"/>
  <c r="Y112" i="10"/>
  <c r="AB112" i="10" s="1"/>
  <c r="Y116" i="10"/>
  <c r="AB116" i="10" s="1"/>
  <c r="Y120" i="10"/>
  <c r="AB120" i="10" s="1"/>
  <c r="Y124" i="10"/>
  <c r="AB124" i="10" s="1"/>
  <c r="Y128" i="10"/>
  <c r="AB128" i="10" s="1"/>
  <c r="Y132" i="10"/>
  <c r="AB132" i="10" s="1"/>
  <c r="AA103" i="10"/>
  <c r="AD103" i="10" s="1"/>
  <c r="AA103" i="8"/>
  <c r="D32" i="18"/>
  <c r="AJ105" i="6"/>
  <c r="AK105" i="6" s="1"/>
  <c r="AJ110" i="6"/>
  <c r="AK110" i="6" s="1"/>
  <c r="AJ111" i="6"/>
  <c r="AK111" i="6" s="1"/>
  <c r="AJ112" i="6"/>
  <c r="AK112" i="6" s="1"/>
  <c r="AJ126" i="6"/>
  <c r="AK126" i="6" s="1"/>
  <c r="AJ128" i="6"/>
  <c r="AK128" i="6" s="1"/>
  <c r="AJ130" i="6"/>
  <c r="AK130" i="6" s="1"/>
  <c r="AJ127" i="6"/>
  <c r="AJ129" i="6"/>
  <c r="AK129" i="6" s="1"/>
  <c r="AJ131" i="6"/>
  <c r="AK131" i="6" s="1"/>
  <c r="AJ132" i="6"/>
  <c r="AK132" i="6" s="1"/>
  <c r="AK127" i="6"/>
  <c r="AJ133" i="6"/>
  <c r="AK133" i="6" s="1"/>
  <c r="AJ109" i="6"/>
  <c r="AK109" i="6" s="1"/>
  <c r="AJ125" i="6"/>
  <c r="AK125" i="6" s="1"/>
  <c r="AJ108" i="6"/>
  <c r="AK108" i="6" s="1"/>
  <c r="AJ106" i="6"/>
  <c r="AK106" i="6" s="1"/>
  <c r="AJ107" i="6"/>
  <c r="AK107" i="6" s="1"/>
  <c r="AJ113" i="6"/>
  <c r="AK113" i="6" s="1"/>
  <c r="AJ114" i="6"/>
  <c r="AK114" i="6" s="1"/>
  <c r="AJ115" i="6"/>
  <c r="AK115" i="6" s="1"/>
  <c r="AJ116" i="6"/>
  <c r="AK116" i="6" s="1"/>
  <c r="AJ117" i="6"/>
  <c r="AK117" i="6" s="1"/>
  <c r="AJ118" i="6"/>
  <c r="AK118" i="6" s="1"/>
  <c r="AJ119" i="6"/>
  <c r="AK119" i="6" s="1"/>
  <c r="AJ120" i="6"/>
  <c r="AK120" i="6" s="1"/>
  <c r="AJ121" i="6"/>
  <c r="AK121" i="6" s="1"/>
  <c r="AJ123" i="6"/>
  <c r="AK123" i="6" s="1"/>
  <c r="AJ124" i="6"/>
  <c r="AK124" i="6" s="1"/>
  <c r="AJ104" i="6"/>
  <c r="AK104" i="6" s="1"/>
  <c r="AJ89" i="6"/>
  <c r="AK89" i="6" s="1"/>
  <c r="AJ90" i="6"/>
  <c r="AJ91" i="6"/>
  <c r="AK91" i="6" s="1"/>
  <c r="AJ92" i="6"/>
  <c r="AK92" i="6" s="1"/>
  <c r="AK103" i="6"/>
  <c r="AK90" i="6"/>
  <c r="Z92" i="11"/>
  <c r="AC92" i="11" s="1"/>
  <c r="Z90" i="11"/>
  <c r="AC90" i="11" s="1"/>
  <c r="AD89" i="11"/>
  <c r="Z89" i="11"/>
  <c r="AC89" i="11" s="1"/>
  <c r="AC91" i="10"/>
  <c r="AO93" i="12"/>
  <c r="AR93" i="12" s="1"/>
  <c r="AP93" i="12"/>
  <c r="AN93" i="12"/>
  <c r="AQ93" i="12" s="1"/>
  <c r="AS93" i="12"/>
  <c r="Z93" i="11"/>
  <c r="AC93" i="11" s="1"/>
  <c r="Y93" i="11"/>
  <c r="AB93" i="11" s="1"/>
  <c r="Y93" i="10"/>
  <c r="AB93" i="10" s="1"/>
  <c r="Z93" i="8"/>
  <c r="AC93" i="8" s="1"/>
  <c r="Y93" i="8"/>
  <c r="AB93" i="8" s="1"/>
  <c r="AJ93" i="6"/>
  <c r="AK93" i="6" s="1"/>
  <c r="AQ89" i="12"/>
  <c r="AS92" i="12"/>
  <c r="AP89" i="12"/>
  <c r="AS89" i="12" s="1"/>
  <c r="AA93" i="11"/>
  <c r="AD93" i="11" s="1"/>
  <c r="AA90" i="11"/>
  <c r="AD90" i="11" s="1"/>
  <c r="Y89" i="11"/>
  <c r="AB89" i="11" s="1"/>
  <c r="AA93" i="10"/>
  <c r="AD93" i="10" s="1"/>
  <c r="AA90" i="10"/>
  <c r="AD90" i="10" s="1"/>
  <c r="AD91" i="10"/>
  <c r="Y92" i="10"/>
  <c r="AB92" i="10" s="1"/>
  <c r="Y89" i="10"/>
  <c r="AB89" i="10" s="1"/>
  <c r="AA89" i="8"/>
  <c r="AD89" i="8" s="1"/>
  <c r="AA93" i="8"/>
  <c r="AD93" i="8" s="1"/>
  <c r="AA90" i="8"/>
  <c r="AD90" i="8" s="1"/>
  <c r="T40" i="18" l="1"/>
  <c r="S44" i="18"/>
  <c r="W136" i="6"/>
  <c r="AJ136" i="6" s="1"/>
  <c r="AK136" i="6" s="1"/>
  <c r="AJ135" i="6"/>
  <c r="V32" i="18"/>
  <c r="V36" i="18" s="1"/>
  <c r="K29" i="18"/>
  <c r="K31" i="18"/>
  <c r="O31" i="18"/>
  <c r="P31" i="18" s="1"/>
  <c r="O33" i="18"/>
  <c r="P33" i="18" s="1"/>
  <c r="S30" i="18"/>
  <c r="K32" i="18"/>
  <c r="F33" i="18"/>
  <c r="F31" i="18"/>
  <c r="F29" i="18"/>
  <c r="F32" i="18"/>
  <c r="W32" i="18"/>
  <c r="W36" i="18" s="1"/>
  <c r="AO135" i="12"/>
  <c r="Z135" i="10"/>
  <c r="AP135" i="12"/>
  <c r="AN135" i="12"/>
  <c r="Z135" i="11"/>
  <c r="AA135" i="11"/>
  <c r="AD135" i="11" s="1"/>
  <c r="AA135" i="10"/>
  <c r="AD135" i="10" s="1"/>
  <c r="Y135" i="10"/>
  <c r="AB135" i="10" s="1"/>
  <c r="AB135" i="11"/>
  <c r="AJ134" i="6"/>
  <c r="AK134" i="6" s="1"/>
  <c r="Z135" i="8"/>
  <c r="AC135" i="8" s="1"/>
  <c r="T38" i="18" l="1"/>
  <c r="T39" i="18"/>
  <c r="T41" i="18"/>
  <c r="T43" i="18"/>
  <c r="T42" i="18"/>
  <c r="T37" i="18"/>
  <c r="AJ137" i="6"/>
  <c r="AK135" i="6"/>
  <c r="AK137" i="6" s="1"/>
  <c r="F36" i="18"/>
  <c r="X36" i="18"/>
  <c r="Y34" i="18" s="1"/>
  <c r="S31" i="18"/>
  <c r="AC135" i="11"/>
  <c r="O29" i="18"/>
  <c r="P29" i="18" s="1"/>
  <c r="AC135" i="10"/>
  <c r="J33" i="18"/>
  <c r="K33" i="18" s="1"/>
  <c r="K36" i="18" s="1"/>
  <c r="S32" i="18"/>
  <c r="X32" i="18"/>
  <c r="Y32" i="18" s="1"/>
  <c r="Y35" i="18"/>
  <c r="Y30" i="18"/>
  <c r="X75" i="10"/>
  <c r="K36" i="6"/>
  <c r="M36" i="6"/>
  <c r="X72" i="11"/>
  <c r="X73" i="11"/>
  <c r="X74" i="11"/>
  <c r="X75" i="11"/>
  <c r="X76" i="11"/>
  <c r="X77" i="11"/>
  <c r="X78" i="11"/>
  <c r="X79" i="11"/>
  <c r="X80" i="11"/>
  <c r="X81" i="11"/>
  <c r="X82" i="11"/>
  <c r="X83" i="11"/>
  <c r="X84" i="11"/>
  <c r="X85" i="11"/>
  <c r="X86" i="11"/>
  <c r="X87" i="11"/>
  <c r="X88" i="11"/>
  <c r="X94" i="11"/>
  <c r="X95" i="11"/>
  <c r="X96" i="11"/>
  <c r="X97" i="11"/>
  <c r="X98" i="11"/>
  <c r="X99" i="11"/>
  <c r="X10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94" i="11"/>
  <c r="V95" i="11"/>
  <c r="V96" i="11"/>
  <c r="V97" i="11"/>
  <c r="V98" i="11"/>
  <c r="V99" i="11"/>
  <c r="V100" i="11"/>
  <c r="V101" i="11"/>
  <c r="T72" i="11"/>
  <c r="T73" i="11"/>
  <c r="T74" i="11"/>
  <c r="T75" i="11"/>
  <c r="T76" i="11"/>
  <c r="T77" i="11"/>
  <c r="T78" i="11"/>
  <c r="T79" i="11"/>
  <c r="T80" i="11"/>
  <c r="T81" i="11"/>
  <c r="T82" i="11"/>
  <c r="T83" i="11"/>
  <c r="T84" i="11"/>
  <c r="T85" i="11"/>
  <c r="T86" i="11"/>
  <c r="T87" i="11"/>
  <c r="T88" i="11"/>
  <c r="T94" i="11"/>
  <c r="T95" i="11"/>
  <c r="T96" i="11"/>
  <c r="T97" i="11"/>
  <c r="T98" i="11"/>
  <c r="T99" i="11"/>
  <c r="T100" i="11"/>
  <c r="T10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94" i="11"/>
  <c r="R95" i="11"/>
  <c r="R96" i="11"/>
  <c r="R97" i="11"/>
  <c r="R98" i="11"/>
  <c r="R99" i="11"/>
  <c r="R100" i="11"/>
  <c r="R10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94" i="11"/>
  <c r="P95" i="11"/>
  <c r="P96" i="11"/>
  <c r="P97" i="11"/>
  <c r="P98" i="11"/>
  <c r="P99" i="11"/>
  <c r="P100" i="11"/>
  <c r="P10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94" i="11"/>
  <c r="N95" i="11"/>
  <c r="N96" i="11"/>
  <c r="N97" i="11"/>
  <c r="N98" i="11"/>
  <c r="N99" i="11"/>
  <c r="N100" i="11"/>
  <c r="N10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94" i="11"/>
  <c r="L95" i="11"/>
  <c r="L96" i="11"/>
  <c r="L97" i="11"/>
  <c r="L98" i="11"/>
  <c r="L99" i="11"/>
  <c r="L100" i="11"/>
  <c r="L10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94" i="11"/>
  <c r="J95" i="11"/>
  <c r="J96" i="11"/>
  <c r="J97" i="11"/>
  <c r="J98" i="11"/>
  <c r="J99" i="11"/>
  <c r="J100" i="11"/>
  <c r="J10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94" i="11"/>
  <c r="H95" i="11"/>
  <c r="H96" i="11"/>
  <c r="H97" i="11"/>
  <c r="H98" i="11"/>
  <c r="H99" i="11"/>
  <c r="H100" i="11"/>
  <c r="H10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94" i="11"/>
  <c r="F95" i="11"/>
  <c r="F96" i="11"/>
  <c r="F97" i="11"/>
  <c r="F98" i="11"/>
  <c r="F99" i="11"/>
  <c r="F100" i="11"/>
  <c r="F10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94" i="11"/>
  <c r="D95" i="11"/>
  <c r="D96" i="11"/>
  <c r="D97" i="11"/>
  <c r="D98" i="11"/>
  <c r="D99" i="11"/>
  <c r="D100" i="11"/>
  <c r="D101" i="11"/>
  <c r="X72" i="10"/>
  <c r="X73" i="10"/>
  <c r="X74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94" i="10"/>
  <c r="X95" i="10"/>
  <c r="X96" i="10"/>
  <c r="X97" i="10"/>
  <c r="X98" i="10"/>
  <c r="X99" i="10"/>
  <c r="X100" i="10"/>
  <c r="X10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94" i="10"/>
  <c r="V95" i="10"/>
  <c r="V96" i="10"/>
  <c r="V97" i="10"/>
  <c r="V98" i="10"/>
  <c r="V99" i="10"/>
  <c r="V100" i="10"/>
  <c r="V10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94" i="10"/>
  <c r="T95" i="10"/>
  <c r="T96" i="10"/>
  <c r="T97" i="10"/>
  <c r="T98" i="10"/>
  <c r="T99" i="10"/>
  <c r="T100" i="10"/>
  <c r="T10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94" i="10"/>
  <c r="R95" i="10"/>
  <c r="R96" i="10"/>
  <c r="R97" i="10"/>
  <c r="Z97" i="10" s="1"/>
  <c r="R98" i="10"/>
  <c r="R99" i="10"/>
  <c r="R100" i="10"/>
  <c r="R10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94" i="10"/>
  <c r="P95" i="10"/>
  <c r="P96" i="10"/>
  <c r="P97" i="10"/>
  <c r="P98" i="10"/>
  <c r="P99" i="10"/>
  <c r="P100" i="10"/>
  <c r="P10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94" i="10"/>
  <c r="N95" i="10"/>
  <c r="N96" i="10"/>
  <c r="N97" i="10"/>
  <c r="N98" i="10"/>
  <c r="N99" i="10"/>
  <c r="N100" i="10"/>
  <c r="N10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94" i="10"/>
  <c r="L95" i="10"/>
  <c r="L96" i="10"/>
  <c r="L97" i="10"/>
  <c r="L98" i="10"/>
  <c r="L99" i="10"/>
  <c r="L100" i="10"/>
  <c r="L10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94" i="10"/>
  <c r="J95" i="10"/>
  <c r="J96" i="10"/>
  <c r="J97" i="10"/>
  <c r="J98" i="10"/>
  <c r="J99" i="10"/>
  <c r="J100" i="10"/>
  <c r="J10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94" i="10"/>
  <c r="H95" i="10"/>
  <c r="H96" i="10"/>
  <c r="H97" i="10"/>
  <c r="H98" i="10"/>
  <c r="H99" i="10"/>
  <c r="H100" i="10"/>
  <c r="H10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94" i="10"/>
  <c r="F95" i="10"/>
  <c r="F96" i="10"/>
  <c r="F97" i="10"/>
  <c r="F98" i="10"/>
  <c r="F99" i="10"/>
  <c r="F100" i="10"/>
  <c r="F10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94" i="10"/>
  <c r="D95" i="10"/>
  <c r="D96" i="10"/>
  <c r="D97" i="10"/>
  <c r="D98" i="10"/>
  <c r="D99" i="10"/>
  <c r="D100" i="10"/>
  <c r="D101" i="10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94" i="8"/>
  <c r="X95" i="8"/>
  <c r="X96" i="8"/>
  <c r="X97" i="8"/>
  <c r="X98" i="8"/>
  <c r="X99" i="8"/>
  <c r="X100" i="8"/>
  <c r="X10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94" i="8"/>
  <c r="V95" i="8"/>
  <c r="V96" i="8"/>
  <c r="V97" i="8"/>
  <c r="V98" i="8"/>
  <c r="V99" i="8"/>
  <c r="V100" i="8"/>
  <c r="V10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94" i="8"/>
  <c r="T95" i="8"/>
  <c r="T96" i="8"/>
  <c r="T97" i="8"/>
  <c r="T98" i="8"/>
  <c r="T99" i="8"/>
  <c r="T100" i="8"/>
  <c r="T10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94" i="8"/>
  <c r="R95" i="8"/>
  <c r="R96" i="8"/>
  <c r="R97" i="8"/>
  <c r="R98" i="8"/>
  <c r="R99" i="8"/>
  <c r="R100" i="8"/>
  <c r="R10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94" i="8"/>
  <c r="P95" i="8"/>
  <c r="P96" i="8"/>
  <c r="P97" i="8"/>
  <c r="P98" i="8"/>
  <c r="P99" i="8"/>
  <c r="P100" i="8"/>
  <c r="P10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94" i="8"/>
  <c r="N95" i="8"/>
  <c r="N96" i="8"/>
  <c r="N97" i="8"/>
  <c r="N98" i="8"/>
  <c r="N99" i="8"/>
  <c r="N100" i="8"/>
  <c r="N10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94" i="8"/>
  <c r="L95" i="8"/>
  <c r="L96" i="8"/>
  <c r="L97" i="8"/>
  <c r="L98" i="8"/>
  <c r="L99" i="8"/>
  <c r="L100" i="8"/>
  <c r="L10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94" i="8"/>
  <c r="J95" i="8"/>
  <c r="J96" i="8"/>
  <c r="J97" i="8"/>
  <c r="J98" i="8"/>
  <c r="J99" i="8"/>
  <c r="J100" i="8"/>
  <c r="J10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94" i="8"/>
  <c r="H95" i="8"/>
  <c r="H96" i="8"/>
  <c r="H97" i="8"/>
  <c r="H98" i="8"/>
  <c r="H99" i="8"/>
  <c r="H100" i="8"/>
  <c r="H10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94" i="8"/>
  <c r="F95" i="8"/>
  <c r="F96" i="8"/>
  <c r="F97" i="8"/>
  <c r="F98" i="8"/>
  <c r="F99" i="8"/>
  <c r="F100" i="8"/>
  <c r="F10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94" i="8"/>
  <c r="D95" i="8"/>
  <c r="D96" i="8"/>
  <c r="D97" i="8"/>
  <c r="D98" i="8"/>
  <c r="D99" i="8"/>
  <c r="D100" i="8"/>
  <c r="D101" i="8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94" i="6"/>
  <c r="O95" i="6"/>
  <c r="O96" i="6"/>
  <c r="O97" i="6"/>
  <c r="O98" i="6"/>
  <c r="O99" i="6"/>
  <c r="O100" i="6"/>
  <c r="O10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94" i="6"/>
  <c r="M95" i="6"/>
  <c r="M96" i="6"/>
  <c r="M97" i="6"/>
  <c r="M98" i="6"/>
  <c r="M99" i="6"/>
  <c r="M100" i="6"/>
  <c r="M101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94" i="6"/>
  <c r="K95" i="6"/>
  <c r="K96" i="6"/>
  <c r="K97" i="6"/>
  <c r="K98" i="6"/>
  <c r="K99" i="6"/>
  <c r="K100" i="6"/>
  <c r="K101" i="6"/>
  <c r="K72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94" i="6"/>
  <c r="AI95" i="6"/>
  <c r="AI96" i="6"/>
  <c r="AI97" i="6"/>
  <c r="AI98" i="6"/>
  <c r="AI99" i="6"/>
  <c r="AI100" i="6"/>
  <c r="AI10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94" i="6"/>
  <c r="AG95" i="6"/>
  <c r="AG96" i="6"/>
  <c r="AG97" i="6"/>
  <c r="AG98" i="6"/>
  <c r="AG99" i="6"/>
  <c r="AG100" i="6"/>
  <c r="AG101" i="6"/>
  <c r="AE72" i="6"/>
  <c r="AE73" i="6"/>
  <c r="AE74" i="6"/>
  <c r="AE75" i="6"/>
  <c r="AE76" i="6"/>
  <c r="AE77" i="6"/>
  <c r="AE78" i="6"/>
  <c r="AE79" i="6"/>
  <c r="AE80" i="6"/>
  <c r="AE81" i="6"/>
  <c r="AE82" i="6"/>
  <c r="AE83" i="6"/>
  <c r="AE84" i="6"/>
  <c r="AE85" i="6"/>
  <c r="AE86" i="6"/>
  <c r="AE87" i="6"/>
  <c r="AE88" i="6"/>
  <c r="AE94" i="6"/>
  <c r="AE95" i="6"/>
  <c r="AE96" i="6"/>
  <c r="AE97" i="6"/>
  <c r="AE98" i="6"/>
  <c r="AE99" i="6"/>
  <c r="AE100" i="6"/>
  <c r="AE10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94" i="6"/>
  <c r="AC95" i="6"/>
  <c r="AC96" i="6"/>
  <c r="AC97" i="6"/>
  <c r="AC98" i="6"/>
  <c r="AC99" i="6"/>
  <c r="AC100" i="6"/>
  <c r="AC10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94" i="6"/>
  <c r="AA95" i="6"/>
  <c r="AA96" i="6"/>
  <c r="AA97" i="6"/>
  <c r="AA98" i="6"/>
  <c r="AA99" i="6"/>
  <c r="AA100" i="6"/>
  <c r="AA10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94" i="6"/>
  <c r="Y95" i="6"/>
  <c r="Y96" i="6"/>
  <c r="Y97" i="6"/>
  <c r="Y98" i="6"/>
  <c r="Y99" i="6"/>
  <c r="Y100" i="6"/>
  <c r="Y101" i="6"/>
  <c r="Y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94" i="6"/>
  <c r="W95" i="6"/>
  <c r="W96" i="6"/>
  <c r="W97" i="6"/>
  <c r="W98" i="6"/>
  <c r="W99" i="6"/>
  <c r="W100" i="6"/>
  <c r="W10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94" i="6"/>
  <c r="U95" i="6"/>
  <c r="U96" i="6"/>
  <c r="U97" i="6"/>
  <c r="U98" i="6"/>
  <c r="U99" i="6"/>
  <c r="U100" i="6"/>
  <c r="U10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94" i="6"/>
  <c r="S95" i="6"/>
  <c r="S96" i="6"/>
  <c r="S97" i="6"/>
  <c r="S98" i="6"/>
  <c r="S99" i="6"/>
  <c r="S100" i="6"/>
  <c r="S10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94" i="6"/>
  <c r="Q95" i="6"/>
  <c r="Q96" i="6"/>
  <c r="Q97" i="6"/>
  <c r="Q98" i="6"/>
  <c r="Q99" i="6"/>
  <c r="Q100" i="6"/>
  <c r="Q10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94" i="6"/>
  <c r="I95" i="6"/>
  <c r="I96" i="6"/>
  <c r="I97" i="6"/>
  <c r="I98" i="6"/>
  <c r="I99" i="6"/>
  <c r="I100" i="6"/>
  <c r="I10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94" i="6"/>
  <c r="G95" i="6"/>
  <c r="G96" i="6"/>
  <c r="G97" i="6"/>
  <c r="G98" i="6"/>
  <c r="G99" i="6"/>
  <c r="G100" i="6"/>
  <c r="G101" i="6"/>
  <c r="E71" i="6"/>
  <c r="AC72" i="12"/>
  <c r="AC73" i="12"/>
  <c r="AC74" i="12"/>
  <c r="AC75" i="12"/>
  <c r="AC76" i="12"/>
  <c r="AC77" i="12"/>
  <c r="AC78" i="12"/>
  <c r="AC79" i="12"/>
  <c r="AC80" i="12"/>
  <c r="AC81" i="12"/>
  <c r="AC82" i="12"/>
  <c r="AC83" i="12"/>
  <c r="AC84" i="12"/>
  <c r="AC85" i="12"/>
  <c r="AC86" i="12"/>
  <c r="AC87" i="12"/>
  <c r="AC88" i="12"/>
  <c r="AC94" i="12"/>
  <c r="AC95" i="12"/>
  <c r="AC96" i="12"/>
  <c r="AC97" i="12"/>
  <c r="AC98" i="12"/>
  <c r="AC99" i="12"/>
  <c r="AC100" i="12"/>
  <c r="AC101" i="12"/>
  <c r="W72" i="12"/>
  <c r="W73" i="12"/>
  <c r="W74" i="12"/>
  <c r="W75" i="12"/>
  <c r="W76" i="12"/>
  <c r="W77" i="12"/>
  <c r="W78" i="12"/>
  <c r="W79" i="12"/>
  <c r="W80" i="12"/>
  <c r="W81" i="12"/>
  <c r="W82" i="12"/>
  <c r="W83" i="12"/>
  <c r="W84" i="12"/>
  <c r="W85" i="12"/>
  <c r="W86" i="12"/>
  <c r="W87" i="12"/>
  <c r="W88" i="12"/>
  <c r="W94" i="12"/>
  <c r="W95" i="12"/>
  <c r="W96" i="12"/>
  <c r="W97" i="12"/>
  <c r="W98" i="12"/>
  <c r="W99" i="12"/>
  <c r="W100" i="12"/>
  <c r="W10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94" i="12"/>
  <c r="U95" i="12"/>
  <c r="U96" i="12"/>
  <c r="U97" i="12"/>
  <c r="U98" i="12"/>
  <c r="U99" i="12"/>
  <c r="U100" i="12"/>
  <c r="U10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94" i="12"/>
  <c r="S95" i="12"/>
  <c r="S96" i="12"/>
  <c r="S97" i="12"/>
  <c r="S98" i="12"/>
  <c r="S99" i="12"/>
  <c r="S100" i="12"/>
  <c r="S10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94" i="12"/>
  <c r="Q95" i="12"/>
  <c r="Q96" i="12"/>
  <c r="Q97" i="12"/>
  <c r="Q98" i="12"/>
  <c r="Q99" i="12"/>
  <c r="Q100" i="12"/>
  <c r="Q10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94" i="12"/>
  <c r="O95" i="12"/>
  <c r="O96" i="12"/>
  <c r="O97" i="12"/>
  <c r="O98" i="12"/>
  <c r="O99" i="12"/>
  <c r="O100" i="12"/>
  <c r="O10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94" i="12"/>
  <c r="M95" i="12"/>
  <c r="M96" i="12"/>
  <c r="M97" i="12"/>
  <c r="M98" i="12"/>
  <c r="M99" i="12"/>
  <c r="M100" i="12"/>
  <c r="M10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94" i="12"/>
  <c r="K95" i="12"/>
  <c r="K96" i="12"/>
  <c r="K97" i="12"/>
  <c r="K98" i="12"/>
  <c r="K99" i="12"/>
  <c r="K100" i="12"/>
  <c r="K10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94" i="12"/>
  <c r="I95" i="12"/>
  <c r="I96" i="12"/>
  <c r="I97" i="12"/>
  <c r="I98" i="12"/>
  <c r="I99" i="12"/>
  <c r="I100" i="12"/>
  <c r="I10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94" i="12"/>
  <c r="G95" i="12"/>
  <c r="G96" i="12"/>
  <c r="G97" i="12"/>
  <c r="G98" i="12"/>
  <c r="G99" i="12"/>
  <c r="G100" i="12"/>
  <c r="G10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94" i="12"/>
  <c r="E95" i="12"/>
  <c r="E96" i="12"/>
  <c r="E97" i="12"/>
  <c r="E98" i="12"/>
  <c r="E99" i="12"/>
  <c r="E100" i="12"/>
  <c r="E101" i="12"/>
  <c r="AA102" i="12"/>
  <c r="Y102" i="12"/>
  <c r="M71" i="12"/>
  <c r="K71" i="12"/>
  <c r="I71" i="12"/>
  <c r="G71" i="12"/>
  <c r="G68" i="12"/>
  <c r="X71" i="11"/>
  <c r="V71" i="11"/>
  <c r="Z71" i="11" s="1"/>
  <c r="T71" i="11"/>
  <c r="R71" i="11"/>
  <c r="P71" i="11"/>
  <c r="N71" i="11"/>
  <c r="L71" i="11"/>
  <c r="J71" i="11"/>
  <c r="H71" i="11"/>
  <c r="F71" i="11"/>
  <c r="D71" i="11"/>
  <c r="X71" i="10"/>
  <c r="V71" i="10"/>
  <c r="T71" i="10"/>
  <c r="R71" i="10"/>
  <c r="P71" i="10"/>
  <c r="N71" i="10"/>
  <c r="L71" i="10"/>
  <c r="J71" i="10"/>
  <c r="H71" i="10"/>
  <c r="F71" i="10"/>
  <c r="D71" i="10"/>
  <c r="X71" i="8"/>
  <c r="V71" i="8"/>
  <c r="T71" i="8"/>
  <c r="R71" i="8"/>
  <c r="P71" i="8"/>
  <c r="N71" i="8"/>
  <c r="L71" i="8"/>
  <c r="J71" i="8"/>
  <c r="H71" i="8"/>
  <c r="F71" i="8"/>
  <c r="D71" i="8"/>
  <c r="AI71" i="6"/>
  <c r="AG71" i="6"/>
  <c r="AE71" i="6"/>
  <c r="AC71" i="6"/>
  <c r="AA71" i="6"/>
  <c r="W71" i="6"/>
  <c r="U71" i="6"/>
  <c r="S71" i="6"/>
  <c r="Q71" i="6"/>
  <c r="O71" i="6"/>
  <c r="M71" i="6"/>
  <c r="K71" i="6"/>
  <c r="I71" i="6"/>
  <c r="G71" i="6"/>
  <c r="AE73" i="12"/>
  <c r="AG73" i="12"/>
  <c r="AI73" i="12"/>
  <c r="AK73" i="12"/>
  <c r="AM73" i="12"/>
  <c r="AE74" i="12"/>
  <c r="AG74" i="12"/>
  <c r="AI74" i="12"/>
  <c r="AK74" i="12"/>
  <c r="AM74" i="12"/>
  <c r="AE75" i="12"/>
  <c r="AG75" i="12"/>
  <c r="AI75" i="12"/>
  <c r="AK75" i="12"/>
  <c r="AM75" i="12"/>
  <c r="AE76" i="12"/>
  <c r="AG76" i="12"/>
  <c r="AI76" i="12"/>
  <c r="AK76" i="12"/>
  <c r="AM76" i="12"/>
  <c r="AE77" i="12"/>
  <c r="AG77" i="12"/>
  <c r="AI77" i="12"/>
  <c r="AK77" i="12"/>
  <c r="AM77" i="12"/>
  <c r="AE78" i="12"/>
  <c r="AG78" i="12"/>
  <c r="AI78" i="12"/>
  <c r="AK78" i="12"/>
  <c r="AM78" i="12"/>
  <c r="AE79" i="12"/>
  <c r="AG79" i="12"/>
  <c r="AI79" i="12"/>
  <c r="AK79" i="12"/>
  <c r="AM79" i="12"/>
  <c r="AE80" i="12"/>
  <c r="AG80" i="12"/>
  <c r="AI80" i="12"/>
  <c r="AK80" i="12"/>
  <c r="AM80" i="12"/>
  <c r="AE81" i="12"/>
  <c r="AG81" i="12"/>
  <c r="AI81" i="12"/>
  <c r="AK81" i="12"/>
  <c r="AM81" i="12"/>
  <c r="AE82" i="12"/>
  <c r="AG82" i="12"/>
  <c r="AI82" i="12"/>
  <c r="AK82" i="12"/>
  <c r="AM82" i="12"/>
  <c r="AG83" i="12"/>
  <c r="AI83" i="12"/>
  <c r="AK83" i="12"/>
  <c r="AM83" i="12"/>
  <c r="AE84" i="12"/>
  <c r="AG84" i="12"/>
  <c r="AI84" i="12"/>
  <c r="AK84" i="12"/>
  <c r="AM84" i="12"/>
  <c r="AE85" i="12"/>
  <c r="AG85" i="12"/>
  <c r="AI85" i="12"/>
  <c r="AK85" i="12"/>
  <c r="AM85" i="12"/>
  <c r="AE86" i="12"/>
  <c r="AG86" i="12"/>
  <c r="AI86" i="12"/>
  <c r="AK86" i="12"/>
  <c r="AM86" i="12"/>
  <c r="AE87" i="12"/>
  <c r="AG87" i="12"/>
  <c r="AI87" i="12"/>
  <c r="AK87" i="12"/>
  <c r="AM87" i="12"/>
  <c r="AE88" i="12"/>
  <c r="AG88" i="12"/>
  <c r="AI88" i="12"/>
  <c r="AK88" i="12"/>
  <c r="AM88" i="12"/>
  <c r="AE94" i="12"/>
  <c r="AG94" i="12"/>
  <c r="AI94" i="12"/>
  <c r="AK94" i="12"/>
  <c r="AM94" i="12"/>
  <c r="AE95" i="12"/>
  <c r="AG95" i="12"/>
  <c r="AI95" i="12"/>
  <c r="AK95" i="12"/>
  <c r="AM95" i="12"/>
  <c r="AE96" i="12"/>
  <c r="AG96" i="12"/>
  <c r="AI96" i="12"/>
  <c r="AK96" i="12"/>
  <c r="AM96" i="12"/>
  <c r="AE97" i="12"/>
  <c r="AG97" i="12"/>
  <c r="AI97" i="12"/>
  <c r="AK97" i="12"/>
  <c r="AM97" i="12"/>
  <c r="AE98" i="12"/>
  <c r="AG98" i="12"/>
  <c r="AI98" i="12"/>
  <c r="AK98" i="12"/>
  <c r="AM98" i="12"/>
  <c r="AE99" i="12"/>
  <c r="AG99" i="12"/>
  <c r="AI99" i="12"/>
  <c r="AK99" i="12"/>
  <c r="AM99" i="12"/>
  <c r="AE100" i="12"/>
  <c r="AG100" i="12"/>
  <c r="AI100" i="12"/>
  <c r="AK100" i="12"/>
  <c r="AM100" i="12"/>
  <c r="AE101" i="12"/>
  <c r="AG101" i="12"/>
  <c r="AI101" i="12"/>
  <c r="AK101" i="12"/>
  <c r="AM101" i="12"/>
  <c r="AE72" i="12"/>
  <c r="AG72" i="12"/>
  <c r="AI72" i="12"/>
  <c r="AK72" i="12"/>
  <c r="AM72" i="12"/>
  <c r="AM71" i="12"/>
  <c r="AK71" i="12"/>
  <c r="AI71" i="12"/>
  <c r="AG71" i="12"/>
  <c r="AE71" i="12"/>
  <c r="AC71" i="12"/>
  <c r="W71" i="12"/>
  <c r="U71" i="12"/>
  <c r="S71" i="12"/>
  <c r="Q71" i="12"/>
  <c r="O71" i="12"/>
  <c r="E71" i="12"/>
  <c r="E68" i="12"/>
  <c r="AM69" i="12"/>
  <c r="AK69" i="12"/>
  <c r="AI69" i="12"/>
  <c r="AG69" i="12"/>
  <c r="AE69" i="12"/>
  <c r="AC69" i="12"/>
  <c r="W69" i="12"/>
  <c r="U69" i="12"/>
  <c r="S69" i="12"/>
  <c r="Q69" i="12"/>
  <c r="O69" i="12"/>
  <c r="M69" i="12"/>
  <c r="K69" i="12"/>
  <c r="I69" i="12"/>
  <c r="G69" i="12"/>
  <c r="E69" i="12"/>
  <c r="O38" i="12"/>
  <c r="E38" i="12"/>
  <c r="L65" i="10"/>
  <c r="AO37" i="12"/>
  <c r="AR37" i="12" s="1"/>
  <c r="Y74" i="11" l="1"/>
  <c r="AB74" i="11" s="1"/>
  <c r="Z100" i="11"/>
  <c r="AC100" i="11" s="1"/>
  <c r="Z96" i="11"/>
  <c r="AC96" i="11" s="1"/>
  <c r="Z86" i="11"/>
  <c r="AC86" i="11" s="1"/>
  <c r="Z82" i="11"/>
  <c r="Z74" i="11"/>
  <c r="AC74" i="11" s="1"/>
  <c r="AC97" i="10"/>
  <c r="Y29" i="18"/>
  <c r="Y33" i="18"/>
  <c r="S33" i="18"/>
  <c r="Y98" i="11"/>
  <c r="AB98" i="11" s="1"/>
  <c r="AA81" i="11"/>
  <c r="AD81" i="11" s="1"/>
  <c r="AA101" i="11"/>
  <c r="AD101" i="11" s="1"/>
  <c r="AA72" i="11"/>
  <c r="AD72" i="11" s="1"/>
  <c r="Z88" i="11"/>
  <c r="AC88" i="11" s="1"/>
  <c r="Z94" i="11"/>
  <c r="AC94" i="11" s="1"/>
  <c r="P36" i="18"/>
  <c r="S36" i="18" s="1"/>
  <c r="S29" i="18"/>
  <c r="Z78" i="11"/>
  <c r="AC78" i="11" s="1"/>
  <c r="AN78" i="12"/>
  <c r="AN73" i="12"/>
  <c r="AA77" i="11"/>
  <c r="AD77" i="11" s="1"/>
  <c r="Z84" i="11"/>
  <c r="AC84" i="11" s="1"/>
  <c r="Z72" i="11"/>
  <c r="AC72" i="11" s="1"/>
  <c r="Y85" i="11"/>
  <c r="AB85" i="11" s="1"/>
  <c r="Y73" i="11"/>
  <c r="AB73" i="11" s="1"/>
  <c r="Y88" i="11"/>
  <c r="AB88" i="11" s="1"/>
  <c r="Z81" i="11"/>
  <c r="AC81" i="11" s="1"/>
  <c r="AC71" i="11"/>
  <c r="Y72" i="11"/>
  <c r="AB72" i="11" s="1"/>
  <c r="Y84" i="10"/>
  <c r="AB84" i="10" s="1"/>
  <c r="AC82" i="11"/>
  <c r="Z98" i="11"/>
  <c r="AC98" i="11" s="1"/>
  <c r="Z85" i="11"/>
  <c r="AC85" i="11" s="1"/>
  <c r="Z77" i="11"/>
  <c r="AC77" i="11" s="1"/>
  <c r="Z73" i="11"/>
  <c r="Z101" i="11"/>
  <c r="AC101" i="11" s="1"/>
  <c r="AA101" i="10"/>
  <c r="Y80" i="10"/>
  <c r="AB80" i="10" s="1"/>
  <c r="AA72" i="10"/>
  <c r="AD72" i="10" s="1"/>
  <c r="Y77" i="10"/>
  <c r="AB77" i="10" s="1"/>
  <c r="Y73" i="10"/>
  <c r="AB73" i="10" s="1"/>
  <c r="Z101" i="10"/>
  <c r="AC101" i="10" s="1"/>
  <c r="Z72" i="10"/>
  <c r="AC72" i="10" s="1"/>
  <c r="Z101" i="8"/>
  <c r="AC101" i="8" s="1"/>
  <c r="Z88" i="8"/>
  <c r="AC88" i="8" s="1"/>
  <c r="Z76" i="8"/>
  <c r="AC76" i="8" s="1"/>
  <c r="Z72" i="8"/>
  <c r="AC72" i="8" s="1"/>
  <c r="AN101" i="12"/>
  <c r="AQ101" i="12" s="1"/>
  <c r="Y88" i="8"/>
  <c r="AB88" i="8" s="1"/>
  <c r="Y81" i="8"/>
  <c r="AB81" i="8" s="1"/>
  <c r="Y73" i="8"/>
  <c r="AB73" i="8" s="1"/>
  <c r="P102" i="8"/>
  <c r="Y80" i="8"/>
  <c r="AB80" i="8" s="1"/>
  <c r="Y76" i="8"/>
  <c r="AB76" i="8" s="1"/>
  <c r="AA72" i="8"/>
  <c r="AD72" i="8" s="1"/>
  <c r="Y74" i="8"/>
  <c r="AB74" i="8" s="1"/>
  <c r="Z85" i="8"/>
  <c r="AC85" i="8" s="1"/>
  <c r="AO101" i="12"/>
  <c r="AR101" i="12" s="1"/>
  <c r="Y101" i="11"/>
  <c r="AB101" i="11" s="1"/>
  <c r="AD101" i="10"/>
  <c r="X102" i="8"/>
  <c r="E25" i="18" s="1"/>
  <c r="Z100" i="8"/>
  <c r="AC100" i="8" s="1"/>
  <c r="AJ77" i="6"/>
  <c r="AA100" i="11"/>
  <c r="AD100" i="11" s="1"/>
  <c r="Y100" i="11"/>
  <c r="AB100" i="11" s="1"/>
  <c r="AN98" i="12"/>
  <c r="AQ98" i="12" s="1"/>
  <c r="AA98" i="10"/>
  <c r="AD98" i="10" s="1"/>
  <c r="AA98" i="8"/>
  <c r="AD98" i="8" s="1"/>
  <c r="AJ97" i="6"/>
  <c r="AK97" i="6" s="1"/>
  <c r="Z97" i="11"/>
  <c r="AC97" i="11" s="1"/>
  <c r="Y97" i="11"/>
  <c r="AB97" i="11" s="1"/>
  <c r="AA97" i="10"/>
  <c r="AD97" i="10" s="1"/>
  <c r="Y97" i="8"/>
  <c r="AB97" i="8" s="1"/>
  <c r="Y96" i="11"/>
  <c r="AB96" i="11" s="1"/>
  <c r="AA96" i="11"/>
  <c r="AD96" i="11" s="1"/>
  <c r="AA96" i="10"/>
  <c r="AD96" i="10" s="1"/>
  <c r="Y96" i="8"/>
  <c r="AB96" i="8" s="1"/>
  <c r="H102" i="8"/>
  <c r="D22" i="18" s="1"/>
  <c r="F22" i="18" s="1"/>
  <c r="Y94" i="11"/>
  <c r="AB94" i="11" s="1"/>
  <c r="Y94" i="10"/>
  <c r="AB94" i="10" s="1"/>
  <c r="Z94" i="8"/>
  <c r="AC94" i="8" s="1"/>
  <c r="AA88" i="8"/>
  <c r="AD88" i="8" s="1"/>
  <c r="AJ101" i="6"/>
  <c r="AK101" i="6" s="1"/>
  <c r="AJ94" i="6"/>
  <c r="AK94" i="6" s="1"/>
  <c r="Y101" i="10"/>
  <c r="AB101" i="10" s="1"/>
  <c r="Y97" i="10"/>
  <c r="AB97" i="10" s="1"/>
  <c r="Y100" i="10"/>
  <c r="AB100" i="10" s="1"/>
  <c r="Y96" i="10"/>
  <c r="AB96" i="10" s="1"/>
  <c r="Z85" i="10"/>
  <c r="AC85" i="10" s="1"/>
  <c r="Z74" i="10"/>
  <c r="AC74" i="10" s="1"/>
  <c r="Z84" i="10"/>
  <c r="AC84" i="10" s="1"/>
  <c r="Z94" i="10"/>
  <c r="AC94" i="10" s="1"/>
  <c r="AA86" i="10"/>
  <c r="AD86" i="10" s="1"/>
  <c r="AA82" i="10"/>
  <c r="AD82" i="10" s="1"/>
  <c r="AA78" i="10"/>
  <c r="AD78" i="10" s="1"/>
  <c r="Y74" i="10"/>
  <c r="AB74" i="10" s="1"/>
  <c r="Z100" i="10"/>
  <c r="AC100" i="10" s="1"/>
  <c r="Z96" i="10"/>
  <c r="AC96" i="10" s="1"/>
  <c r="AA88" i="10"/>
  <c r="AD88" i="10" s="1"/>
  <c r="Z88" i="10"/>
  <c r="AC88" i="10" s="1"/>
  <c r="AN86" i="12"/>
  <c r="AQ86" i="12" s="1"/>
  <c r="Y100" i="8"/>
  <c r="AB100" i="8" s="1"/>
  <c r="Z96" i="8"/>
  <c r="AC96" i="8" s="1"/>
  <c r="AO84" i="12"/>
  <c r="AR84" i="12" s="1"/>
  <c r="AO74" i="12"/>
  <c r="AR74" i="12" s="1"/>
  <c r="Y72" i="10"/>
  <c r="AB72" i="10" s="1"/>
  <c r="AA100" i="10"/>
  <c r="AD100" i="10" s="1"/>
  <c r="AA97" i="11"/>
  <c r="AD97" i="11" s="1"/>
  <c r="Y81" i="11"/>
  <c r="AB81" i="11" s="1"/>
  <c r="J102" i="8"/>
  <c r="D23" i="18" s="1"/>
  <c r="R102" i="8"/>
  <c r="E24" i="18" s="1"/>
  <c r="V102" i="11"/>
  <c r="O24" i="18" s="1"/>
  <c r="I102" i="12"/>
  <c r="M102" i="12"/>
  <c r="AN97" i="12"/>
  <c r="AQ97" i="12" s="1"/>
  <c r="AJ98" i="6"/>
  <c r="AK98" i="6" s="1"/>
  <c r="AA98" i="11"/>
  <c r="AD98" i="11" s="1"/>
  <c r="AA94" i="11"/>
  <c r="AD94" i="11" s="1"/>
  <c r="AN94" i="12"/>
  <c r="AQ94" i="12" s="1"/>
  <c r="K102" i="12"/>
  <c r="Y78" i="8"/>
  <c r="AB78" i="8" s="1"/>
  <c r="Z80" i="8"/>
  <c r="AC80" i="8" s="1"/>
  <c r="Y88" i="10"/>
  <c r="AB88" i="10" s="1"/>
  <c r="Z98" i="10"/>
  <c r="AC98" i="10" s="1"/>
  <c r="Y77" i="11"/>
  <c r="AB77" i="11" s="1"/>
  <c r="AO96" i="12"/>
  <c r="AR96" i="12" s="1"/>
  <c r="D102" i="8"/>
  <c r="L102" i="8"/>
  <c r="D21" i="18" s="1"/>
  <c r="T102" i="8"/>
  <c r="E23" i="18" s="1"/>
  <c r="Y98" i="10"/>
  <c r="AB98" i="10" s="1"/>
  <c r="Y78" i="10"/>
  <c r="AB78" i="10" s="1"/>
  <c r="AN82" i="12"/>
  <c r="AQ82" i="12" s="1"/>
  <c r="AP84" i="12"/>
  <c r="AA86" i="8"/>
  <c r="AD86" i="8" s="1"/>
  <c r="AA84" i="8"/>
  <c r="AD84" i="8" s="1"/>
  <c r="Y72" i="8"/>
  <c r="AB72" i="8" s="1"/>
  <c r="F102" i="8"/>
  <c r="D24" i="18" s="1"/>
  <c r="N102" i="8"/>
  <c r="D25" i="18" s="1"/>
  <c r="V102" i="8"/>
  <c r="E21" i="18" s="1"/>
  <c r="G102" i="12"/>
  <c r="S102" i="12"/>
  <c r="AJ82" i="6"/>
  <c r="AK82" i="6" s="1"/>
  <c r="AJ100" i="6"/>
  <c r="AK100" i="6" s="1"/>
  <c r="AJ96" i="6"/>
  <c r="AK96" i="6" s="1"/>
  <c r="Y101" i="8"/>
  <c r="AB101" i="8" s="1"/>
  <c r="Z97" i="8"/>
  <c r="AC97" i="8" s="1"/>
  <c r="Z73" i="10"/>
  <c r="AC73" i="10" s="1"/>
  <c r="Y84" i="11"/>
  <c r="AB84" i="11" s="1"/>
  <c r="AA101" i="8"/>
  <c r="AD101" i="8" s="1"/>
  <c r="AA97" i="8"/>
  <c r="AD97" i="8" s="1"/>
  <c r="AA96" i="8"/>
  <c r="AD96" i="8" s="1"/>
  <c r="AA80" i="8"/>
  <c r="AD80" i="8" s="1"/>
  <c r="Z73" i="8"/>
  <c r="AC73" i="8" s="1"/>
  <c r="AA100" i="8"/>
  <c r="AD100" i="8" s="1"/>
  <c r="Z98" i="8"/>
  <c r="AC98" i="8" s="1"/>
  <c r="Z84" i="8"/>
  <c r="AC84" i="8" s="1"/>
  <c r="AA88" i="11"/>
  <c r="AD88" i="11" s="1"/>
  <c r="AJ88" i="6"/>
  <c r="AK88" i="6" s="1"/>
  <c r="Z86" i="8"/>
  <c r="AC86" i="8" s="1"/>
  <c r="AJ86" i="6"/>
  <c r="AK86" i="6" s="1"/>
  <c r="AN85" i="12"/>
  <c r="AQ85" i="12" s="1"/>
  <c r="AA85" i="11"/>
  <c r="AD85" i="11" s="1"/>
  <c r="AA86" i="11"/>
  <c r="AD86" i="11" s="1"/>
  <c r="AA84" i="11"/>
  <c r="AD84" i="11" s="1"/>
  <c r="Y86" i="11"/>
  <c r="AB86" i="11" s="1"/>
  <c r="Z86" i="10"/>
  <c r="AC86" i="10" s="1"/>
  <c r="AA84" i="10"/>
  <c r="AD84" i="10" s="1"/>
  <c r="Y86" i="10"/>
  <c r="AB86" i="10" s="1"/>
  <c r="AA85" i="10"/>
  <c r="AD85" i="10" s="1"/>
  <c r="Y85" i="10"/>
  <c r="AB85" i="10" s="1"/>
  <c r="Y84" i="8"/>
  <c r="AB84" i="8" s="1"/>
  <c r="Y85" i="8"/>
  <c r="AB85" i="8" s="1"/>
  <c r="AA85" i="8"/>
  <c r="AD85" i="8" s="1"/>
  <c r="AJ85" i="6"/>
  <c r="AK85" i="6" s="1"/>
  <c r="AJ84" i="6"/>
  <c r="AK84" i="6" s="1"/>
  <c r="Z83" i="11"/>
  <c r="AC83" i="11" s="1"/>
  <c r="Y82" i="11"/>
  <c r="AB82" i="11" s="1"/>
  <c r="AA82" i="11"/>
  <c r="AD82" i="11" s="1"/>
  <c r="Z82" i="10"/>
  <c r="AC82" i="10" s="1"/>
  <c r="Y82" i="10"/>
  <c r="AB82" i="10" s="1"/>
  <c r="Z82" i="8"/>
  <c r="AC82" i="8" s="1"/>
  <c r="Y82" i="8"/>
  <c r="AB82" i="8" s="1"/>
  <c r="AN81" i="12"/>
  <c r="AQ81" i="12" s="1"/>
  <c r="Z80" i="10"/>
  <c r="AC80" i="10" s="1"/>
  <c r="Z81" i="10"/>
  <c r="AC81" i="10" s="1"/>
  <c r="AA80" i="10"/>
  <c r="AD80" i="10" s="1"/>
  <c r="AA81" i="10"/>
  <c r="AD81" i="10" s="1"/>
  <c r="Y81" i="10"/>
  <c r="AB81" i="10" s="1"/>
  <c r="Z81" i="8"/>
  <c r="AC81" i="8" s="1"/>
  <c r="AA81" i="8"/>
  <c r="AD81" i="8" s="1"/>
  <c r="AJ81" i="6"/>
  <c r="AK81" i="6" s="1"/>
  <c r="I102" i="6"/>
  <c r="AO80" i="12"/>
  <c r="AR80" i="12" s="1"/>
  <c r="Q102" i="12"/>
  <c r="V21" i="18" s="1"/>
  <c r="Z80" i="11"/>
  <c r="AC80" i="11" s="1"/>
  <c r="AA80" i="11"/>
  <c r="AD80" i="11" s="1"/>
  <c r="Y80" i="11"/>
  <c r="AB80" i="11" s="1"/>
  <c r="AJ80" i="6"/>
  <c r="AK80" i="6" s="1"/>
  <c r="N102" i="11"/>
  <c r="N23" i="18" s="1"/>
  <c r="AA78" i="11"/>
  <c r="AD78" i="11" s="1"/>
  <c r="Y78" i="11"/>
  <c r="AB78" i="11" s="1"/>
  <c r="Z77" i="10"/>
  <c r="AC77" i="10" s="1"/>
  <c r="Z78" i="10"/>
  <c r="AC78" i="10" s="1"/>
  <c r="AA77" i="10"/>
  <c r="AD77" i="10" s="1"/>
  <c r="Z78" i="8"/>
  <c r="AC78" i="8" s="1"/>
  <c r="Z77" i="8"/>
  <c r="AC77" i="8" s="1"/>
  <c r="AA76" i="8"/>
  <c r="AD76" i="8" s="1"/>
  <c r="Y77" i="8"/>
  <c r="AB77" i="8" s="1"/>
  <c r="AA77" i="8"/>
  <c r="AD77" i="8" s="1"/>
  <c r="U102" i="6"/>
  <c r="AJ78" i="6"/>
  <c r="AK78" i="6" s="1"/>
  <c r="M102" i="6"/>
  <c r="AK77" i="6"/>
  <c r="AC102" i="12"/>
  <c r="W26" i="18" s="1"/>
  <c r="X26" i="18" s="1"/>
  <c r="Z76" i="11"/>
  <c r="AC76" i="11" s="1"/>
  <c r="AA76" i="11"/>
  <c r="AD76" i="11" s="1"/>
  <c r="P102" i="11"/>
  <c r="N21" i="18" s="1"/>
  <c r="Y76" i="11"/>
  <c r="AB76" i="11" s="1"/>
  <c r="Z76" i="10"/>
  <c r="AC76" i="10" s="1"/>
  <c r="T102" i="10"/>
  <c r="J24" i="18" s="1"/>
  <c r="AA76" i="10"/>
  <c r="AD76" i="10" s="1"/>
  <c r="L102" i="10"/>
  <c r="I23" i="18" s="1"/>
  <c r="Y76" i="10"/>
  <c r="AB76" i="10" s="1"/>
  <c r="D102" i="10"/>
  <c r="E102" i="12"/>
  <c r="S102" i="6"/>
  <c r="O102" i="6"/>
  <c r="AE102" i="12"/>
  <c r="W27" i="18" s="1"/>
  <c r="X27" i="18" s="1"/>
  <c r="O102" i="12"/>
  <c r="V22" i="18" s="1"/>
  <c r="X22" i="18" s="1"/>
  <c r="AA73" i="11"/>
  <c r="AD73" i="11" s="1"/>
  <c r="AC73" i="11"/>
  <c r="H102" i="11"/>
  <c r="AA74" i="11"/>
  <c r="AD74" i="11" s="1"/>
  <c r="AA73" i="10"/>
  <c r="AD73" i="10" s="1"/>
  <c r="Z74" i="8"/>
  <c r="AC74" i="8" s="1"/>
  <c r="AA73" i="8"/>
  <c r="AD73" i="8" s="1"/>
  <c r="Z99" i="11"/>
  <c r="AC99" i="11" s="1"/>
  <c r="X102" i="11"/>
  <c r="Z75" i="11"/>
  <c r="AC75" i="11" s="1"/>
  <c r="T102" i="11"/>
  <c r="Z95" i="11"/>
  <c r="AC95" i="11" s="1"/>
  <c r="Z87" i="11"/>
  <c r="AC87" i="11" s="1"/>
  <c r="Z79" i="11"/>
  <c r="AC79" i="11" s="1"/>
  <c r="R102" i="11"/>
  <c r="N25" i="18" s="1"/>
  <c r="AA87" i="11"/>
  <c r="AD87" i="11" s="1"/>
  <c r="L102" i="11"/>
  <c r="N22" i="18" s="1"/>
  <c r="P22" i="18" s="1"/>
  <c r="J102" i="11"/>
  <c r="N24" i="18" s="1"/>
  <c r="AA99" i="11"/>
  <c r="AD99" i="11" s="1"/>
  <c r="AA95" i="11"/>
  <c r="AD95" i="11" s="1"/>
  <c r="Y87" i="11"/>
  <c r="AB87" i="11" s="1"/>
  <c r="Y83" i="11"/>
  <c r="AB83" i="11" s="1"/>
  <c r="Y79" i="11"/>
  <c r="AB79" i="11" s="1"/>
  <c r="AA75" i="11"/>
  <c r="AD75" i="11" s="1"/>
  <c r="Y99" i="11"/>
  <c r="AB99" i="11" s="1"/>
  <c r="Y95" i="11"/>
  <c r="AB95" i="11" s="1"/>
  <c r="AA83" i="11"/>
  <c r="AD83" i="11" s="1"/>
  <c r="AA79" i="11"/>
  <c r="AD79" i="11" s="1"/>
  <c r="Y75" i="11"/>
  <c r="AB75" i="11" s="1"/>
  <c r="D102" i="11"/>
  <c r="X102" i="10"/>
  <c r="J21" i="18" s="1"/>
  <c r="Z83" i="10"/>
  <c r="AC83" i="10" s="1"/>
  <c r="AA94" i="10"/>
  <c r="AD94" i="10" s="1"/>
  <c r="AA74" i="10"/>
  <c r="AD74" i="10" s="1"/>
  <c r="Z99" i="10"/>
  <c r="AC99" i="10" s="1"/>
  <c r="V102" i="10"/>
  <c r="J23" i="18" s="1"/>
  <c r="Z95" i="10"/>
  <c r="AC95" i="10" s="1"/>
  <c r="Z87" i="10"/>
  <c r="AC87" i="10" s="1"/>
  <c r="Z79" i="10"/>
  <c r="AC79" i="10" s="1"/>
  <c r="Z75" i="10"/>
  <c r="AC75" i="10" s="1"/>
  <c r="R102" i="10"/>
  <c r="P102" i="10"/>
  <c r="I25" i="18" s="1"/>
  <c r="N102" i="10"/>
  <c r="I21" i="18" s="1"/>
  <c r="J102" i="10"/>
  <c r="I22" i="18" s="1"/>
  <c r="K22" i="18" s="1"/>
  <c r="AA95" i="10"/>
  <c r="AD95" i="10" s="1"/>
  <c r="Y87" i="10"/>
  <c r="AB87" i="10" s="1"/>
  <c r="Y83" i="10"/>
  <c r="AB83" i="10" s="1"/>
  <c r="H102" i="10"/>
  <c r="I24" i="18" s="1"/>
  <c r="Y99" i="10"/>
  <c r="AB99" i="10" s="1"/>
  <c r="Y95" i="10"/>
  <c r="AA87" i="10"/>
  <c r="AD87" i="10" s="1"/>
  <c r="AA83" i="10"/>
  <c r="AD83" i="10" s="1"/>
  <c r="Y79" i="10"/>
  <c r="AB79" i="10" s="1"/>
  <c r="AA75" i="10"/>
  <c r="AD75" i="10" s="1"/>
  <c r="F102" i="10"/>
  <c r="AA99" i="10"/>
  <c r="AD99" i="10" s="1"/>
  <c r="AA79" i="10"/>
  <c r="AD79" i="10" s="1"/>
  <c r="Y75" i="10"/>
  <c r="AB75" i="10" s="1"/>
  <c r="AB95" i="10"/>
  <c r="Z99" i="8"/>
  <c r="AC99" i="8" s="1"/>
  <c r="Z87" i="8"/>
  <c r="AC87" i="8" s="1"/>
  <c r="Z95" i="8"/>
  <c r="AC95" i="8" s="1"/>
  <c r="Z83" i="8"/>
  <c r="AC83" i="8" s="1"/>
  <c r="Z79" i="8"/>
  <c r="AC79" i="8" s="1"/>
  <c r="Z75" i="8"/>
  <c r="AC75" i="8" s="1"/>
  <c r="AA94" i="8"/>
  <c r="AD94" i="8" s="1"/>
  <c r="Y98" i="8"/>
  <c r="AB98" i="8" s="1"/>
  <c r="Y94" i="8"/>
  <c r="AB94" i="8" s="1"/>
  <c r="Y86" i="8"/>
  <c r="AB86" i="8" s="1"/>
  <c r="AA82" i="8"/>
  <c r="AD82" i="8" s="1"/>
  <c r="AA78" i="8"/>
  <c r="AD78" i="8" s="1"/>
  <c r="AA74" i="8"/>
  <c r="AD74" i="8" s="1"/>
  <c r="AA95" i="8"/>
  <c r="AD95" i="8" s="1"/>
  <c r="Y99" i="8"/>
  <c r="AB99" i="8" s="1"/>
  <c r="Y95" i="8"/>
  <c r="AB95" i="8" s="1"/>
  <c r="Y87" i="8"/>
  <c r="AB87" i="8" s="1"/>
  <c r="AA83" i="8"/>
  <c r="AD83" i="8" s="1"/>
  <c r="AA79" i="8"/>
  <c r="AD79" i="8" s="1"/>
  <c r="AA75" i="8"/>
  <c r="AD75" i="8" s="1"/>
  <c r="AA99" i="8"/>
  <c r="AD99" i="8" s="1"/>
  <c r="AA87" i="8"/>
  <c r="AD87" i="8" s="1"/>
  <c r="Y83" i="8"/>
  <c r="AB83" i="8" s="1"/>
  <c r="Y79" i="8"/>
  <c r="AB79" i="8" s="1"/>
  <c r="Y75" i="8"/>
  <c r="AB75" i="8" s="1"/>
  <c r="K102" i="6"/>
  <c r="W102" i="12"/>
  <c r="W21" i="18" s="1"/>
  <c r="U102" i="12"/>
  <c r="AC102" i="6"/>
  <c r="Y102" i="6"/>
  <c r="AJ73" i="6"/>
  <c r="AK73" i="6" s="1"/>
  <c r="W102" i="6"/>
  <c r="AJ72" i="6"/>
  <c r="AK72" i="6" s="1"/>
  <c r="Q102" i="6"/>
  <c r="G102" i="6"/>
  <c r="AI102" i="6"/>
  <c r="AG102" i="6"/>
  <c r="AE102" i="6"/>
  <c r="AA102" i="6"/>
  <c r="AJ76" i="6"/>
  <c r="AK76" i="6" s="1"/>
  <c r="AJ95" i="6"/>
  <c r="AK95" i="6" s="1"/>
  <c r="AJ74" i="6"/>
  <c r="AK74" i="6" s="1"/>
  <c r="AJ99" i="6"/>
  <c r="AK99" i="6" s="1"/>
  <c r="AJ87" i="6"/>
  <c r="AK87" i="6" s="1"/>
  <c r="AJ83" i="6"/>
  <c r="AK83" i="6" s="1"/>
  <c r="AJ79" i="6"/>
  <c r="AK79" i="6" s="1"/>
  <c r="AJ75" i="6"/>
  <c r="AK75" i="6" s="1"/>
  <c r="E102" i="6"/>
  <c r="AP88" i="12"/>
  <c r="AS88" i="12" s="1"/>
  <c r="AP76" i="12"/>
  <c r="AS76" i="12" s="1"/>
  <c r="AP100" i="12"/>
  <c r="AS100" i="12" s="1"/>
  <c r="AO100" i="12"/>
  <c r="AR100" i="12" s="1"/>
  <c r="AO97" i="12"/>
  <c r="AR97" i="12" s="1"/>
  <c r="AO88" i="12"/>
  <c r="AR88" i="12" s="1"/>
  <c r="AO85" i="12"/>
  <c r="AR85" i="12" s="1"/>
  <c r="AO76" i="12"/>
  <c r="AR76" i="12" s="1"/>
  <c r="AN83" i="12"/>
  <c r="AQ83" i="12" s="1"/>
  <c r="AN99" i="12"/>
  <c r="AQ99" i="12" s="1"/>
  <c r="AN95" i="12"/>
  <c r="AQ95" i="12" s="1"/>
  <c r="AN87" i="12"/>
  <c r="AQ87" i="12" s="1"/>
  <c r="AN79" i="12"/>
  <c r="AQ79" i="12" s="1"/>
  <c r="AN75" i="12"/>
  <c r="AQ75" i="12" s="1"/>
  <c r="AN74" i="12"/>
  <c r="AQ74" i="12" s="1"/>
  <c r="AP96" i="12"/>
  <c r="AS96" i="12" s="1"/>
  <c r="AP80" i="12"/>
  <c r="AS80" i="12" s="1"/>
  <c r="AN77" i="12"/>
  <c r="AQ77" i="12" s="1"/>
  <c r="Y71" i="11"/>
  <c r="AB71" i="11" s="1"/>
  <c r="F102" i="11"/>
  <c r="AA71" i="11"/>
  <c r="AD71" i="11" s="1"/>
  <c r="Z71" i="10"/>
  <c r="AC71" i="10" s="1"/>
  <c r="AA71" i="10"/>
  <c r="AD71" i="10" s="1"/>
  <c r="Y71" i="10"/>
  <c r="AB71" i="10" s="1"/>
  <c r="Z71" i="8"/>
  <c r="AC71" i="8" s="1"/>
  <c r="Y71" i="8"/>
  <c r="AB71" i="8" s="1"/>
  <c r="AA71" i="8"/>
  <c r="AD71" i="8" s="1"/>
  <c r="AJ71" i="6"/>
  <c r="AK71" i="6" s="1"/>
  <c r="AO99" i="12"/>
  <c r="AR99" i="12" s="1"/>
  <c r="AP99" i="12"/>
  <c r="AS99" i="12" s="1"/>
  <c r="AP95" i="12"/>
  <c r="AS95" i="12" s="1"/>
  <c r="AO87" i="12"/>
  <c r="AR87" i="12" s="1"/>
  <c r="AP87" i="12"/>
  <c r="AS87" i="12" s="1"/>
  <c r="AO83" i="12"/>
  <c r="AR83" i="12" s="1"/>
  <c r="AP83" i="12"/>
  <c r="AS83" i="12" s="1"/>
  <c r="AO79" i="12"/>
  <c r="AR79" i="12" s="1"/>
  <c r="AP79" i="12"/>
  <c r="AS79" i="12" s="1"/>
  <c r="AO75" i="12"/>
  <c r="AR75" i="12" s="1"/>
  <c r="AP75" i="12"/>
  <c r="AS75" i="12" s="1"/>
  <c r="AO98" i="12"/>
  <c r="AR98" i="12" s="1"/>
  <c r="AN96" i="12"/>
  <c r="AQ96" i="12" s="1"/>
  <c r="AO95" i="12"/>
  <c r="AR95" i="12" s="1"/>
  <c r="AP94" i="12"/>
  <c r="AS94" i="12" s="1"/>
  <c r="AO94" i="12"/>
  <c r="AR94" i="12" s="1"/>
  <c r="AN88" i="12"/>
  <c r="AQ88" i="12" s="1"/>
  <c r="AP86" i="12"/>
  <c r="AS86" i="12" s="1"/>
  <c r="AO86" i="12"/>
  <c r="AR86" i="12" s="1"/>
  <c r="AN84" i="12"/>
  <c r="AQ84" i="12" s="1"/>
  <c r="AP82" i="12"/>
  <c r="AS82" i="12" s="1"/>
  <c r="AO82" i="12"/>
  <c r="AR82" i="12" s="1"/>
  <c r="AN80" i="12"/>
  <c r="AQ80" i="12" s="1"/>
  <c r="AP78" i="12"/>
  <c r="AS78" i="12" s="1"/>
  <c r="AO78" i="12"/>
  <c r="AR78" i="12" s="1"/>
  <c r="AN76" i="12"/>
  <c r="AQ76" i="12" s="1"/>
  <c r="AP74" i="12"/>
  <c r="AS74" i="12" s="1"/>
  <c r="AN100" i="12"/>
  <c r="AQ100" i="12" s="1"/>
  <c r="AP98" i="12"/>
  <c r="AS98" i="12" s="1"/>
  <c r="AP101" i="12"/>
  <c r="AS101" i="12" s="1"/>
  <c r="AP97" i="12"/>
  <c r="AS97" i="12" s="1"/>
  <c r="AP85" i="12"/>
  <c r="AS85" i="12" s="1"/>
  <c r="AO81" i="12"/>
  <c r="AR81" i="12" s="1"/>
  <c r="AP81" i="12"/>
  <c r="AS81" i="12" s="1"/>
  <c r="AO77" i="12"/>
  <c r="AR77" i="12" s="1"/>
  <c r="AP77" i="12"/>
  <c r="AS77" i="12" s="1"/>
  <c r="AO73" i="12"/>
  <c r="AR73" i="12" s="1"/>
  <c r="AP73" i="12"/>
  <c r="AS73" i="12" s="1"/>
  <c r="AQ78" i="12"/>
  <c r="AS84" i="12"/>
  <c r="AQ73" i="12"/>
  <c r="AO71" i="12"/>
  <c r="AR71" i="12" s="1"/>
  <c r="AO72" i="12"/>
  <c r="AR72" i="12" s="1"/>
  <c r="AP72" i="12"/>
  <c r="AS72" i="12" s="1"/>
  <c r="AN72" i="12"/>
  <c r="AQ72" i="12" s="1"/>
  <c r="AP71" i="12"/>
  <c r="AS71" i="12" s="1"/>
  <c r="AN71" i="12"/>
  <c r="AQ71" i="12" s="1"/>
  <c r="AO6" i="12"/>
  <c r="AO7" i="12"/>
  <c r="AO8" i="12"/>
  <c r="AO9" i="12"/>
  <c r="AO10" i="12"/>
  <c r="AO11" i="12"/>
  <c r="AO12" i="12"/>
  <c r="AO13" i="12"/>
  <c r="AO14" i="12"/>
  <c r="AO15" i="12"/>
  <c r="AO16" i="12"/>
  <c r="AO17" i="12"/>
  <c r="AO18" i="12"/>
  <c r="AO19" i="12"/>
  <c r="AO20" i="12"/>
  <c r="AO21" i="12"/>
  <c r="AO22" i="12"/>
  <c r="AO23" i="12"/>
  <c r="AO24" i="12"/>
  <c r="AO25" i="12"/>
  <c r="AO26" i="12"/>
  <c r="AO27" i="12"/>
  <c r="AO28" i="12"/>
  <c r="AO29" i="12"/>
  <c r="AO30" i="12"/>
  <c r="AO31" i="12"/>
  <c r="AO32" i="12"/>
  <c r="AO33" i="12"/>
  <c r="AO34" i="12"/>
  <c r="AO35" i="12"/>
  <c r="AO36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X36" i="11"/>
  <c r="V36" i="11"/>
  <c r="T36" i="11"/>
  <c r="R36" i="11"/>
  <c r="P36" i="11"/>
  <c r="N36" i="11"/>
  <c r="L36" i="11"/>
  <c r="J36" i="11"/>
  <c r="H36" i="11"/>
  <c r="F36" i="11"/>
  <c r="D36" i="11"/>
  <c r="X35" i="11"/>
  <c r="V35" i="11"/>
  <c r="T35" i="11"/>
  <c r="R35" i="11"/>
  <c r="P35" i="11"/>
  <c r="N35" i="11"/>
  <c r="L35" i="11"/>
  <c r="J35" i="11"/>
  <c r="H35" i="11"/>
  <c r="F35" i="11"/>
  <c r="D35" i="11"/>
  <c r="X34" i="11"/>
  <c r="V34" i="11"/>
  <c r="T34" i="11"/>
  <c r="R34" i="11"/>
  <c r="P34" i="11"/>
  <c r="N34" i="11"/>
  <c r="L34" i="11"/>
  <c r="J34" i="11"/>
  <c r="H34" i="11"/>
  <c r="F34" i="11"/>
  <c r="D34" i="11"/>
  <c r="X33" i="11"/>
  <c r="V33" i="11"/>
  <c r="T33" i="11"/>
  <c r="R33" i="11"/>
  <c r="P33" i="11"/>
  <c r="N33" i="11"/>
  <c r="L33" i="11"/>
  <c r="J33" i="11"/>
  <c r="H33" i="11"/>
  <c r="F33" i="11"/>
  <c r="D33" i="11"/>
  <c r="X32" i="11"/>
  <c r="V32" i="11"/>
  <c r="T32" i="11"/>
  <c r="R32" i="11"/>
  <c r="P32" i="11"/>
  <c r="N32" i="11"/>
  <c r="L32" i="11"/>
  <c r="J32" i="11"/>
  <c r="H32" i="11"/>
  <c r="F32" i="11"/>
  <c r="D32" i="11"/>
  <c r="X31" i="11"/>
  <c r="V31" i="11"/>
  <c r="T31" i="11"/>
  <c r="R31" i="11"/>
  <c r="P31" i="11"/>
  <c r="N31" i="11"/>
  <c r="L31" i="11"/>
  <c r="J31" i="11"/>
  <c r="H31" i="11"/>
  <c r="F31" i="11"/>
  <c r="D31" i="11"/>
  <c r="X30" i="11"/>
  <c r="V30" i="11"/>
  <c r="T30" i="11"/>
  <c r="R30" i="11"/>
  <c r="P30" i="11"/>
  <c r="N30" i="11"/>
  <c r="L30" i="11"/>
  <c r="J30" i="11"/>
  <c r="H30" i="11"/>
  <c r="F30" i="11"/>
  <c r="D30" i="11"/>
  <c r="X29" i="11"/>
  <c r="V29" i="11"/>
  <c r="T29" i="11"/>
  <c r="R29" i="11"/>
  <c r="P29" i="11"/>
  <c r="N29" i="11"/>
  <c r="L29" i="11"/>
  <c r="J29" i="11"/>
  <c r="H29" i="11"/>
  <c r="F29" i="11"/>
  <c r="D29" i="11"/>
  <c r="X28" i="11"/>
  <c r="V28" i="11"/>
  <c r="T28" i="11"/>
  <c r="R28" i="11"/>
  <c r="P28" i="11"/>
  <c r="N28" i="11"/>
  <c r="L28" i="11"/>
  <c r="J28" i="11"/>
  <c r="H28" i="11"/>
  <c r="F28" i="11"/>
  <c r="D28" i="11"/>
  <c r="X27" i="11"/>
  <c r="V27" i="11"/>
  <c r="T27" i="11"/>
  <c r="R27" i="11"/>
  <c r="P27" i="11"/>
  <c r="N27" i="11"/>
  <c r="L27" i="11"/>
  <c r="J27" i="11"/>
  <c r="H27" i="11"/>
  <c r="F27" i="11"/>
  <c r="D27" i="11"/>
  <c r="X26" i="11"/>
  <c r="V26" i="11"/>
  <c r="T26" i="11"/>
  <c r="R26" i="11"/>
  <c r="P26" i="11"/>
  <c r="N26" i="11"/>
  <c r="L26" i="11"/>
  <c r="J26" i="11"/>
  <c r="H26" i="11"/>
  <c r="F26" i="11"/>
  <c r="D26" i="11"/>
  <c r="X25" i="11"/>
  <c r="V25" i="11"/>
  <c r="T25" i="11"/>
  <c r="R25" i="11"/>
  <c r="P25" i="11"/>
  <c r="N25" i="11"/>
  <c r="L25" i="11"/>
  <c r="J25" i="11"/>
  <c r="H25" i="11"/>
  <c r="F25" i="11"/>
  <c r="D25" i="11"/>
  <c r="X24" i="11"/>
  <c r="V24" i="11"/>
  <c r="T24" i="11"/>
  <c r="R24" i="11"/>
  <c r="P24" i="11"/>
  <c r="N24" i="11"/>
  <c r="L24" i="11"/>
  <c r="J24" i="11"/>
  <c r="H24" i="11"/>
  <c r="F24" i="11"/>
  <c r="D24" i="11"/>
  <c r="X23" i="11"/>
  <c r="V23" i="11"/>
  <c r="T23" i="11"/>
  <c r="R23" i="11"/>
  <c r="P23" i="11"/>
  <c r="N23" i="11"/>
  <c r="L23" i="11"/>
  <c r="J23" i="11"/>
  <c r="H23" i="11"/>
  <c r="F23" i="11"/>
  <c r="D23" i="11"/>
  <c r="X22" i="11"/>
  <c r="V22" i="11"/>
  <c r="T22" i="11"/>
  <c r="R22" i="11"/>
  <c r="P22" i="11"/>
  <c r="N22" i="11"/>
  <c r="L22" i="11"/>
  <c r="J22" i="11"/>
  <c r="H22" i="11"/>
  <c r="F22" i="11"/>
  <c r="D22" i="11"/>
  <c r="X21" i="11"/>
  <c r="V21" i="11"/>
  <c r="T21" i="11"/>
  <c r="R21" i="11"/>
  <c r="P21" i="11"/>
  <c r="N21" i="11"/>
  <c r="L21" i="11"/>
  <c r="J21" i="11"/>
  <c r="H21" i="11"/>
  <c r="F21" i="11"/>
  <c r="D21" i="11"/>
  <c r="X20" i="11"/>
  <c r="V20" i="11"/>
  <c r="T20" i="11"/>
  <c r="R20" i="11"/>
  <c r="P20" i="11"/>
  <c r="N20" i="11"/>
  <c r="L20" i="11"/>
  <c r="J20" i="11"/>
  <c r="H20" i="11"/>
  <c r="F20" i="11"/>
  <c r="D20" i="11"/>
  <c r="X19" i="11"/>
  <c r="V19" i="11"/>
  <c r="T19" i="11"/>
  <c r="R19" i="11"/>
  <c r="P19" i="11"/>
  <c r="N19" i="11"/>
  <c r="L19" i="11"/>
  <c r="J19" i="11"/>
  <c r="H19" i="11"/>
  <c r="F19" i="11"/>
  <c r="D19" i="11"/>
  <c r="X18" i="11"/>
  <c r="V18" i="11"/>
  <c r="T18" i="11"/>
  <c r="R18" i="11"/>
  <c r="P18" i="11"/>
  <c r="N18" i="11"/>
  <c r="L18" i="11"/>
  <c r="J18" i="11"/>
  <c r="H18" i="11"/>
  <c r="F18" i="11"/>
  <c r="D18" i="11"/>
  <c r="X17" i="11"/>
  <c r="V17" i="11"/>
  <c r="T17" i="11"/>
  <c r="R17" i="11"/>
  <c r="P17" i="11"/>
  <c r="N17" i="11"/>
  <c r="L17" i="11"/>
  <c r="J17" i="11"/>
  <c r="H17" i="11"/>
  <c r="F17" i="11"/>
  <c r="D17" i="11"/>
  <c r="X16" i="11"/>
  <c r="V16" i="11"/>
  <c r="T16" i="11"/>
  <c r="R16" i="11"/>
  <c r="P16" i="11"/>
  <c r="N16" i="11"/>
  <c r="L16" i="11"/>
  <c r="J16" i="11"/>
  <c r="H16" i="11"/>
  <c r="F16" i="11"/>
  <c r="D16" i="11"/>
  <c r="X15" i="11"/>
  <c r="V15" i="11"/>
  <c r="T15" i="11"/>
  <c r="R15" i="11"/>
  <c r="P15" i="11"/>
  <c r="N15" i="11"/>
  <c r="L15" i="11"/>
  <c r="J15" i="11"/>
  <c r="H15" i="11"/>
  <c r="F15" i="11"/>
  <c r="D15" i="11"/>
  <c r="X14" i="11"/>
  <c r="V14" i="11"/>
  <c r="T14" i="11"/>
  <c r="R14" i="11"/>
  <c r="P14" i="11"/>
  <c r="N14" i="11"/>
  <c r="L14" i="11"/>
  <c r="J14" i="11"/>
  <c r="H14" i="11"/>
  <c r="F14" i="11"/>
  <c r="D14" i="11"/>
  <c r="X13" i="11"/>
  <c r="V13" i="11"/>
  <c r="T13" i="11"/>
  <c r="R13" i="11"/>
  <c r="P13" i="11"/>
  <c r="N13" i="11"/>
  <c r="L13" i="11"/>
  <c r="J13" i="11"/>
  <c r="H13" i="11"/>
  <c r="F13" i="11"/>
  <c r="D13" i="11"/>
  <c r="X12" i="11"/>
  <c r="V12" i="11"/>
  <c r="T12" i="11"/>
  <c r="R12" i="11"/>
  <c r="P12" i="11"/>
  <c r="N12" i="11"/>
  <c r="L12" i="11"/>
  <c r="J12" i="11"/>
  <c r="H12" i="11"/>
  <c r="F12" i="11"/>
  <c r="D12" i="11"/>
  <c r="X11" i="11"/>
  <c r="V11" i="11"/>
  <c r="T11" i="11"/>
  <c r="R11" i="11"/>
  <c r="P11" i="11"/>
  <c r="N11" i="11"/>
  <c r="L11" i="11"/>
  <c r="J11" i="11"/>
  <c r="H11" i="11"/>
  <c r="F11" i="11"/>
  <c r="D11" i="11"/>
  <c r="X10" i="11"/>
  <c r="V10" i="11"/>
  <c r="T10" i="11"/>
  <c r="R10" i="11"/>
  <c r="P10" i="11"/>
  <c r="N10" i="11"/>
  <c r="L10" i="11"/>
  <c r="J10" i="11"/>
  <c r="H10" i="11"/>
  <c r="F10" i="11"/>
  <c r="D10" i="11"/>
  <c r="X9" i="11"/>
  <c r="V9" i="11"/>
  <c r="T9" i="11"/>
  <c r="R9" i="11"/>
  <c r="P9" i="11"/>
  <c r="N9" i="11"/>
  <c r="L9" i="11"/>
  <c r="J9" i="11"/>
  <c r="H9" i="11"/>
  <c r="F9" i="11"/>
  <c r="D9" i="11"/>
  <c r="X8" i="11"/>
  <c r="V8" i="11"/>
  <c r="T8" i="11"/>
  <c r="R8" i="11"/>
  <c r="P8" i="11"/>
  <c r="N8" i="11"/>
  <c r="L8" i="11"/>
  <c r="J8" i="11"/>
  <c r="H8" i="11"/>
  <c r="F8" i="11"/>
  <c r="D8" i="11"/>
  <c r="X7" i="11"/>
  <c r="V7" i="11"/>
  <c r="T7" i="11"/>
  <c r="R7" i="11"/>
  <c r="P7" i="11"/>
  <c r="N7" i="11"/>
  <c r="L7" i="11"/>
  <c r="J7" i="11"/>
  <c r="H7" i="11"/>
  <c r="F7" i="11"/>
  <c r="D7" i="11"/>
  <c r="X6" i="11"/>
  <c r="V6" i="11"/>
  <c r="T6" i="11"/>
  <c r="R6" i="11"/>
  <c r="P6" i="11"/>
  <c r="N6" i="11"/>
  <c r="L6" i="11"/>
  <c r="J6" i="11"/>
  <c r="H6" i="11"/>
  <c r="F6" i="11"/>
  <c r="D6" i="11"/>
  <c r="X36" i="10"/>
  <c r="V36" i="10"/>
  <c r="T36" i="10"/>
  <c r="R36" i="10"/>
  <c r="P36" i="10"/>
  <c r="N36" i="10"/>
  <c r="L36" i="10"/>
  <c r="J36" i="10"/>
  <c r="H36" i="10"/>
  <c r="F36" i="10"/>
  <c r="D36" i="10"/>
  <c r="X35" i="10"/>
  <c r="V35" i="10"/>
  <c r="T35" i="10"/>
  <c r="R35" i="10"/>
  <c r="P35" i="10"/>
  <c r="N35" i="10"/>
  <c r="L35" i="10"/>
  <c r="J35" i="10"/>
  <c r="H35" i="10"/>
  <c r="F35" i="10"/>
  <c r="D35" i="10"/>
  <c r="X34" i="10"/>
  <c r="V34" i="10"/>
  <c r="T34" i="10"/>
  <c r="R34" i="10"/>
  <c r="P34" i="10"/>
  <c r="N34" i="10"/>
  <c r="L34" i="10"/>
  <c r="J34" i="10"/>
  <c r="H34" i="10"/>
  <c r="F34" i="10"/>
  <c r="D34" i="10"/>
  <c r="X33" i="10"/>
  <c r="V33" i="10"/>
  <c r="T33" i="10"/>
  <c r="R33" i="10"/>
  <c r="P33" i="10"/>
  <c r="N33" i="10"/>
  <c r="L33" i="10"/>
  <c r="J33" i="10"/>
  <c r="H33" i="10"/>
  <c r="F33" i="10"/>
  <c r="D33" i="10"/>
  <c r="X32" i="10"/>
  <c r="V32" i="10"/>
  <c r="T32" i="10"/>
  <c r="R32" i="10"/>
  <c r="P32" i="10"/>
  <c r="N32" i="10"/>
  <c r="L32" i="10"/>
  <c r="J32" i="10"/>
  <c r="H32" i="10"/>
  <c r="F32" i="10"/>
  <c r="D32" i="10"/>
  <c r="X31" i="10"/>
  <c r="V31" i="10"/>
  <c r="T31" i="10"/>
  <c r="R31" i="10"/>
  <c r="P31" i="10"/>
  <c r="N31" i="10"/>
  <c r="L31" i="10"/>
  <c r="J31" i="10"/>
  <c r="H31" i="10"/>
  <c r="F31" i="10"/>
  <c r="D31" i="10"/>
  <c r="X30" i="10"/>
  <c r="V30" i="10"/>
  <c r="T30" i="10"/>
  <c r="R30" i="10"/>
  <c r="P30" i="10"/>
  <c r="N30" i="10"/>
  <c r="L30" i="10"/>
  <c r="J30" i="10"/>
  <c r="H30" i="10"/>
  <c r="F30" i="10"/>
  <c r="D30" i="10"/>
  <c r="X29" i="10"/>
  <c r="V29" i="10"/>
  <c r="T29" i="10"/>
  <c r="R29" i="10"/>
  <c r="P29" i="10"/>
  <c r="N29" i="10"/>
  <c r="L29" i="10"/>
  <c r="J29" i="10"/>
  <c r="H29" i="10"/>
  <c r="F29" i="10"/>
  <c r="D29" i="10"/>
  <c r="X28" i="10"/>
  <c r="V28" i="10"/>
  <c r="T28" i="10"/>
  <c r="R28" i="10"/>
  <c r="P28" i="10"/>
  <c r="N28" i="10"/>
  <c r="L28" i="10"/>
  <c r="J28" i="10"/>
  <c r="H28" i="10"/>
  <c r="F28" i="10"/>
  <c r="D28" i="10"/>
  <c r="X27" i="10"/>
  <c r="V27" i="10"/>
  <c r="T27" i="10"/>
  <c r="R27" i="10"/>
  <c r="P27" i="10"/>
  <c r="N27" i="10"/>
  <c r="L27" i="10"/>
  <c r="J27" i="10"/>
  <c r="H27" i="10"/>
  <c r="F27" i="10"/>
  <c r="D27" i="10"/>
  <c r="X26" i="10"/>
  <c r="V26" i="10"/>
  <c r="T26" i="10"/>
  <c r="R26" i="10"/>
  <c r="P26" i="10"/>
  <c r="N26" i="10"/>
  <c r="L26" i="10"/>
  <c r="J26" i="10"/>
  <c r="H26" i="10"/>
  <c r="F26" i="10"/>
  <c r="D26" i="10"/>
  <c r="X25" i="10"/>
  <c r="V25" i="10"/>
  <c r="T25" i="10"/>
  <c r="R25" i="10"/>
  <c r="P25" i="10"/>
  <c r="N25" i="10"/>
  <c r="L25" i="10"/>
  <c r="J25" i="10"/>
  <c r="H25" i="10"/>
  <c r="F25" i="10"/>
  <c r="D25" i="10"/>
  <c r="X24" i="10"/>
  <c r="V24" i="10"/>
  <c r="T24" i="10"/>
  <c r="R24" i="10"/>
  <c r="P24" i="10"/>
  <c r="N24" i="10"/>
  <c r="L24" i="10"/>
  <c r="J24" i="10"/>
  <c r="H24" i="10"/>
  <c r="F24" i="10"/>
  <c r="D24" i="10"/>
  <c r="X23" i="10"/>
  <c r="V23" i="10"/>
  <c r="T23" i="10"/>
  <c r="R23" i="10"/>
  <c r="P23" i="10"/>
  <c r="N23" i="10"/>
  <c r="L23" i="10"/>
  <c r="J23" i="10"/>
  <c r="H23" i="10"/>
  <c r="F23" i="10"/>
  <c r="D23" i="10"/>
  <c r="X22" i="10"/>
  <c r="V22" i="10"/>
  <c r="T22" i="10"/>
  <c r="R22" i="10"/>
  <c r="P22" i="10"/>
  <c r="N22" i="10"/>
  <c r="L22" i="10"/>
  <c r="J22" i="10"/>
  <c r="H22" i="10"/>
  <c r="F22" i="10"/>
  <c r="D22" i="10"/>
  <c r="X21" i="10"/>
  <c r="V21" i="10"/>
  <c r="T21" i="10"/>
  <c r="R21" i="10"/>
  <c r="P21" i="10"/>
  <c r="N21" i="10"/>
  <c r="L21" i="10"/>
  <c r="J21" i="10"/>
  <c r="H21" i="10"/>
  <c r="F21" i="10"/>
  <c r="D21" i="10"/>
  <c r="X20" i="10"/>
  <c r="V20" i="10"/>
  <c r="T20" i="10"/>
  <c r="R20" i="10"/>
  <c r="P20" i="10"/>
  <c r="N20" i="10"/>
  <c r="L20" i="10"/>
  <c r="J20" i="10"/>
  <c r="H20" i="10"/>
  <c r="F20" i="10"/>
  <c r="D20" i="10"/>
  <c r="X19" i="10"/>
  <c r="V19" i="10"/>
  <c r="T19" i="10"/>
  <c r="R19" i="10"/>
  <c r="P19" i="10"/>
  <c r="N19" i="10"/>
  <c r="L19" i="10"/>
  <c r="J19" i="10"/>
  <c r="H19" i="10"/>
  <c r="F19" i="10"/>
  <c r="D19" i="10"/>
  <c r="X18" i="10"/>
  <c r="V18" i="10"/>
  <c r="T18" i="10"/>
  <c r="R18" i="10"/>
  <c r="P18" i="10"/>
  <c r="N18" i="10"/>
  <c r="L18" i="10"/>
  <c r="J18" i="10"/>
  <c r="H18" i="10"/>
  <c r="F18" i="10"/>
  <c r="D18" i="10"/>
  <c r="X17" i="10"/>
  <c r="V17" i="10"/>
  <c r="T17" i="10"/>
  <c r="R17" i="10"/>
  <c r="P17" i="10"/>
  <c r="N17" i="10"/>
  <c r="L17" i="10"/>
  <c r="J17" i="10"/>
  <c r="H17" i="10"/>
  <c r="F17" i="10"/>
  <c r="D17" i="10"/>
  <c r="X16" i="10"/>
  <c r="V16" i="10"/>
  <c r="T16" i="10"/>
  <c r="R16" i="10"/>
  <c r="P16" i="10"/>
  <c r="N16" i="10"/>
  <c r="L16" i="10"/>
  <c r="J16" i="10"/>
  <c r="H16" i="10"/>
  <c r="F16" i="10"/>
  <c r="D16" i="10"/>
  <c r="X15" i="10"/>
  <c r="V15" i="10"/>
  <c r="T15" i="10"/>
  <c r="R15" i="10"/>
  <c r="P15" i="10"/>
  <c r="N15" i="10"/>
  <c r="L15" i="10"/>
  <c r="J15" i="10"/>
  <c r="H15" i="10"/>
  <c r="F15" i="10"/>
  <c r="D15" i="10"/>
  <c r="X14" i="10"/>
  <c r="V14" i="10"/>
  <c r="T14" i="10"/>
  <c r="R14" i="10"/>
  <c r="P14" i="10"/>
  <c r="N14" i="10"/>
  <c r="L14" i="10"/>
  <c r="J14" i="10"/>
  <c r="H14" i="10"/>
  <c r="F14" i="10"/>
  <c r="D14" i="10"/>
  <c r="X13" i="10"/>
  <c r="V13" i="10"/>
  <c r="T13" i="10"/>
  <c r="R13" i="10"/>
  <c r="P13" i="10"/>
  <c r="N13" i="10"/>
  <c r="L13" i="10"/>
  <c r="J13" i="10"/>
  <c r="H13" i="10"/>
  <c r="F13" i="10"/>
  <c r="D13" i="10"/>
  <c r="X12" i="10"/>
  <c r="V12" i="10"/>
  <c r="T12" i="10"/>
  <c r="R12" i="10"/>
  <c r="P12" i="10"/>
  <c r="N12" i="10"/>
  <c r="L12" i="10"/>
  <c r="J12" i="10"/>
  <c r="H12" i="10"/>
  <c r="F12" i="10"/>
  <c r="D12" i="10"/>
  <c r="X11" i="10"/>
  <c r="V11" i="10"/>
  <c r="T11" i="10"/>
  <c r="R11" i="10"/>
  <c r="P11" i="10"/>
  <c r="N11" i="10"/>
  <c r="L11" i="10"/>
  <c r="J11" i="10"/>
  <c r="H11" i="10"/>
  <c r="F11" i="10"/>
  <c r="D11" i="10"/>
  <c r="X10" i="10"/>
  <c r="V10" i="10"/>
  <c r="T10" i="10"/>
  <c r="R10" i="10"/>
  <c r="P10" i="10"/>
  <c r="N10" i="10"/>
  <c r="L10" i="10"/>
  <c r="J10" i="10"/>
  <c r="H10" i="10"/>
  <c r="F10" i="10"/>
  <c r="D10" i="10"/>
  <c r="X9" i="10"/>
  <c r="V9" i="10"/>
  <c r="T9" i="10"/>
  <c r="R9" i="10"/>
  <c r="P9" i="10"/>
  <c r="N9" i="10"/>
  <c r="L9" i="10"/>
  <c r="J9" i="10"/>
  <c r="H9" i="10"/>
  <c r="F9" i="10"/>
  <c r="D9" i="10"/>
  <c r="X8" i="10"/>
  <c r="V8" i="10"/>
  <c r="T8" i="10"/>
  <c r="R8" i="10"/>
  <c r="P8" i="10"/>
  <c r="N8" i="10"/>
  <c r="L8" i="10"/>
  <c r="J8" i="10"/>
  <c r="H8" i="10"/>
  <c r="F8" i="10"/>
  <c r="D8" i="10"/>
  <c r="X7" i="10"/>
  <c r="V7" i="10"/>
  <c r="T7" i="10"/>
  <c r="R7" i="10"/>
  <c r="P7" i="10"/>
  <c r="N7" i="10"/>
  <c r="L7" i="10"/>
  <c r="J7" i="10"/>
  <c r="H7" i="10"/>
  <c r="F7" i="10"/>
  <c r="D7" i="10"/>
  <c r="X6" i="10"/>
  <c r="V6" i="10"/>
  <c r="T6" i="10"/>
  <c r="R6" i="10"/>
  <c r="P6" i="10"/>
  <c r="N6" i="10"/>
  <c r="L6" i="10"/>
  <c r="J6" i="10"/>
  <c r="H6" i="10"/>
  <c r="F6" i="10"/>
  <c r="D6" i="10"/>
  <c r="X36" i="8"/>
  <c r="V36" i="8"/>
  <c r="T36" i="8"/>
  <c r="R36" i="8"/>
  <c r="P36" i="8"/>
  <c r="N36" i="8"/>
  <c r="L36" i="8"/>
  <c r="J36" i="8"/>
  <c r="H36" i="8"/>
  <c r="F36" i="8"/>
  <c r="D36" i="8"/>
  <c r="X35" i="8"/>
  <c r="V35" i="8"/>
  <c r="T35" i="8"/>
  <c r="R35" i="8"/>
  <c r="P35" i="8"/>
  <c r="N35" i="8"/>
  <c r="L35" i="8"/>
  <c r="J35" i="8"/>
  <c r="H35" i="8"/>
  <c r="F35" i="8"/>
  <c r="D35" i="8"/>
  <c r="X34" i="8"/>
  <c r="V34" i="8"/>
  <c r="T34" i="8"/>
  <c r="R34" i="8"/>
  <c r="P34" i="8"/>
  <c r="N34" i="8"/>
  <c r="L34" i="8"/>
  <c r="J34" i="8"/>
  <c r="H34" i="8"/>
  <c r="F34" i="8"/>
  <c r="D34" i="8"/>
  <c r="X33" i="8"/>
  <c r="V33" i="8"/>
  <c r="T33" i="8"/>
  <c r="R33" i="8"/>
  <c r="P33" i="8"/>
  <c r="N33" i="8"/>
  <c r="L33" i="8"/>
  <c r="J33" i="8"/>
  <c r="H33" i="8"/>
  <c r="F33" i="8"/>
  <c r="D33" i="8"/>
  <c r="X32" i="8"/>
  <c r="V32" i="8"/>
  <c r="T32" i="8"/>
  <c r="R32" i="8"/>
  <c r="P32" i="8"/>
  <c r="N32" i="8"/>
  <c r="L32" i="8"/>
  <c r="J32" i="8"/>
  <c r="H32" i="8"/>
  <c r="F32" i="8"/>
  <c r="D32" i="8"/>
  <c r="X31" i="8"/>
  <c r="V31" i="8"/>
  <c r="T31" i="8"/>
  <c r="R31" i="8"/>
  <c r="P31" i="8"/>
  <c r="N31" i="8"/>
  <c r="L31" i="8"/>
  <c r="J31" i="8"/>
  <c r="H31" i="8"/>
  <c r="F31" i="8"/>
  <c r="D31" i="8"/>
  <c r="X30" i="8"/>
  <c r="V30" i="8"/>
  <c r="T30" i="8"/>
  <c r="R30" i="8"/>
  <c r="P30" i="8"/>
  <c r="N30" i="8"/>
  <c r="L30" i="8"/>
  <c r="J30" i="8"/>
  <c r="H30" i="8"/>
  <c r="F30" i="8"/>
  <c r="D30" i="8"/>
  <c r="X29" i="8"/>
  <c r="V29" i="8"/>
  <c r="T29" i="8"/>
  <c r="R29" i="8"/>
  <c r="P29" i="8"/>
  <c r="N29" i="8"/>
  <c r="L29" i="8"/>
  <c r="J29" i="8"/>
  <c r="H29" i="8"/>
  <c r="F29" i="8"/>
  <c r="D29" i="8"/>
  <c r="X28" i="8"/>
  <c r="V28" i="8"/>
  <c r="T28" i="8"/>
  <c r="R28" i="8"/>
  <c r="P28" i="8"/>
  <c r="N28" i="8"/>
  <c r="L28" i="8"/>
  <c r="J28" i="8"/>
  <c r="H28" i="8"/>
  <c r="F28" i="8"/>
  <c r="D28" i="8"/>
  <c r="X27" i="8"/>
  <c r="V27" i="8"/>
  <c r="T27" i="8"/>
  <c r="R27" i="8"/>
  <c r="P27" i="8"/>
  <c r="N27" i="8"/>
  <c r="L27" i="8"/>
  <c r="J27" i="8"/>
  <c r="H27" i="8"/>
  <c r="F27" i="8"/>
  <c r="D27" i="8"/>
  <c r="X26" i="8"/>
  <c r="V26" i="8"/>
  <c r="T26" i="8"/>
  <c r="R26" i="8"/>
  <c r="P26" i="8"/>
  <c r="N26" i="8"/>
  <c r="L26" i="8"/>
  <c r="J26" i="8"/>
  <c r="H26" i="8"/>
  <c r="F26" i="8"/>
  <c r="D26" i="8"/>
  <c r="X25" i="8"/>
  <c r="V25" i="8"/>
  <c r="T25" i="8"/>
  <c r="R25" i="8"/>
  <c r="P25" i="8"/>
  <c r="N25" i="8"/>
  <c r="L25" i="8"/>
  <c r="J25" i="8"/>
  <c r="H25" i="8"/>
  <c r="F25" i="8"/>
  <c r="D25" i="8"/>
  <c r="X24" i="8"/>
  <c r="V24" i="8"/>
  <c r="T24" i="8"/>
  <c r="R24" i="8"/>
  <c r="P24" i="8"/>
  <c r="N24" i="8"/>
  <c r="L24" i="8"/>
  <c r="J24" i="8"/>
  <c r="H24" i="8"/>
  <c r="F24" i="8"/>
  <c r="D24" i="8"/>
  <c r="X23" i="8"/>
  <c r="V23" i="8"/>
  <c r="T23" i="8"/>
  <c r="R23" i="8"/>
  <c r="P23" i="8"/>
  <c r="N23" i="8"/>
  <c r="L23" i="8"/>
  <c r="J23" i="8"/>
  <c r="H23" i="8"/>
  <c r="F23" i="8"/>
  <c r="D23" i="8"/>
  <c r="X22" i="8"/>
  <c r="V22" i="8"/>
  <c r="T22" i="8"/>
  <c r="R22" i="8"/>
  <c r="P22" i="8"/>
  <c r="N22" i="8"/>
  <c r="L22" i="8"/>
  <c r="J22" i="8"/>
  <c r="H22" i="8"/>
  <c r="F22" i="8"/>
  <c r="D22" i="8"/>
  <c r="X21" i="8"/>
  <c r="V21" i="8"/>
  <c r="T21" i="8"/>
  <c r="R21" i="8"/>
  <c r="P21" i="8"/>
  <c r="N21" i="8"/>
  <c r="L21" i="8"/>
  <c r="J21" i="8"/>
  <c r="H21" i="8"/>
  <c r="F21" i="8"/>
  <c r="D21" i="8"/>
  <c r="X20" i="8"/>
  <c r="V20" i="8"/>
  <c r="T20" i="8"/>
  <c r="R20" i="8"/>
  <c r="P20" i="8"/>
  <c r="N20" i="8"/>
  <c r="L20" i="8"/>
  <c r="J20" i="8"/>
  <c r="H20" i="8"/>
  <c r="F20" i="8"/>
  <c r="D20" i="8"/>
  <c r="X19" i="8"/>
  <c r="V19" i="8"/>
  <c r="T19" i="8"/>
  <c r="R19" i="8"/>
  <c r="P19" i="8"/>
  <c r="N19" i="8"/>
  <c r="L19" i="8"/>
  <c r="J19" i="8"/>
  <c r="H19" i="8"/>
  <c r="F19" i="8"/>
  <c r="D19" i="8"/>
  <c r="X18" i="8"/>
  <c r="V18" i="8"/>
  <c r="T18" i="8"/>
  <c r="R18" i="8"/>
  <c r="P18" i="8"/>
  <c r="N18" i="8"/>
  <c r="L18" i="8"/>
  <c r="J18" i="8"/>
  <c r="H18" i="8"/>
  <c r="F18" i="8"/>
  <c r="D18" i="8"/>
  <c r="X17" i="8"/>
  <c r="V17" i="8"/>
  <c r="T17" i="8"/>
  <c r="R17" i="8"/>
  <c r="P17" i="8"/>
  <c r="N17" i="8"/>
  <c r="L17" i="8"/>
  <c r="J17" i="8"/>
  <c r="H17" i="8"/>
  <c r="F17" i="8"/>
  <c r="D17" i="8"/>
  <c r="X16" i="8"/>
  <c r="V16" i="8"/>
  <c r="T16" i="8"/>
  <c r="R16" i="8"/>
  <c r="P16" i="8"/>
  <c r="N16" i="8"/>
  <c r="L16" i="8"/>
  <c r="J16" i="8"/>
  <c r="H16" i="8"/>
  <c r="F16" i="8"/>
  <c r="D16" i="8"/>
  <c r="X15" i="8"/>
  <c r="V15" i="8"/>
  <c r="T15" i="8"/>
  <c r="R15" i="8"/>
  <c r="P15" i="8"/>
  <c r="N15" i="8"/>
  <c r="L15" i="8"/>
  <c r="J15" i="8"/>
  <c r="H15" i="8"/>
  <c r="F15" i="8"/>
  <c r="D15" i="8"/>
  <c r="X14" i="8"/>
  <c r="V14" i="8"/>
  <c r="T14" i="8"/>
  <c r="R14" i="8"/>
  <c r="P14" i="8"/>
  <c r="N14" i="8"/>
  <c r="L14" i="8"/>
  <c r="J14" i="8"/>
  <c r="H14" i="8"/>
  <c r="F14" i="8"/>
  <c r="D14" i="8"/>
  <c r="X13" i="8"/>
  <c r="V13" i="8"/>
  <c r="T13" i="8"/>
  <c r="R13" i="8"/>
  <c r="P13" i="8"/>
  <c r="N13" i="8"/>
  <c r="L13" i="8"/>
  <c r="J13" i="8"/>
  <c r="H13" i="8"/>
  <c r="F13" i="8"/>
  <c r="D13" i="8"/>
  <c r="X12" i="8"/>
  <c r="V12" i="8"/>
  <c r="T12" i="8"/>
  <c r="R12" i="8"/>
  <c r="P12" i="8"/>
  <c r="N12" i="8"/>
  <c r="L12" i="8"/>
  <c r="J12" i="8"/>
  <c r="H12" i="8"/>
  <c r="F12" i="8"/>
  <c r="D12" i="8"/>
  <c r="X11" i="8"/>
  <c r="V11" i="8"/>
  <c r="T11" i="8"/>
  <c r="R11" i="8"/>
  <c r="P11" i="8"/>
  <c r="N11" i="8"/>
  <c r="L11" i="8"/>
  <c r="J11" i="8"/>
  <c r="H11" i="8"/>
  <c r="F11" i="8"/>
  <c r="D11" i="8"/>
  <c r="X10" i="8"/>
  <c r="V10" i="8"/>
  <c r="T10" i="8"/>
  <c r="R10" i="8"/>
  <c r="P10" i="8"/>
  <c r="N10" i="8"/>
  <c r="L10" i="8"/>
  <c r="J10" i="8"/>
  <c r="H10" i="8"/>
  <c r="F10" i="8"/>
  <c r="D10" i="8"/>
  <c r="X9" i="8"/>
  <c r="V9" i="8"/>
  <c r="T9" i="8"/>
  <c r="R9" i="8"/>
  <c r="P9" i="8"/>
  <c r="N9" i="8"/>
  <c r="L9" i="8"/>
  <c r="J9" i="8"/>
  <c r="H9" i="8"/>
  <c r="F9" i="8"/>
  <c r="D9" i="8"/>
  <c r="X8" i="8"/>
  <c r="V8" i="8"/>
  <c r="T8" i="8"/>
  <c r="R8" i="8"/>
  <c r="P8" i="8"/>
  <c r="N8" i="8"/>
  <c r="L8" i="8"/>
  <c r="J8" i="8"/>
  <c r="H8" i="8"/>
  <c r="F8" i="8"/>
  <c r="D8" i="8"/>
  <c r="X7" i="8"/>
  <c r="V7" i="8"/>
  <c r="T7" i="8"/>
  <c r="R7" i="8"/>
  <c r="P7" i="8"/>
  <c r="N7" i="8"/>
  <c r="L7" i="8"/>
  <c r="J7" i="8"/>
  <c r="H7" i="8"/>
  <c r="F7" i="8"/>
  <c r="D7" i="8"/>
  <c r="X6" i="8"/>
  <c r="V6" i="8"/>
  <c r="T6" i="8"/>
  <c r="R6" i="8"/>
  <c r="P6" i="8"/>
  <c r="N6" i="8"/>
  <c r="L6" i="8"/>
  <c r="J6" i="8"/>
  <c r="H6" i="8"/>
  <c r="F6" i="8"/>
  <c r="D6" i="8"/>
  <c r="F24" i="18" l="1"/>
  <c r="K24" i="18"/>
  <c r="T31" i="18"/>
  <c r="T33" i="18"/>
  <c r="T32" i="18"/>
  <c r="T30" i="18"/>
  <c r="T29" i="18"/>
  <c r="O23" i="18"/>
  <c r="O25" i="18"/>
  <c r="P25" i="18" s="1"/>
  <c r="P24" i="18"/>
  <c r="S24" i="18" s="1"/>
  <c r="P23" i="18"/>
  <c r="S22" i="18"/>
  <c r="K21" i="18"/>
  <c r="K23" i="18"/>
  <c r="F21" i="18"/>
  <c r="F23" i="18"/>
  <c r="F25" i="18"/>
  <c r="X21" i="18"/>
  <c r="V24" i="18"/>
  <c r="V28" i="18" s="1"/>
  <c r="W24" i="18"/>
  <c r="X24" i="18" s="1"/>
  <c r="W28" i="18"/>
  <c r="Z33" i="10"/>
  <c r="AC33" i="10" s="1"/>
  <c r="AA35" i="10"/>
  <c r="AD35" i="10" s="1"/>
  <c r="AN102" i="12"/>
  <c r="Z102" i="11"/>
  <c r="Z102" i="10"/>
  <c r="J25" i="18" s="1"/>
  <c r="K25" i="18" s="1"/>
  <c r="Y102" i="10"/>
  <c r="AB102" i="10" s="1"/>
  <c r="AA102" i="11"/>
  <c r="AD102" i="11" s="1"/>
  <c r="AA102" i="10"/>
  <c r="AD102" i="10" s="1"/>
  <c r="AJ102" i="6"/>
  <c r="AK102" i="6" s="1"/>
  <c r="L37" i="11"/>
  <c r="N6" i="18" s="1"/>
  <c r="P6" i="18" s="1"/>
  <c r="Y16" i="10"/>
  <c r="AB16" i="10" s="1"/>
  <c r="Y18" i="10"/>
  <c r="AB18" i="10" s="1"/>
  <c r="Z18" i="10"/>
  <c r="AC18" i="10" s="1"/>
  <c r="AA20" i="10"/>
  <c r="AD20" i="10" s="1"/>
  <c r="Y22" i="10"/>
  <c r="AB22" i="10" s="1"/>
  <c r="Z22" i="10"/>
  <c r="AC22" i="10" s="1"/>
  <c r="Y24" i="10"/>
  <c r="AB24" i="10" s="1"/>
  <c r="Y26" i="10"/>
  <c r="AB26" i="10" s="1"/>
  <c r="H37" i="8"/>
  <c r="D6" i="18" s="1"/>
  <c r="F6" i="18" s="1"/>
  <c r="P37" i="8"/>
  <c r="X37" i="8"/>
  <c r="E9" i="18" s="1"/>
  <c r="Y102" i="11"/>
  <c r="AB102" i="11" s="1"/>
  <c r="AA13" i="11"/>
  <c r="AD13" i="11" s="1"/>
  <c r="AA17" i="11"/>
  <c r="AD17" i="11" s="1"/>
  <c r="AA21" i="11"/>
  <c r="AD21" i="11" s="1"/>
  <c r="Z23" i="11"/>
  <c r="AC23" i="11" s="1"/>
  <c r="Z27" i="11"/>
  <c r="AC27" i="11" s="1"/>
  <c r="Z35" i="11"/>
  <c r="AC35" i="11" s="1"/>
  <c r="N37" i="10"/>
  <c r="I5" i="18" s="1"/>
  <c r="V37" i="10"/>
  <c r="J7" i="18" s="1"/>
  <c r="Z8" i="10"/>
  <c r="AC8" i="10" s="1"/>
  <c r="AA34" i="10"/>
  <c r="AD34" i="10" s="1"/>
  <c r="Z31" i="10"/>
  <c r="AC31" i="10" s="1"/>
  <c r="Y33" i="10"/>
  <c r="AB33" i="10" s="1"/>
  <c r="Z26" i="10"/>
  <c r="AC26" i="10" s="1"/>
  <c r="Y28" i="10"/>
  <c r="AB28" i="10" s="1"/>
  <c r="Y30" i="10"/>
  <c r="AB30" i="10" s="1"/>
  <c r="Z30" i="10"/>
  <c r="AC30" i="10" s="1"/>
  <c r="Z9" i="10"/>
  <c r="AC9" i="10" s="1"/>
  <c r="AA11" i="10"/>
  <c r="AD11" i="10" s="1"/>
  <c r="AP19" i="12"/>
  <c r="AS19" i="12" s="1"/>
  <c r="AN32" i="12"/>
  <c r="AQ32" i="12" s="1"/>
  <c r="AP28" i="12"/>
  <c r="AS28" i="12" s="1"/>
  <c r="AP24" i="12"/>
  <c r="AS24" i="12" s="1"/>
  <c r="AP20" i="12"/>
  <c r="AS20" i="12" s="1"/>
  <c r="AP16" i="12"/>
  <c r="AP12" i="12"/>
  <c r="AS12" i="12" s="1"/>
  <c r="AP8" i="12"/>
  <c r="AS8" i="12" s="1"/>
  <c r="AN35" i="12"/>
  <c r="AQ35" i="12" s="1"/>
  <c r="AN27" i="12"/>
  <c r="AQ27" i="12" s="1"/>
  <c r="AN19" i="12"/>
  <c r="AQ19" i="12" s="1"/>
  <c r="AN15" i="12"/>
  <c r="AQ15" i="12" s="1"/>
  <c r="AN7" i="12"/>
  <c r="AQ7" i="12" s="1"/>
  <c r="AP27" i="12"/>
  <c r="AS27" i="12" s="1"/>
  <c r="AR30" i="12"/>
  <c r="AN31" i="12"/>
  <c r="AQ31" i="12" s="1"/>
  <c r="AN23" i="12"/>
  <c r="AQ23" i="12" s="1"/>
  <c r="AN11" i="12"/>
  <c r="AQ11" i="12" s="1"/>
  <c r="O37" i="12"/>
  <c r="V6" i="18" s="1"/>
  <c r="X6" i="18" s="1"/>
  <c r="U37" i="12"/>
  <c r="W8" i="18" s="1"/>
  <c r="W12" i="18" s="1"/>
  <c r="Q37" i="12"/>
  <c r="V5" i="18" s="1"/>
  <c r="AN33" i="12"/>
  <c r="AQ33" i="12" s="1"/>
  <c r="AP25" i="12"/>
  <c r="AS25" i="12" s="1"/>
  <c r="AP17" i="12"/>
  <c r="AS17" i="12" s="1"/>
  <c r="AP9" i="12"/>
  <c r="AS9" i="12" s="1"/>
  <c r="AP11" i="12"/>
  <c r="AS11" i="12" s="1"/>
  <c r="AP29" i="12"/>
  <c r="AS29" i="12" s="1"/>
  <c r="AP21" i="12"/>
  <c r="AS21" i="12" s="1"/>
  <c r="AP13" i="12"/>
  <c r="AS13" i="12" s="1"/>
  <c r="AP36" i="12"/>
  <c r="AS36" i="12" s="1"/>
  <c r="AP32" i="12"/>
  <c r="AS32" i="12" s="1"/>
  <c r="AN28" i="12"/>
  <c r="AQ28" i="12" s="1"/>
  <c r="AN24" i="12"/>
  <c r="AQ24" i="12" s="1"/>
  <c r="AN20" i="12"/>
  <c r="AQ20" i="12" s="1"/>
  <c r="AN16" i="12"/>
  <c r="AQ16" i="12" s="1"/>
  <c r="AN12" i="12"/>
  <c r="AQ12" i="12" s="1"/>
  <c r="AN8" i="12"/>
  <c r="AQ8" i="12" s="1"/>
  <c r="AP35" i="12"/>
  <c r="AS35" i="12" s="1"/>
  <c r="AR34" i="12"/>
  <c r="AP31" i="12"/>
  <c r="AS31" i="12" s="1"/>
  <c r="AR29" i="12"/>
  <c r="AR21" i="12"/>
  <c r="AR13" i="12"/>
  <c r="AP23" i="12"/>
  <c r="AS23" i="12" s="1"/>
  <c r="AP15" i="12"/>
  <c r="AS15" i="12" s="1"/>
  <c r="AP7" i="12"/>
  <c r="AS7" i="12" s="1"/>
  <c r="AN34" i="12"/>
  <c r="AQ34" i="12" s="1"/>
  <c r="AP30" i="12"/>
  <c r="AS30" i="12" s="1"/>
  <c r="AP26" i="12"/>
  <c r="AS26" i="12" s="1"/>
  <c r="AN22" i="12"/>
  <c r="AQ22" i="12" s="1"/>
  <c r="AP18" i="12"/>
  <c r="AS18" i="12" s="1"/>
  <c r="AP14" i="12"/>
  <c r="AS14" i="12" s="1"/>
  <c r="AP10" i="12"/>
  <c r="AS10" i="12" s="1"/>
  <c r="AP6" i="12"/>
  <c r="AS6" i="12" s="1"/>
  <c r="AR36" i="12"/>
  <c r="AR32" i="12"/>
  <c r="AN36" i="12"/>
  <c r="AQ36" i="12" s="1"/>
  <c r="AR33" i="12"/>
  <c r="AR25" i="12"/>
  <c r="AR17" i="12"/>
  <c r="AR9" i="12"/>
  <c r="AP34" i="12"/>
  <c r="AS34" i="12" s="1"/>
  <c r="AN30" i="12"/>
  <c r="AQ30" i="12" s="1"/>
  <c r="AN26" i="12"/>
  <c r="AQ26" i="12" s="1"/>
  <c r="AN18" i="12"/>
  <c r="AQ18" i="12" s="1"/>
  <c r="AN14" i="12"/>
  <c r="AQ14" i="12" s="1"/>
  <c r="AN10" i="12"/>
  <c r="AQ10" i="12" s="1"/>
  <c r="AP33" i="12"/>
  <c r="AS33" i="12" s="1"/>
  <c r="AR31" i="12"/>
  <c r="AN29" i="12"/>
  <c r="AQ29" i="12" s="1"/>
  <c r="AR28" i="12"/>
  <c r="AN13" i="12"/>
  <c r="AQ13" i="12" s="1"/>
  <c r="AR12" i="12"/>
  <c r="AN9" i="12"/>
  <c r="AQ9" i="12" s="1"/>
  <c r="AR27" i="12"/>
  <c r="AR23" i="12"/>
  <c r="AP22" i="12"/>
  <c r="AS22" i="12" s="1"/>
  <c r="AR19" i="12"/>
  <c r="AS16" i="12"/>
  <c r="AR15" i="12"/>
  <c r="AR11" i="12"/>
  <c r="AR7" i="12"/>
  <c r="AN6" i="12"/>
  <c r="AQ6" i="12" s="1"/>
  <c r="AN25" i="12"/>
  <c r="AQ25" i="12" s="1"/>
  <c r="AR24" i="12"/>
  <c r="AN21" i="12"/>
  <c r="AQ21" i="12" s="1"/>
  <c r="AR20" i="12"/>
  <c r="AN17" i="12"/>
  <c r="AQ17" i="12" s="1"/>
  <c r="AR16" i="12"/>
  <c r="AR8" i="12"/>
  <c r="AR35" i="12"/>
  <c r="AR26" i="12"/>
  <c r="AR22" i="12"/>
  <c r="AR18" i="12"/>
  <c r="AR14" i="12"/>
  <c r="AR10" i="12"/>
  <c r="AR6" i="12"/>
  <c r="J37" i="11"/>
  <c r="N8" i="18" s="1"/>
  <c r="R37" i="11"/>
  <c r="N9" i="18" s="1"/>
  <c r="Z7" i="11"/>
  <c r="AC7" i="11" s="1"/>
  <c r="Y9" i="11"/>
  <c r="AB9" i="11" s="1"/>
  <c r="AA10" i="11"/>
  <c r="AD10" i="11" s="1"/>
  <c r="Z10" i="11"/>
  <c r="AC10" i="11" s="1"/>
  <c r="Y29" i="11"/>
  <c r="AB29" i="11" s="1"/>
  <c r="Z31" i="11"/>
  <c r="AC31" i="11" s="1"/>
  <c r="AA32" i="11"/>
  <c r="AD32" i="11" s="1"/>
  <c r="Y33" i="11"/>
  <c r="AB33" i="11" s="1"/>
  <c r="Y28" i="11"/>
  <c r="AB28" i="11" s="1"/>
  <c r="Y24" i="11"/>
  <c r="AB24" i="11" s="1"/>
  <c r="Z24" i="11"/>
  <c r="AC24" i="11" s="1"/>
  <c r="Y26" i="11"/>
  <c r="AB26" i="11" s="1"/>
  <c r="D37" i="11"/>
  <c r="T37" i="11"/>
  <c r="AA12" i="11"/>
  <c r="AD12" i="11" s="1"/>
  <c r="Y13" i="11"/>
  <c r="AB13" i="11" s="1"/>
  <c r="AA16" i="11"/>
  <c r="AD16" i="11" s="1"/>
  <c r="Y17" i="11"/>
  <c r="AB17" i="11" s="1"/>
  <c r="Z19" i="11"/>
  <c r="AC19" i="11" s="1"/>
  <c r="AA25" i="11"/>
  <c r="AD25" i="11" s="1"/>
  <c r="Z30" i="11"/>
  <c r="AC30" i="11" s="1"/>
  <c r="Y35" i="11"/>
  <c r="AB35" i="11" s="1"/>
  <c r="Y6" i="11"/>
  <c r="AB6" i="11" s="1"/>
  <c r="F37" i="11"/>
  <c r="N37" i="11"/>
  <c r="N7" i="18" s="1"/>
  <c r="V37" i="11"/>
  <c r="O8" i="18" s="1"/>
  <c r="Y8" i="11"/>
  <c r="AB8" i="11" s="1"/>
  <c r="Z8" i="11"/>
  <c r="AC8" i="11" s="1"/>
  <c r="Y10" i="11"/>
  <c r="AB10" i="11" s="1"/>
  <c r="Z13" i="11"/>
  <c r="AC13" i="11" s="1"/>
  <c r="Y15" i="11"/>
  <c r="AB15" i="11" s="1"/>
  <c r="Z17" i="11"/>
  <c r="AC17" i="11" s="1"/>
  <c r="Y19" i="11"/>
  <c r="AB19" i="11" s="1"/>
  <c r="Z21" i="11"/>
  <c r="AC21" i="11" s="1"/>
  <c r="Z22" i="11"/>
  <c r="AC22" i="11" s="1"/>
  <c r="Y23" i="11"/>
  <c r="AB23" i="11" s="1"/>
  <c r="AA24" i="11"/>
  <c r="AD24" i="11" s="1"/>
  <c r="Y25" i="11"/>
  <c r="AB25" i="11" s="1"/>
  <c r="Y30" i="11"/>
  <c r="AB30" i="11" s="1"/>
  <c r="Y32" i="11"/>
  <c r="AB32" i="11" s="1"/>
  <c r="Z32" i="11"/>
  <c r="AC32" i="11" s="1"/>
  <c r="Y34" i="11"/>
  <c r="AB34" i="11" s="1"/>
  <c r="Z11" i="11"/>
  <c r="AC11" i="11" s="1"/>
  <c r="Z14" i="11"/>
  <c r="AC14" i="11" s="1"/>
  <c r="Z15" i="11"/>
  <c r="AC15" i="11" s="1"/>
  <c r="Z18" i="11"/>
  <c r="AC18" i="11" s="1"/>
  <c r="AA20" i="11"/>
  <c r="AD20" i="11" s="1"/>
  <c r="Y21" i="11"/>
  <c r="AB21" i="11" s="1"/>
  <c r="Z28" i="11"/>
  <c r="AC28" i="11" s="1"/>
  <c r="Z29" i="11"/>
  <c r="AC29" i="11" s="1"/>
  <c r="Y31" i="11"/>
  <c r="AB31" i="11" s="1"/>
  <c r="Z33" i="11"/>
  <c r="AC33" i="11" s="1"/>
  <c r="Z34" i="11"/>
  <c r="AC34" i="11" s="1"/>
  <c r="AA36" i="11"/>
  <c r="AD36" i="11" s="1"/>
  <c r="H37" i="11"/>
  <c r="P37" i="11"/>
  <c r="N5" i="18" s="1"/>
  <c r="X37" i="11"/>
  <c r="Y12" i="11"/>
  <c r="AB12" i="11" s="1"/>
  <c r="Z12" i="11"/>
  <c r="AC12" i="11" s="1"/>
  <c r="AA14" i="11"/>
  <c r="AD14" i="11" s="1"/>
  <c r="Y16" i="11"/>
  <c r="AB16" i="11" s="1"/>
  <c r="Z16" i="11"/>
  <c r="AC16" i="11" s="1"/>
  <c r="Y18" i="11"/>
  <c r="AB18" i="11" s="1"/>
  <c r="Y20" i="11"/>
  <c r="AB20" i="11" s="1"/>
  <c r="Z20" i="11"/>
  <c r="AC20" i="11" s="1"/>
  <c r="AA22" i="11"/>
  <c r="AD22" i="11" s="1"/>
  <c r="Z25" i="11"/>
  <c r="AC25" i="11" s="1"/>
  <c r="Z26" i="11"/>
  <c r="AC26" i="11" s="1"/>
  <c r="Y27" i="11"/>
  <c r="AB27" i="11" s="1"/>
  <c r="AA28" i="11"/>
  <c r="AD28" i="11" s="1"/>
  <c r="AA29" i="11"/>
  <c r="AD29" i="11" s="1"/>
  <c r="AA33" i="11"/>
  <c r="AD33" i="11" s="1"/>
  <c r="Y36" i="11"/>
  <c r="AB36" i="11" s="1"/>
  <c r="Z36" i="11"/>
  <c r="AC36" i="11" s="1"/>
  <c r="P37" i="10"/>
  <c r="I9" i="18" s="1"/>
  <c r="Z7" i="10"/>
  <c r="AC7" i="10" s="1"/>
  <c r="Y9" i="10"/>
  <c r="AB9" i="10" s="1"/>
  <c r="Z12" i="10"/>
  <c r="AC12" i="10" s="1"/>
  <c r="AA14" i="10"/>
  <c r="AD14" i="10" s="1"/>
  <c r="AA19" i="10"/>
  <c r="AD19" i="10" s="1"/>
  <c r="AA27" i="10"/>
  <c r="AD27" i="10" s="1"/>
  <c r="Y32" i="10"/>
  <c r="AB32" i="10" s="1"/>
  <c r="Y35" i="10"/>
  <c r="AB35" i="10" s="1"/>
  <c r="Y6" i="10"/>
  <c r="AB6" i="10" s="1"/>
  <c r="J37" i="10"/>
  <c r="I6" i="18" s="1"/>
  <c r="K6" i="18" s="1"/>
  <c r="Z6" i="10"/>
  <c r="AC6" i="10" s="1"/>
  <c r="R37" i="10"/>
  <c r="Y8" i="10"/>
  <c r="AB8" i="10" s="1"/>
  <c r="Z11" i="10"/>
  <c r="AC11" i="10" s="1"/>
  <c r="Y13" i="10"/>
  <c r="AB13" i="10" s="1"/>
  <c r="Z16" i="10"/>
  <c r="AC16" i="10" s="1"/>
  <c r="Z17" i="10"/>
  <c r="AC17" i="10" s="1"/>
  <c r="AA18" i="10"/>
  <c r="AD18" i="10" s="1"/>
  <c r="Z20" i="10"/>
  <c r="AC20" i="10" s="1"/>
  <c r="Z21" i="10"/>
  <c r="AC21" i="10" s="1"/>
  <c r="AA22" i="10"/>
  <c r="AD22" i="10" s="1"/>
  <c r="Z24" i="10"/>
  <c r="AC24" i="10" s="1"/>
  <c r="Z25" i="10"/>
  <c r="AC25" i="10" s="1"/>
  <c r="AA26" i="10"/>
  <c r="AD26" i="10" s="1"/>
  <c r="Z28" i="10"/>
  <c r="AC28" i="10" s="1"/>
  <c r="Z29" i="10"/>
  <c r="AC29" i="10" s="1"/>
  <c r="AA30" i="10"/>
  <c r="AD30" i="10" s="1"/>
  <c r="AA31" i="10"/>
  <c r="AD31" i="10" s="1"/>
  <c r="Z34" i="10"/>
  <c r="AC34" i="10" s="1"/>
  <c r="Y34" i="10"/>
  <c r="AB34" i="10" s="1"/>
  <c r="Z35" i="10"/>
  <c r="AC35" i="10" s="1"/>
  <c r="Z36" i="10"/>
  <c r="AC36" i="10" s="1"/>
  <c r="AA6" i="10"/>
  <c r="AD6" i="10" s="1"/>
  <c r="F37" i="10"/>
  <c r="H37" i="10"/>
  <c r="I8" i="18" s="1"/>
  <c r="X37" i="10"/>
  <c r="J5" i="18" s="1"/>
  <c r="AA10" i="10"/>
  <c r="AD10" i="10" s="1"/>
  <c r="Z13" i="10"/>
  <c r="AC13" i="10" s="1"/>
  <c r="AA15" i="10"/>
  <c r="AD15" i="10" s="1"/>
  <c r="AA23" i="10"/>
  <c r="AD23" i="10" s="1"/>
  <c r="D37" i="10"/>
  <c r="L37" i="10"/>
  <c r="I7" i="18" s="1"/>
  <c r="T37" i="10"/>
  <c r="J8" i="18" s="1"/>
  <c r="AA7" i="10"/>
  <c r="AD7" i="10" s="1"/>
  <c r="Y10" i="10"/>
  <c r="AB10" i="10" s="1"/>
  <c r="Z10" i="10"/>
  <c r="AC10" i="10" s="1"/>
  <c r="Y12" i="10"/>
  <c r="AB12" i="10" s="1"/>
  <c r="Z14" i="10"/>
  <c r="AC14" i="10" s="1"/>
  <c r="Y14" i="10"/>
  <c r="AB14" i="10" s="1"/>
  <c r="Z15" i="10"/>
  <c r="AC15" i="10" s="1"/>
  <c r="Y17" i="10"/>
  <c r="AB17" i="10" s="1"/>
  <c r="Z19" i="10"/>
  <c r="AC19" i="10" s="1"/>
  <c r="Y21" i="10"/>
  <c r="AB21" i="10" s="1"/>
  <c r="Z23" i="10"/>
  <c r="AC23" i="10" s="1"/>
  <c r="Y25" i="10"/>
  <c r="AB25" i="10" s="1"/>
  <c r="Z27" i="10"/>
  <c r="AC27" i="10" s="1"/>
  <c r="Y29" i="10"/>
  <c r="AB29" i="10" s="1"/>
  <c r="Y31" i="10"/>
  <c r="AB31" i="10" s="1"/>
  <c r="Z32" i="10"/>
  <c r="AC32" i="10" s="1"/>
  <c r="Y36" i="10"/>
  <c r="AB36" i="10" s="1"/>
  <c r="J37" i="8"/>
  <c r="D7" i="18" s="1"/>
  <c r="F7" i="18" s="1"/>
  <c r="R37" i="8"/>
  <c r="E8" i="18" s="1"/>
  <c r="F8" i="18" s="1"/>
  <c r="D37" i="8"/>
  <c r="L37" i="8"/>
  <c r="D5" i="18" s="1"/>
  <c r="T37" i="8"/>
  <c r="E7" i="18" s="1"/>
  <c r="F37" i="8"/>
  <c r="D8" i="18" s="1"/>
  <c r="N37" i="8"/>
  <c r="D9" i="18" s="1"/>
  <c r="V37" i="8"/>
  <c r="E5" i="18" s="1"/>
  <c r="Z8" i="8"/>
  <c r="AC8" i="8" s="1"/>
  <c r="Z9" i="8"/>
  <c r="AC9" i="8" s="1"/>
  <c r="Z12" i="8"/>
  <c r="AC12" i="8" s="1"/>
  <c r="Y7" i="11"/>
  <c r="AB7" i="11" s="1"/>
  <c r="AA8" i="11"/>
  <c r="AD8" i="11" s="1"/>
  <c r="Z9" i="11"/>
  <c r="AC9" i="11" s="1"/>
  <c r="Z6" i="11"/>
  <c r="AC6" i="11" s="1"/>
  <c r="AA6" i="11"/>
  <c r="AD6" i="11" s="1"/>
  <c r="AA9" i="11"/>
  <c r="AD9" i="11" s="1"/>
  <c r="Y11" i="11"/>
  <c r="AB11" i="11" s="1"/>
  <c r="AA18" i="11"/>
  <c r="AD18" i="11" s="1"/>
  <c r="AA34" i="11"/>
  <c r="AD34" i="11" s="1"/>
  <c r="AA26" i="11"/>
  <c r="AD26" i="11" s="1"/>
  <c r="AA30" i="11"/>
  <c r="AD30" i="11" s="1"/>
  <c r="AA11" i="11"/>
  <c r="AD11" i="11" s="1"/>
  <c r="AA15" i="11"/>
  <c r="AD15" i="11" s="1"/>
  <c r="AA23" i="11"/>
  <c r="AD23" i="11" s="1"/>
  <c r="AA27" i="11"/>
  <c r="AD27" i="11" s="1"/>
  <c r="AA35" i="11"/>
  <c r="AD35" i="11" s="1"/>
  <c r="Y14" i="11"/>
  <c r="AB14" i="11" s="1"/>
  <c r="Y22" i="11"/>
  <c r="AB22" i="11" s="1"/>
  <c r="AA7" i="11"/>
  <c r="AD7" i="11" s="1"/>
  <c r="AA19" i="11"/>
  <c r="AD19" i="11" s="1"/>
  <c r="AA31" i="11"/>
  <c r="AD31" i="11" s="1"/>
  <c r="AA12" i="10"/>
  <c r="AD12" i="10" s="1"/>
  <c r="AA24" i="10"/>
  <c r="AD24" i="10" s="1"/>
  <c r="AA28" i="10"/>
  <c r="AD28" i="10" s="1"/>
  <c r="AA32" i="10"/>
  <c r="AD32" i="10" s="1"/>
  <c r="AA36" i="10"/>
  <c r="AD36" i="10" s="1"/>
  <c r="Y7" i="10"/>
  <c r="AB7" i="10" s="1"/>
  <c r="AA9" i="10"/>
  <c r="AD9" i="10" s="1"/>
  <c r="Y11" i="10"/>
  <c r="AB11" i="10" s="1"/>
  <c r="AA13" i="10"/>
  <c r="AD13" i="10" s="1"/>
  <c r="Y15" i="10"/>
  <c r="AB15" i="10" s="1"/>
  <c r="AA17" i="10"/>
  <c r="AD17" i="10" s="1"/>
  <c r="Y19" i="10"/>
  <c r="AB19" i="10" s="1"/>
  <c r="AA21" i="10"/>
  <c r="AD21" i="10" s="1"/>
  <c r="Y23" i="10"/>
  <c r="AB23" i="10" s="1"/>
  <c r="AA25" i="10"/>
  <c r="AD25" i="10" s="1"/>
  <c r="Y27" i="10"/>
  <c r="AB27" i="10" s="1"/>
  <c r="AA29" i="10"/>
  <c r="AD29" i="10" s="1"/>
  <c r="AA33" i="10"/>
  <c r="AD33" i="10" s="1"/>
  <c r="AA8" i="10"/>
  <c r="AD8" i="10" s="1"/>
  <c r="AA16" i="10"/>
  <c r="AD16" i="10" s="1"/>
  <c r="Y20" i="10"/>
  <c r="AB20" i="10" s="1"/>
  <c r="AA6" i="8"/>
  <c r="AD6" i="8" s="1"/>
  <c r="Z31" i="8"/>
  <c r="AC31" i="8" s="1"/>
  <c r="Y33" i="8"/>
  <c r="AB33" i="8" s="1"/>
  <c r="AA10" i="8"/>
  <c r="AD10" i="8" s="1"/>
  <c r="Y24" i="8"/>
  <c r="AB24" i="8" s="1"/>
  <c r="Y26" i="8"/>
  <c r="AB26" i="8" s="1"/>
  <c r="Z26" i="8"/>
  <c r="AC26" i="8" s="1"/>
  <c r="Y28" i="8"/>
  <c r="AB28" i="8" s="1"/>
  <c r="Z13" i="8"/>
  <c r="AC13" i="8" s="1"/>
  <c r="AA15" i="8"/>
  <c r="AD15" i="8" s="1"/>
  <c r="AA19" i="8"/>
  <c r="AD19" i="8" s="1"/>
  <c r="Z29" i="8"/>
  <c r="AC29" i="8" s="1"/>
  <c r="Z33" i="8"/>
  <c r="AC33" i="8" s="1"/>
  <c r="AA35" i="8"/>
  <c r="AD35" i="8" s="1"/>
  <c r="AA34" i="8"/>
  <c r="AD34" i="8" s="1"/>
  <c r="Y34" i="8"/>
  <c r="AB34" i="8" s="1"/>
  <c r="Y22" i="8"/>
  <c r="AB22" i="8" s="1"/>
  <c r="Z7" i="8"/>
  <c r="AC7" i="8" s="1"/>
  <c r="Y9" i="8"/>
  <c r="AB9" i="8" s="1"/>
  <c r="Z11" i="8"/>
  <c r="AC11" i="8" s="1"/>
  <c r="Y13" i="8"/>
  <c r="AB13" i="8" s="1"/>
  <c r="AA14" i="8"/>
  <c r="AD14" i="8" s="1"/>
  <c r="Z16" i="8"/>
  <c r="AC16" i="8" s="1"/>
  <c r="Z17" i="8"/>
  <c r="AC17" i="8" s="1"/>
  <c r="AA18" i="8"/>
  <c r="AD18" i="8" s="1"/>
  <c r="Z21" i="8"/>
  <c r="AC21" i="8" s="1"/>
  <c r="AA22" i="8"/>
  <c r="AD22" i="8" s="1"/>
  <c r="AA23" i="8"/>
  <c r="AD23" i="8" s="1"/>
  <c r="AA27" i="8"/>
  <c r="AD27" i="8" s="1"/>
  <c r="Y30" i="8"/>
  <c r="AB30" i="8" s="1"/>
  <c r="Z30" i="8"/>
  <c r="AC30" i="8" s="1"/>
  <c r="Y32" i="8"/>
  <c r="AB32" i="8" s="1"/>
  <c r="Z36" i="8"/>
  <c r="AC36" i="8" s="1"/>
  <c r="Y6" i="8"/>
  <c r="AB6" i="8" s="1"/>
  <c r="Z6" i="8"/>
  <c r="AC6" i="8" s="1"/>
  <c r="AA8" i="8"/>
  <c r="AD8" i="8" s="1"/>
  <c r="Y10" i="8"/>
  <c r="AB10" i="8" s="1"/>
  <c r="Z10" i="8"/>
  <c r="AC10" i="8" s="1"/>
  <c r="AA12" i="8"/>
  <c r="AD12" i="8" s="1"/>
  <c r="Z15" i="8"/>
  <c r="AC15" i="8" s="1"/>
  <c r="Y17" i="8"/>
  <c r="AB17" i="8" s="1"/>
  <c r="Z19" i="8"/>
  <c r="AC19" i="8" s="1"/>
  <c r="Z20" i="8"/>
  <c r="AC20" i="8" s="1"/>
  <c r="Y21" i="8"/>
  <c r="AB21" i="8" s="1"/>
  <c r="Z25" i="8"/>
  <c r="AC25" i="8" s="1"/>
  <c r="AA26" i="8"/>
  <c r="AD26" i="8" s="1"/>
  <c r="AA31" i="8"/>
  <c r="AD31" i="8" s="1"/>
  <c r="Z34" i="8"/>
  <c r="AC34" i="8" s="1"/>
  <c r="Z35" i="8"/>
  <c r="AC35" i="8" s="1"/>
  <c r="AA7" i="8"/>
  <c r="AD7" i="8" s="1"/>
  <c r="AA11" i="8"/>
  <c r="AD11" i="8" s="1"/>
  <c r="Y14" i="8"/>
  <c r="AB14" i="8" s="1"/>
  <c r="Z14" i="8"/>
  <c r="AC14" i="8" s="1"/>
  <c r="Y16" i="8"/>
  <c r="AB16" i="8" s="1"/>
  <c r="Y18" i="8"/>
  <c r="AB18" i="8" s="1"/>
  <c r="Z18" i="8"/>
  <c r="AC18" i="8" s="1"/>
  <c r="Y20" i="8"/>
  <c r="AB20" i="8" s="1"/>
  <c r="Z22" i="8"/>
  <c r="AC22" i="8" s="1"/>
  <c r="Z23" i="8"/>
  <c r="AC23" i="8" s="1"/>
  <c r="Z24" i="8"/>
  <c r="AC24" i="8" s="1"/>
  <c r="Y25" i="8"/>
  <c r="AB25" i="8" s="1"/>
  <c r="Z27" i="8"/>
  <c r="AC27" i="8" s="1"/>
  <c r="Z28" i="8"/>
  <c r="AC28" i="8" s="1"/>
  <c r="Y29" i="8"/>
  <c r="AB29" i="8" s="1"/>
  <c r="AA30" i="8"/>
  <c r="AD30" i="8" s="1"/>
  <c r="Z32" i="8"/>
  <c r="AC32" i="8" s="1"/>
  <c r="Y36" i="8"/>
  <c r="AB36" i="8" s="1"/>
  <c r="AA24" i="8"/>
  <c r="AD24" i="8" s="1"/>
  <c r="AA36" i="8"/>
  <c r="AD36" i="8" s="1"/>
  <c r="Y7" i="8"/>
  <c r="AB7" i="8" s="1"/>
  <c r="AA9" i="8"/>
  <c r="AD9" i="8" s="1"/>
  <c r="Y11" i="8"/>
  <c r="AB11" i="8" s="1"/>
  <c r="AA13" i="8"/>
  <c r="AD13" i="8" s="1"/>
  <c r="Y15" i="8"/>
  <c r="AB15" i="8" s="1"/>
  <c r="AA17" i="8"/>
  <c r="AD17" i="8" s="1"/>
  <c r="Y19" i="8"/>
  <c r="AB19" i="8" s="1"/>
  <c r="AA21" i="8"/>
  <c r="AD21" i="8" s="1"/>
  <c r="Y23" i="8"/>
  <c r="AB23" i="8" s="1"/>
  <c r="AA25" i="8"/>
  <c r="AD25" i="8" s="1"/>
  <c r="Y27" i="8"/>
  <c r="AB27" i="8" s="1"/>
  <c r="AA29" i="8"/>
  <c r="AD29" i="8" s="1"/>
  <c r="Y31" i="8"/>
  <c r="AB31" i="8" s="1"/>
  <c r="AA33" i="8"/>
  <c r="AD33" i="8" s="1"/>
  <c r="Y35" i="8"/>
  <c r="AB35" i="8" s="1"/>
  <c r="AA16" i="8"/>
  <c r="AD16" i="8" s="1"/>
  <c r="AA20" i="8"/>
  <c r="AD20" i="8" s="1"/>
  <c r="AA28" i="8"/>
  <c r="AD28" i="8" s="1"/>
  <c r="AA32" i="8"/>
  <c r="AD32" i="8" s="1"/>
  <c r="Y8" i="8"/>
  <c r="AB8" i="8" s="1"/>
  <c r="Y12" i="8"/>
  <c r="AB12" i="8" s="1"/>
  <c r="T44" i="18" l="1"/>
  <c r="K28" i="18"/>
  <c r="X28" i="18"/>
  <c r="Y23" i="18" s="1"/>
  <c r="K5" i="18"/>
  <c r="T36" i="18"/>
  <c r="O7" i="18"/>
  <c r="P7" i="18" s="1"/>
  <c r="O9" i="18"/>
  <c r="P9" i="18" s="1"/>
  <c r="AC102" i="11"/>
  <c r="O21" i="18"/>
  <c r="P21" i="18" s="1"/>
  <c r="S25" i="18"/>
  <c r="P8" i="18"/>
  <c r="S23" i="18"/>
  <c r="F9" i="18"/>
  <c r="F28" i="18"/>
  <c r="F5" i="18"/>
  <c r="X5" i="18"/>
  <c r="V8" i="18"/>
  <c r="X8" i="18" s="1"/>
  <c r="Y21" i="18"/>
  <c r="S6" i="18"/>
  <c r="AC102" i="10"/>
  <c r="K7" i="18"/>
  <c r="K8" i="18"/>
  <c r="AP37" i="12"/>
  <c r="AS37" i="12" s="1"/>
  <c r="AN37" i="12"/>
  <c r="AQ37" i="12" s="1"/>
  <c r="Z37" i="11"/>
  <c r="Y37" i="11"/>
  <c r="AB37" i="11" s="1"/>
  <c r="AA37" i="11"/>
  <c r="AD37" i="11" s="1"/>
  <c r="Y37" i="10"/>
  <c r="AB37" i="10" s="1"/>
  <c r="AA37" i="10"/>
  <c r="AD37" i="10" s="1"/>
  <c r="Z37" i="10"/>
  <c r="Y37" i="8"/>
  <c r="AB37" i="8" s="1"/>
  <c r="AA37" i="8"/>
  <c r="AD37" i="8" s="1"/>
  <c r="Z37" i="8"/>
  <c r="AC37" i="8" s="1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8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8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8" i="6"/>
  <c r="Q39" i="6"/>
  <c r="Q40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8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8" i="6"/>
  <c r="E39" i="6"/>
  <c r="E40" i="6"/>
  <c r="Y24" i="18" l="1"/>
  <c r="Y26" i="18"/>
  <c r="Y27" i="18"/>
  <c r="Y25" i="18"/>
  <c r="Y22" i="18"/>
  <c r="P28" i="18"/>
  <c r="S28" i="18" s="1"/>
  <c r="S21" i="18"/>
  <c r="AC37" i="10"/>
  <c r="J9" i="18"/>
  <c r="K9" i="18" s="1"/>
  <c r="K12" i="18" s="1"/>
  <c r="F12" i="18"/>
  <c r="V12" i="18"/>
  <c r="X12" i="18" s="1"/>
  <c r="S7" i="18"/>
  <c r="AC37" i="11"/>
  <c r="O5" i="18"/>
  <c r="P5" i="18" s="1"/>
  <c r="S8" i="18"/>
  <c r="O37" i="6"/>
  <c r="Y37" i="6"/>
  <c r="E37" i="6"/>
  <c r="AJ33" i="6"/>
  <c r="AK33" i="6" s="1"/>
  <c r="AJ29" i="6"/>
  <c r="AK29" i="6" s="1"/>
  <c r="AJ25" i="6"/>
  <c r="AK25" i="6" s="1"/>
  <c r="AJ21" i="6"/>
  <c r="AK21" i="6" s="1"/>
  <c r="W37" i="6"/>
  <c r="K37" i="6"/>
  <c r="M37" i="6"/>
  <c r="AJ36" i="6"/>
  <c r="AK36" i="6" s="1"/>
  <c r="AJ32" i="6"/>
  <c r="AK32" i="6" s="1"/>
  <c r="Q37" i="6"/>
  <c r="S37" i="6"/>
  <c r="U37" i="6"/>
  <c r="AJ28" i="6"/>
  <c r="AK28" i="6" s="1"/>
  <c r="AJ35" i="6"/>
  <c r="AK35" i="6" s="1"/>
  <c r="AJ31" i="6"/>
  <c r="AK31" i="6" s="1"/>
  <c r="AJ34" i="6"/>
  <c r="AK34" i="6" s="1"/>
  <c r="AJ30" i="6"/>
  <c r="AK30" i="6" s="1"/>
  <c r="AJ26" i="6"/>
  <c r="AK26" i="6" s="1"/>
  <c r="AJ22" i="6"/>
  <c r="AK22" i="6" s="1"/>
  <c r="AJ18" i="6"/>
  <c r="AK18" i="6" s="1"/>
  <c r="AJ14" i="6"/>
  <c r="AK14" i="6" s="1"/>
  <c r="AJ10" i="6"/>
  <c r="AK10" i="6" s="1"/>
  <c r="AJ6" i="6"/>
  <c r="AK6" i="6" s="1"/>
  <c r="AJ17" i="6"/>
  <c r="AK17" i="6" s="1"/>
  <c r="AJ13" i="6"/>
  <c r="AK13" i="6" s="1"/>
  <c r="AJ9" i="6"/>
  <c r="AK9" i="6" s="1"/>
  <c r="AJ24" i="6"/>
  <c r="AK24" i="6" s="1"/>
  <c r="AJ16" i="6"/>
  <c r="AK16" i="6" s="1"/>
  <c r="AJ12" i="6"/>
  <c r="AK12" i="6" s="1"/>
  <c r="AJ8" i="6"/>
  <c r="AK8" i="6" s="1"/>
  <c r="AJ20" i="6"/>
  <c r="AK20" i="6" s="1"/>
  <c r="AJ27" i="6"/>
  <c r="AK27" i="6" s="1"/>
  <c r="AJ23" i="6"/>
  <c r="AK23" i="6" s="1"/>
  <c r="AJ19" i="6"/>
  <c r="AK19" i="6" s="1"/>
  <c r="AJ15" i="6"/>
  <c r="AK15" i="6" s="1"/>
  <c r="AJ11" i="6"/>
  <c r="AK11" i="6" s="1"/>
  <c r="AJ7" i="6"/>
  <c r="AK7" i="6" s="1"/>
  <c r="R58" i="8"/>
  <c r="AC51" i="12"/>
  <c r="S9" i="18" l="1"/>
  <c r="T23" i="18"/>
  <c r="T22" i="18"/>
  <c r="T24" i="18"/>
  <c r="T21" i="18"/>
  <c r="T25" i="18"/>
  <c r="Y10" i="18"/>
  <c r="Y11" i="18"/>
  <c r="Y9" i="18"/>
  <c r="Y7" i="18"/>
  <c r="Y6" i="18"/>
  <c r="Y5" i="18"/>
  <c r="Y8" i="18"/>
  <c r="P12" i="18"/>
  <c r="S12" i="18" s="1"/>
  <c r="S5" i="18"/>
  <c r="AJ37" i="6"/>
  <c r="AK37" i="6" s="1"/>
  <c r="AP69" i="12"/>
  <c r="AS69" i="12" s="1"/>
  <c r="AO69" i="12"/>
  <c r="AR69" i="12" s="1"/>
  <c r="AN69" i="12"/>
  <c r="AQ69" i="12" s="1"/>
  <c r="AG40" i="12"/>
  <c r="AA68" i="12"/>
  <c r="AA67" i="12"/>
  <c r="AA66" i="12"/>
  <c r="AA65" i="12"/>
  <c r="AA64" i="12"/>
  <c r="AA63" i="12"/>
  <c r="AA62" i="12"/>
  <c r="AA61" i="12"/>
  <c r="AA60" i="12"/>
  <c r="AA59" i="12"/>
  <c r="AA58" i="12"/>
  <c r="AA57" i="12"/>
  <c r="AA56" i="12"/>
  <c r="AA55" i="12"/>
  <c r="AA54" i="12"/>
  <c r="AA53" i="12"/>
  <c r="AA52" i="12"/>
  <c r="AA51" i="12"/>
  <c r="AA50" i="12"/>
  <c r="AA49" i="12"/>
  <c r="AA48" i="12"/>
  <c r="AA47" i="12"/>
  <c r="AA46" i="12"/>
  <c r="AA45" i="12"/>
  <c r="AA44" i="12"/>
  <c r="AA43" i="12"/>
  <c r="AA42" i="12"/>
  <c r="AA41" i="12"/>
  <c r="AA40" i="12"/>
  <c r="AA39" i="12"/>
  <c r="AA38" i="12"/>
  <c r="Y38" i="12"/>
  <c r="Y68" i="12"/>
  <c r="Y67" i="12"/>
  <c r="Y66" i="12"/>
  <c r="Y65" i="12"/>
  <c r="Y64" i="12"/>
  <c r="Y63" i="12"/>
  <c r="Y62" i="12"/>
  <c r="Y61" i="12"/>
  <c r="Y60" i="12"/>
  <c r="Y59" i="12"/>
  <c r="Y58" i="12"/>
  <c r="Y57" i="12"/>
  <c r="Y56" i="12"/>
  <c r="Y55" i="12"/>
  <c r="Y54" i="12"/>
  <c r="Y53" i="12"/>
  <c r="Y52" i="12"/>
  <c r="Y51" i="12"/>
  <c r="Y50" i="12"/>
  <c r="Y49" i="12"/>
  <c r="Y48" i="12"/>
  <c r="Y47" i="12"/>
  <c r="Y46" i="12"/>
  <c r="Y45" i="12"/>
  <c r="Y44" i="12"/>
  <c r="Y43" i="12"/>
  <c r="Y42" i="12"/>
  <c r="Y41" i="12"/>
  <c r="Y40" i="12"/>
  <c r="Y39" i="12"/>
  <c r="AM68" i="12"/>
  <c r="AM67" i="12"/>
  <c r="AM66" i="12"/>
  <c r="AM65" i="12"/>
  <c r="AM64" i="12"/>
  <c r="AM63" i="12"/>
  <c r="AM62" i="12"/>
  <c r="AM61" i="12"/>
  <c r="AM60" i="12"/>
  <c r="AM59" i="12"/>
  <c r="AM58" i="12"/>
  <c r="AM57" i="12"/>
  <c r="AM56" i="12"/>
  <c r="AM55" i="12"/>
  <c r="AM54" i="12"/>
  <c r="AM53" i="12"/>
  <c r="AM52" i="12"/>
  <c r="AM51" i="12"/>
  <c r="AM50" i="12"/>
  <c r="AM49" i="12"/>
  <c r="AM48" i="12"/>
  <c r="AM47" i="12"/>
  <c r="AM46" i="12"/>
  <c r="AM45" i="12"/>
  <c r="AM44" i="12"/>
  <c r="AM43" i="12"/>
  <c r="AM42" i="12"/>
  <c r="AM41" i="12"/>
  <c r="AM40" i="12"/>
  <c r="AM39" i="12"/>
  <c r="AM38" i="12"/>
  <c r="AK68" i="12"/>
  <c r="AK67" i="12"/>
  <c r="AK66" i="12"/>
  <c r="AK65" i="12"/>
  <c r="AK64" i="12"/>
  <c r="AK63" i="12"/>
  <c r="AK62" i="12"/>
  <c r="AK61" i="12"/>
  <c r="AK60" i="12"/>
  <c r="AK59" i="12"/>
  <c r="AK58" i="12"/>
  <c r="AK57" i="12"/>
  <c r="AK56" i="12"/>
  <c r="AK55" i="12"/>
  <c r="AK54" i="12"/>
  <c r="AK53" i="12"/>
  <c r="AK52" i="12"/>
  <c r="AK51" i="12"/>
  <c r="AK50" i="12"/>
  <c r="AK49" i="12"/>
  <c r="AK48" i="12"/>
  <c r="AK47" i="12"/>
  <c r="AK46" i="12"/>
  <c r="AK45" i="12"/>
  <c r="AK44" i="12"/>
  <c r="AK43" i="12"/>
  <c r="AK42" i="12"/>
  <c r="AK41" i="12"/>
  <c r="AK40" i="12"/>
  <c r="AK39" i="12"/>
  <c r="AK38" i="12"/>
  <c r="M68" i="12"/>
  <c r="M67" i="12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AJ69" i="6"/>
  <c r="AK69" i="6" s="1"/>
  <c r="R39" i="8"/>
  <c r="R40" i="8"/>
  <c r="R41" i="8"/>
  <c r="R42" i="8"/>
  <c r="R43" i="8"/>
  <c r="R44" i="8"/>
  <c r="R45" i="8"/>
  <c r="R46" i="8"/>
  <c r="R47" i="8"/>
  <c r="R48" i="8"/>
  <c r="R49" i="8"/>
  <c r="R51" i="8"/>
  <c r="AI47" i="6"/>
  <c r="AI48" i="6"/>
  <c r="AI49" i="6"/>
  <c r="AI50" i="6"/>
  <c r="T39" i="11"/>
  <c r="H45" i="11"/>
  <c r="E41" i="6"/>
  <c r="E42" i="6"/>
  <c r="E43" i="6"/>
  <c r="E44" i="6"/>
  <c r="E45" i="6"/>
  <c r="T40" i="11"/>
  <c r="X39" i="11"/>
  <c r="X40" i="11"/>
  <c r="X41" i="11"/>
  <c r="T41" i="11"/>
  <c r="R39" i="11"/>
  <c r="R40" i="11"/>
  <c r="R41" i="11"/>
  <c r="P39" i="11"/>
  <c r="P40" i="11"/>
  <c r="P41" i="11"/>
  <c r="I38" i="6"/>
  <c r="W68" i="12"/>
  <c r="W67" i="12"/>
  <c r="W66" i="12"/>
  <c r="W65" i="12"/>
  <c r="W64" i="12"/>
  <c r="W63" i="12"/>
  <c r="W62" i="12"/>
  <c r="W61" i="12"/>
  <c r="W60" i="12"/>
  <c r="W59" i="12"/>
  <c r="W58" i="12"/>
  <c r="W57" i="12"/>
  <c r="W56" i="12"/>
  <c r="W55" i="12"/>
  <c r="W54" i="12"/>
  <c r="W53" i="12"/>
  <c r="W52" i="12"/>
  <c r="W51" i="12"/>
  <c r="W50" i="12"/>
  <c r="W49" i="12"/>
  <c r="W48" i="12"/>
  <c r="W47" i="12"/>
  <c r="W46" i="12"/>
  <c r="W45" i="12"/>
  <c r="W13" i="18" s="1"/>
  <c r="W44" i="12"/>
  <c r="W43" i="12"/>
  <c r="W42" i="12"/>
  <c r="W41" i="12"/>
  <c r="W40" i="12"/>
  <c r="W39" i="12"/>
  <c r="W38" i="12"/>
  <c r="AI68" i="6"/>
  <c r="AI67" i="6"/>
  <c r="AI66" i="6"/>
  <c r="AI65" i="6"/>
  <c r="AI64" i="6"/>
  <c r="AI63" i="6"/>
  <c r="AI62" i="6"/>
  <c r="AI61" i="6"/>
  <c r="AI60" i="6"/>
  <c r="AI59" i="6"/>
  <c r="AI58" i="6"/>
  <c r="AI57" i="6"/>
  <c r="AI56" i="6"/>
  <c r="AI55" i="6"/>
  <c r="AI54" i="6"/>
  <c r="AI53" i="6"/>
  <c r="AI52" i="6"/>
  <c r="AI51" i="6"/>
  <c r="AI46" i="6"/>
  <c r="AI45" i="6"/>
  <c r="AI44" i="6"/>
  <c r="AI43" i="6"/>
  <c r="AI42" i="6"/>
  <c r="AI41" i="6"/>
  <c r="AI40" i="6"/>
  <c r="AI39" i="6"/>
  <c r="AI38" i="6"/>
  <c r="AG68" i="6"/>
  <c r="AG67" i="6"/>
  <c r="AG66" i="6"/>
  <c r="AG65" i="6"/>
  <c r="AG64" i="6"/>
  <c r="AG63" i="6"/>
  <c r="AG62" i="6"/>
  <c r="AG61" i="6"/>
  <c r="AG60" i="6"/>
  <c r="AG59" i="6"/>
  <c r="AG58" i="6"/>
  <c r="AG57" i="6"/>
  <c r="AG56" i="6"/>
  <c r="AG55" i="6"/>
  <c r="AG54" i="6"/>
  <c r="AG53" i="6"/>
  <c r="AG52" i="6"/>
  <c r="AG51" i="6"/>
  <c r="AG50" i="6"/>
  <c r="AG49" i="6"/>
  <c r="AG48" i="6"/>
  <c r="AG47" i="6"/>
  <c r="AG46" i="6"/>
  <c r="AG45" i="6"/>
  <c r="AG44" i="6"/>
  <c r="AG43" i="6"/>
  <c r="AG42" i="6"/>
  <c r="AG41" i="6"/>
  <c r="AG40" i="6"/>
  <c r="AG39" i="6"/>
  <c r="AG38" i="6"/>
  <c r="AE68" i="6"/>
  <c r="AE67" i="6"/>
  <c r="AE66" i="6"/>
  <c r="AE65" i="6"/>
  <c r="AE64" i="6"/>
  <c r="AE63" i="6"/>
  <c r="AE62" i="6"/>
  <c r="AE61" i="6"/>
  <c r="AE60" i="6"/>
  <c r="AE59" i="6"/>
  <c r="AE58" i="6"/>
  <c r="AE57" i="6"/>
  <c r="AE56" i="6"/>
  <c r="AE55" i="6"/>
  <c r="AE54" i="6"/>
  <c r="AE53" i="6"/>
  <c r="AE52" i="6"/>
  <c r="AE51" i="6"/>
  <c r="AE50" i="6"/>
  <c r="AE49" i="6"/>
  <c r="AE48" i="6"/>
  <c r="AE47" i="6"/>
  <c r="AE46" i="6"/>
  <c r="AE45" i="6"/>
  <c r="AE44" i="6"/>
  <c r="AE43" i="6"/>
  <c r="AE42" i="6"/>
  <c r="AE41" i="6"/>
  <c r="AE40" i="6"/>
  <c r="AE39" i="6"/>
  <c r="AE38" i="6"/>
  <c r="AC68" i="6"/>
  <c r="AC67" i="6"/>
  <c r="AC66" i="6"/>
  <c r="AC65" i="6"/>
  <c r="AC64" i="6"/>
  <c r="AC63" i="6"/>
  <c r="AC62" i="6"/>
  <c r="AC61" i="6"/>
  <c r="AC60" i="6"/>
  <c r="AC59" i="6"/>
  <c r="AC58" i="6"/>
  <c r="AC57" i="6"/>
  <c r="AC56" i="6"/>
  <c r="AC55" i="6"/>
  <c r="AC54" i="6"/>
  <c r="AC53" i="6"/>
  <c r="AC52" i="6"/>
  <c r="AC51" i="6"/>
  <c r="AC50" i="6"/>
  <c r="AC49" i="6"/>
  <c r="AC48" i="6"/>
  <c r="AC47" i="6"/>
  <c r="AC46" i="6"/>
  <c r="AC45" i="6"/>
  <c r="AC44" i="6"/>
  <c r="AC43" i="6"/>
  <c r="AC42" i="6"/>
  <c r="AC41" i="6"/>
  <c r="AC40" i="6"/>
  <c r="AC39" i="6"/>
  <c r="AC38" i="6"/>
  <c r="AA68" i="6"/>
  <c r="AA67" i="6"/>
  <c r="AA66" i="6"/>
  <c r="AA65" i="6"/>
  <c r="AA64" i="6"/>
  <c r="AA63" i="6"/>
  <c r="AA62" i="6"/>
  <c r="AA61" i="6"/>
  <c r="AA60" i="6"/>
  <c r="AA59" i="6"/>
  <c r="AA58" i="6"/>
  <c r="AA57" i="6"/>
  <c r="AA56" i="6"/>
  <c r="AA55" i="6"/>
  <c r="AA54" i="6"/>
  <c r="AA53" i="6"/>
  <c r="AA52" i="6"/>
  <c r="AA51" i="6"/>
  <c r="AA50" i="6"/>
  <c r="AA49" i="6"/>
  <c r="AA48" i="6"/>
  <c r="AA47" i="6"/>
  <c r="AA46" i="6"/>
  <c r="AA45" i="6"/>
  <c r="AA44" i="6"/>
  <c r="AA43" i="6"/>
  <c r="AA42" i="6"/>
  <c r="AA41" i="6"/>
  <c r="AA40" i="6"/>
  <c r="AA39" i="6"/>
  <c r="AA38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AI68" i="12"/>
  <c r="AG68" i="12"/>
  <c r="AE68" i="12"/>
  <c r="AC68" i="12"/>
  <c r="U68" i="12"/>
  <c r="S68" i="12"/>
  <c r="Q68" i="12"/>
  <c r="O68" i="12"/>
  <c r="AI67" i="12"/>
  <c r="AG67" i="12"/>
  <c r="AE67" i="12"/>
  <c r="AC67" i="12"/>
  <c r="U67" i="12"/>
  <c r="S67" i="12"/>
  <c r="Q67" i="12"/>
  <c r="O67" i="12"/>
  <c r="AI66" i="12"/>
  <c r="AG66" i="12"/>
  <c r="AE66" i="12"/>
  <c r="AC66" i="12"/>
  <c r="U66" i="12"/>
  <c r="S66" i="12"/>
  <c r="Q66" i="12"/>
  <c r="O66" i="12"/>
  <c r="AI65" i="12"/>
  <c r="AG65" i="12"/>
  <c r="AE65" i="12"/>
  <c r="AC65" i="12"/>
  <c r="U65" i="12"/>
  <c r="S65" i="12"/>
  <c r="Q65" i="12"/>
  <c r="O65" i="12"/>
  <c r="AI64" i="12"/>
  <c r="AG64" i="12"/>
  <c r="AE64" i="12"/>
  <c r="AC64" i="12"/>
  <c r="U64" i="12"/>
  <c r="S64" i="12"/>
  <c r="Q64" i="12"/>
  <c r="O64" i="12"/>
  <c r="AI63" i="12"/>
  <c r="AG63" i="12"/>
  <c r="AE63" i="12"/>
  <c r="AC63" i="12"/>
  <c r="U63" i="12"/>
  <c r="S63" i="12"/>
  <c r="Q63" i="12"/>
  <c r="O63" i="12"/>
  <c r="AI62" i="12"/>
  <c r="AG62" i="12"/>
  <c r="AE62" i="12"/>
  <c r="AC62" i="12"/>
  <c r="U62" i="12"/>
  <c r="S62" i="12"/>
  <c r="Q62" i="12"/>
  <c r="O62" i="12"/>
  <c r="AI61" i="12"/>
  <c r="AG61" i="12"/>
  <c r="AE61" i="12"/>
  <c r="AC61" i="12"/>
  <c r="U61" i="12"/>
  <c r="S61" i="12"/>
  <c r="Q61" i="12"/>
  <c r="O61" i="12"/>
  <c r="AI60" i="12"/>
  <c r="AG60" i="12"/>
  <c r="AE60" i="12"/>
  <c r="AC60" i="12"/>
  <c r="U60" i="12"/>
  <c r="S60" i="12"/>
  <c r="Q60" i="12"/>
  <c r="O60" i="12"/>
  <c r="AI59" i="12"/>
  <c r="AG59" i="12"/>
  <c r="AE59" i="12"/>
  <c r="AC59" i="12"/>
  <c r="U59" i="12"/>
  <c r="S59" i="12"/>
  <c r="Q59" i="12"/>
  <c r="O59" i="12"/>
  <c r="AI58" i="12"/>
  <c r="AG58" i="12"/>
  <c r="AE58" i="12"/>
  <c r="AC58" i="12"/>
  <c r="U58" i="12"/>
  <c r="S58" i="12"/>
  <c r="Q58" i="12"/>
  <c r="O58" i="12"/>
  <c r="AI57" i="12"/>
  <c r="AG57" i="12"/>
  <c r="AE57" i="12"/>
  <c r="AC57" i="12"/>
  <c r="U57" i="12"/>
  <c r="S57" i="12"/>
  <c r="Q57" i="12"/>
  <c r="O57" i="12"/>
  <c r="AI56" i="12"/>
  <c r="AG56" i="12"/>
  <c r="AE56" i="12"/>
  <c r="AC56" i="12"/>
  <c r="U56" i="12"/>
  <c r="S56" i="12"/>
  <c r="Q56" i="12"/>
  <c r="O56" i="12"/>
  <c r="AI55" i="12"/>
  <c r="AG55" i="12"/>
  <c r="AE55" i="12"/>
  <c r="AC55" i="12"/>
  <c r="U55" i="12"/>
  <c r="S55" i="12"/>
  <c r="Q55" i="12"/>
  <c r="O55" i="12"/>
  <c r="AI54" i="12"/>
  <c r="AG54" i="12"/>
  <c r="AE54" i="12"/>
  <c r="AC54" i="12"/>
  <c r="U54" i="12"/>
  <c r="S54" i="12"/>
  <c r="Q54" i="12"/>
  <c r="O54" i="12"/>
  <c r="AI53" i="12"/>
  <c r="AG53" i="12"/>
  <c r="AE53" i="12"/>
  <c r="AC53" i="12"/>
  <c r="U53" i="12"/>
  <c r="S53" i="12"/>
  <c r="Q53" i="12"/>
  <c r="O53" i="12"/>
  <c r="AI52" i="12"/>
  <c r="AG52" i="12"/>
  <c r="AE52" i="12"/>
  <c r="AC52" i="12"/>
  <c r="U52" i="12"/>
  <c r="S52" i="12"/>
  <c r="Q52" i="12"/>
  <c r="O52" i="12"/>
  <c r="AI51" i="12"/>
  <c r="AG51" i="12"/>
  <c r="AE51" i="12"/>
  <c r="U51" i="12"/>
  <c r="S51" i="12"/>
  <c r="Q51" i="12"/>
  <c r="AI50" i="12"/>
  <c r="AG50" i="12"/>
  <c r="AE50" i="12"/>
  <c r="AC50" i="12"/>
  <c r="U50" i="12"/>
  <c r="S50" i="12"/>
  <c r="Q50" i="12"/>
  <c r="O50" i="12"/>
  <c r="AI49" i="12"/>
  <c r="AG49" i="12"/>
  <c r="AE49" i="12"/>
  <c r="AC49" i="12"/>
  <c r="U49" i="12"/>
  <c r="S49" i="12"/>
  <c r="Q49" i="12"/>
  <c r="O49" i="12"/>
  <c r="AI48" i="12"/>
  <c r="AG48" i="12"/>
  <c r="AE48" i="12"/>
  <c r="AC48" i="12"/>
  <c r="U48" i="12"/>
  <c r="S48" i="12"/>
  <c r="Q48" i="12"/>
  <c r="O48" i="12"/>
  <c r="AI47" i="12"/>
  <c r="AG47" i="12"/>
  <c r="AE47" i="12"/>
  <c r="AC47" i="12"/>
  <c r="U47" i="12"/>
  <c r="S47" i="12"/>
  <c r="Q47" i="12"/>
  <c r="O47" i="12"/>
  <c r="AI46" i="12"/>
  <c r="AG46" i="12"/>
  <c r="AE46" i="12"/>
  <c r="AC46" i="12"/>
  <c r="U46" i="12"/>
  <c r="S46" i="12"/>
  <c r="Q46" i="12"/>
  <c r="O46" i="12"/>
  <c r="AI45" i="12"/>
  <c r="AG45" i="12"/>
  <c r="AE45" i="12"/>
  <c r="AC45" i="12"/>
  <c r="U45" i="12"/>
  <c r="S45" i="12"/>
  <c r="Q45" i="12"/>
  <c r="O45" i="12"/>
  <c r="AI44" i="12"/>
  <c r="AG44" i="12"/>
  <c r="AE44" i="12"/>
  <c r="AC44" i="12"/>
  <c r="U44" i="12"/>
  <c r="S44" i="12"/>
  <c r="Q44" i="12"/>
  <c r="O44" i="12"/>
  <c r="AI43" i="12"/>
  <c r="AG43" i="12"/>
  <c r="AE43" i="12"/>
  <c r="AC43" i="12"/>
  <c r="U43" i="12"/>
  <c r="S43" i="12"/>
  <c r="Q43" i="12"/>
  <c r="O43" i="12"/>
  <c r="AI42" i="12"/>
  <c r="AG42" i="12"/>
  <c r="AE42" i="12"/>
  <c r="AC42" i="12"/>
  <c r="U42" i="12"/>
  <c r="S42" i="12"/>
  <c r="Q42" i="12"/>
  <c r="O42" i="12"/>
  <c r="AI41" i="12"/>
  <c r="AG41" i="12"/>
  <c r="AE41" i="12"/>
  <c r="AC41" i="12"/>
  <c r="U41" i="12"/>
  <c r="S41" i="12"/>
  <c r="Q41" i="12"/>
  <c r="O41" i="12"/>
  <c r="E41" i="12"/>
  <c r="AI40" i="12"/>
  <c r="AE40" i="12"/>
  <c r="AC40" i="12"/>
  <c r="U40" i="12"/>
  <c r="S40" i="12"/>
  <c r="Q40" i="12"/>
  <c r="O40" i="12"/>
  <c r="E40" i="12"/>
  <c r="AI39" i="12"/>
  <c r="AG39" i="12"/>
  <c r="AE39" i="12"/>
  <c r="AC39" i="12"/>
  <c r="U39" i="12"/>
  <c r="S39" i="12"/>
  <c r="Q39" i="12"/>
  <c r="O39" i="12"/>
  <c r="E39" i="12"/>
  <c r="AI38" i="12"/>
  <c r="AG38" i="12"/>
  <c r="AE38" i="12"/>
  <c r="AC38" i="12"/>
  <c r="U38" i="12"/>
  <c r="S38" i="12"/>
  <c r="Q38" i="12"/>
  <c r="AA69" i="11"/>
  <c r="AD69" i="11" s="1"/>
  <c r="Z69" i="11"/>
  <c r="AC69" i="11" s="1"/>
  <c r="Y69" i="11"/>
  <c r="AB69" i="11" s="1"/>
  <c r="X68" i="11"/>
  <c r="V68" i="11"/>
  <c r="T68" i="11"/>
  <c r="R68" i="11"/>
  <c r="P68" i="11"/>
  <c r="N68" i="11"/>
  <c r="L68" i="11"/>
  <c r="J68" i="11"/>
  <c r="H68" i="11"/>
  <c r="F68" i="11"/>
  <c r="D68" i="11"/>
  <c r="X67" i="11"/>
  <c r="V67" i="11"/>
  <c r="T67" i="11"/>
  <c r="R67" i="11"/>
  <c r="P67" i="11"/>
  <c r="N67" i="11"/>
  <c r="L67" i="11"/>
  <c r="J67" i="11"/>
  <c r="H67" i="11"/>
  <c r="F67" i="11"/>
  <c r="D67" i="11"/>
  <c r="X66" i="11"/>
  <c r="V66" i="11"/>
  <c r="T66" i="11"/>
  <c r="R66" i="11"/>
  <c r="P66" i="11"/>
  <c r="N66" i="11"/>
  <c r="L66" i="11"/>
  <c r="J66" i="11"/>
  <c r="H66" i="11"/>
  <c r="F66" i="11"/>
  <c r="D66" i="11"/>
  <c r="X65" i="11"/>
  <c r="V65" i="11"/>
  <c r="T65" i="11"/>
  <c r="R65" i="11"/>
  <c r="P65" i="11"/>
  <c r="N65" i="11"/>
  <c r="L65" i="11"/>
  <c r="J65" i="11"/>
  <c r="H65" i="11"/>
  <c r="F65" i="11"/>
  <c r="D65" i="11"/>
  <c r="X64" i="11"/>
  <c r="V64" i="11"/>
  <c r="T64" i="11"/>
  <c r="R64" i="11"/>
  <c r="P64" i="11"/>
  <c r="N64" i="11"/>
  <c r="L64" i="11"/>
  <c r="J64" i="11"/>
  <c r="H64" i="11"/>
  <c r="F64" i="11"/>
  <c r="D64" i="11"/>
  <c r="X63" i="11"/>
  <c r="V63" i="11"/>
  <c r="T63" i="11"/>
  <c r="R63" i="11"/>
  <c r="P63" i="11"/>
  <c r="N63" i="11"/>
  <c r="L63" i="11"/>
  <c r="J63" i="11"/>
  <c r="H63" i="11"/>
  <c r="F63" i="11"/>
  <c r="D63" i="11"/>
  <c r="X62" i="11"/>
  <c r="V62" i="11"/>
  <c r="T62" i="11"/>
  <c r="R62" i="11"/>
  <c r="P62" i="11"/>
  <c r="N62" i="11"/>
  <c r="L62" i="11"/>
  <c r="J62" i="11"/>
  <c r="H62" i="11"/>
  <c r="F62" i="11"/>
  <c r="D62" i="11"/>
  <c r="X61" i="11"/>
  <c r="V61" i="11"/>
  <c r="T61" i="11"/>
  <c r="R61" i="11"/>
  <c r="P61" i="11"/>
  <c r="N61" i="11"/>
  <c r="L61" i="11"/>
  <c r="J61" i="11"/>
  <c r="H61" i="11"/>
  <c r="F61" i="11"/>
  <c r="D61" i="11"/>
  <c r="X60" i="11"/>
  <c r="V60" i="11"/>
  <c r="T60" i="11"/>
  <c r="R60" i="11"/>
  <c r="P60" i="11"/>
  <c r="N60" i="11"/>
  <c r="L60" i="11"/>
  <c r="J60" i="11"/>
  <c r="H60" i="11"/>
  <c r="F60" i="11"/>
  <c r="D60" i="11"/>
  <c r="X59" i="11"/>
  <c r="V59" i="11"/>
  <c r="T59" i="11"/>
  <c r="R59" i="11"/>
  <c r="P59" i="11"/>
  <c r="N59" i="11"/>
  <c r="L59" i="11"/>
  <c r="J59" i="11"/>
  <c r="H59" i="11"/>
  <c r="F59" i="11"/>
  <c r="D59" i="11"/>
  <c r="X58" i="11"/>
  <c r="V58" i="11"/>
  <c r="T58" i="11"/>
  <c r="R58" i="11"/>
  <c r="P58" i="11"/>
  <c r="N58" i="11"/>
  <c r="L58" i="11"/>
  <c r="J58" i="11"/>
  <c r="H58" i="11"/>
  <c r="F58" i="11"/>
  <c r="D58" i="11"/>
  <c r="X57" i="11"/>
  <c r="V57" i="11"/>
  <c r="T57" i="11"/>
  <c r="R57" i="11"/>
  <c r="P57" i="11"/>
  <c r="N57" i="11"/>
  <c r="L57" i="11"/>
  <c r="J57" i="11"/>
  <c r="H57" i="11"/>
  <c r="F57" i="11"/>
  <c r="D57" i="11"/>
  <c r="X56" i="11"/>
  <c r="V56" i="11"/>
  <c r="T56" i="11"/>
  <c r="R56" i="11"/>
  <c r="P56" i="11"/>
  <c r="N56" i="11"/>
  <c r="L56" i="11"/>
  <c r="J56" i="11"/>
  <c r="H56" i="11"/>
  <c r="F56" i="11"/>
  <c r="D56" i="11"/>
  <c r="X55" i="11"/>
  <c r="V55" i="11"/>
  <c r="T55" i="11"/>
  <c r="R55" i="11"/>
  <c r="P55" i="11"/>
  <c r="N55" i="11"/>
  <c r="L55" i="11"/>
  <c r="J55" i="11"/>
  <c r="H55" i="11"/>
  <c r="F55" i="11"/>
  <c r="D55" i="11"/>
  <c r="X54" i="11"/>
  <c r="V54" i="11"/>
  <c r="T54" i="11"/>
  <c r="R54" i="11"/>
  <c r="P54" i="11"/>
  <c r="N54" i="11"/>
  <c r="L54" i="11"/>
  <c r="J54" i="11"/>
  <c r="H54" i="11"/>
  <c r="F54" i="11"/>
  <c r="D54" i="11"/>
  <c r="X53" i="11"/>
  <c r="V53" i="11"/>
  <c r="T53" i="11"/>
  <c r="R53" i="11"/>
  <c r="P53" i="11"/>
  <c r="N53" i="11"/>
  <c r="L53" i="11"/>
  <c r="J53" i="11"/>
  <c r="H53" i="11"/>
  <c r="F53" i="11"/>
  <c r="D53" i="11"/>
  <c r="X52" i="11"/>
  <c r="V52" i="11"/>
  <c r="T52" i="11"/>
  <c r="R52" i="11"/>
  <c r="P52" i="11"/>
  <c r="N52" i="11"/>
  <c r="L52" i="11"/>
  <c r="J52" i="11"/>
  <c r="H52" i="11"/>
  <c r="F52" i="11"/>
  <c r="D52" i="11"/>
  <c r="X51" i="11"/>
  <c r="V51" i="11"/>
  <c r="T51" i="11"/>
  <c r="R51" i="11"/>
  <c r="P51" i="11"/>
  <c r="N51" i="11"/>
  <c r="L51" i="11"/>
  <c r="J51" i="11"/>
  <c r="H51" i="11"/>
  <c r="F51" i="11"/>
  <c r="D51" i="11"/>
  <c r="X50" i="11"/>
  <c r="V50" i="11"/>
  <c r="T50" i="11"/>
  <c r="R50" i="11"/>
  <c r="P50" i="11"/>
  <c r="N50" i="11"/>
  <c r="L50" i="11"/>
  <c r="J50" i="11"/>
  <c r="H50" i="11"/>
  <c r="F50" i="11"/>
  <c r="D50" i="11"/>
  <c r="X49" i="11"/>
  <c r="V49" i="11"/>
  <c r="T49" i="11"/>
  <c r="R49" i="11"/>
  <c r="P49" i="11"/>
  <c r="N49" i="11"/>
  <c r="L49" i="11"/>
  <c r="J49" i="11"/>
  <c r="H49" i="11"/>
  <c r="F49" i="11"/>
  <c r="D49" i="11"/>
  <c r="X48" i="11"/>
  <c r="V48" i="11"/>
  <c r="T48" i="11"/>
  <c r="R48" i="11"/>
  <c r="P48" i="11"/>
  <c r="N48" i="11"/>
  <c r="L48" i="11"/>
  <c r="J48" i="11"/>
  <c r="H48" i="11"/>
  <c r="F48" i="11"/>
  <c r="D48" i="11"/>
  <c r="X47" i="11"/>
  <c r="V47" i="11"/>
  <c r="T47" i="11"/>
  <c r="R47" i="11"/>
  <c r="P47" i="11"/>
  <c r="N47" i="11"/>
  <c r="L47" i="11"/>
  <c r="J47" i="11"/>
  <c r="H47" i="11"/>
  <c r="D47" i="11"/>
  <c r="X46" i="11"/>
  <c r="V46" i="11"/>
  <c r="T46" i="11"/>
  <c r="R46" i="11"/>
  <c r="P46" i="11"/>
  <c r="N46" i="11"/>
  <c r="L46" i="11"/>
  <c r="J46" i="11"/>
  <c r="H46" i="11"/>
  <c r="F46" i="11"/>
  <c r="D46" i="11"/>
  <c r="X45" i="11"/>
  <c r="V45" i="11"/>
  <c r="T45" i="11"/>
  <c r="R45" i="11"/>
  <c r="P45" i="11"/>
  <c r="N45" i="11"/>
  <c r="L45" i="11"/>
  <c r="J45" i="11"/>
  <c r="F45" i="11"/>
  <c r="D45" i="11"/>
  <c r="X44" i="11"/>
  <c r="V44" i="11"/>
  <c r="T44" i="11"/>
  <c r="R44" i="11"/>
  <c r="P44" i="11"/>
  <c r="N44" i="11"/>
  <c r="L44" i="11"/>
  <c r="J44" i="11"/>
  <c r="H44" i="11"/>
  <c r="F44" i="11"/>
  <c r="D44" i="11"/>
  <c r="X43" i="11"/>
  <c r="V43" i="11"/>
  <c r="T43" i="11"/>
  <c r="R43" i="11"/>
  <c r="P43" i="11"/>
  <c r="N43" i="11"/>
  <c r="L43" i="11"/>
  <c r="J43" i="11"/>
  <c r="H43" i="11"/>
  <c r="F43" i="11"/>
  <c r="D43" i="11"/>
  <c r="X42" i="11"/>
  <c r="V42" i="11"/>
  <c r="T42" i="11"/>
  <c r="R42" i="11"/>
  <c r="P42" i="11"/>
  <c r="N42" i="11"/>
  <c r="L42" i="11"/>
  <c r="J42" i="11"/>
  <c r="H42" i="11"/>
  <c r="F42" i="11"/>
  <c r="D42" i="11"/>
  <c r="N41" i="11"/>
  <c r="L41" i="11"/>
  <c r="J41" i="11"/>
  <c r="H41" i="11"/>
  <c r="F41" i="11"/>
  <c r="D41" i="11"/>
  <c r="N40" i="11"/>
  <c r="L40" i="11"/>
  <c r="J40" i="11"/>
  <c r="H40" i="11"/>
  <c r="F40" i="11"/>
  <c r="D40" i="11"/>
  <c r="N39" i="11"/>
  <c r="L39" i="11"/>
  <c r="J39" i="11"/>
  <c r="H39" i="11"/>
  <c r="F39" i="11"/>
  <c r="D39" i="11"/>
  <c r="X38" i="11"/>
  <c r="T38" i="11"/>
  <c r="R38" i="11"/>
  <c r="P38" i="11"/>
  <c r="N38" i="11"/>
  <c r="L38" i="11"/>
  <c r="J38" i="11"/>
  <c r="H38" i="11"/>
  <c r="F38" i="11"/>
  <c r="D38" i="11"/>
  <c r="AA69" i="10"/>
  <c r="AD69" i="10" s="1"/>
  <c r="Z69" i="10"/>
  <c r="AC69" i="10" s="1"/>
  <c r="Y69" i="10"/>
  <c r="AB69" i="10" s="1"/>
  <c r="AA69" i="8"/>
  <c r="AD69" i="8" s="1"/>
  <c r="Z69" i="8"/>
  <c r="AC69" i="8" s="1"/>
  <c r="X49" i="10"/>
  <c r="X68" i="10"/>
  <c r="V68" i="10"/>
  <c r="T68" i="10"/>
  <c r="R68" i="10"/>
  <c r="P68" i="10"/>
  <c r="N68" i="10"/>
  <c r="L68" i="10"/>
  <c r="J68" i="10"/>
  <c r="H68" i="10"/>
  <c r="F68" i="10"/>
  <c r="D68" i="10"/>
  <c r="X67" i="10"/>
  <c r="V67" i="10"/>
  <c r="T67" i="10"/>
  <c r="R67" i="10"/>
  <c r="P67" i="10"/>
  <c r="N67" i="10"/>
  <c r="L67" i="10"/>
  <c r="J67" i="10"/>
  <c r="H67" i="10"/>
  <c r="F67" i="10"/>
  <c r="D67" i="10"/>
  <c r="X66" i="10"/>
  <c r="V66" i="10"/>
  <c r="T66" i="10"/>
  <c r="R66" i="10"/>
  <c r="P66" i="10"/>
  <c r="N66" i="10"/>
  <c r="L66" i="10"/>
  <c r="J66" i="10"/>
  <c r="H66" i="10"/>
  <c r="F66" i="10"/>
  <c r="D66" i="10"/>
  <c r="X65" i="10"/>
  <c r="V65" i="10"/>
  <c r="T65" i="10"/>
  <c r="R65" i="10"/>
  <c r="P65" i="10"/>
  <c r="N65" i="10"/>
  <c r="J65" i="10"/>
  <c r="H65" i="10"/>
  <c r="F65" i="10"/>
  <c r="D65" i="10"/>
  <c r="X64" i="10"/>
  <c r="V64" i="10"/>
  <c r="T64" i="10"/>
  <c r="R64" i="10"/>
  <c r="P64" i="10"/>
  <c r="N64" i="10"/>
  <c r="L64" i="10"/>
  <c r="J64" i="10"/>
  <c r="H64" i="10"/>
  <c r="F64" i="10"/>
  <c r="D64" i="10"/>
  <c r="X63" i="10"/>
  <c r="V63" i="10"/>
  <c r="T63" i="10"/>
  <c r="R63" i="10"/>
  <c r="P63" i="10"/>
  <c r="N63" i="10"/>
  <c r="L63" i="10"/>
  <c r="J63" i="10"/>
  <c r="H63" i="10"/>
  <c r="F63" i="10"/>
  <c r="D63" i="10"/>
  <c r="X62" i="10"/>
  <c r="V62" i="10"/>
  <c r="T62" i="10"/>
  <c r="R62" i="10"/>
  <c r="P62" i="10"/>
  <c r="N62" i="10"/>
  <c r="L62" i="10"/>
  <c r="J62" i="10"/>
  <c r="H62" i="10"/>
  <c r="F62" i="10"/>
  <c r="D62" i="10"/>
  <c r="X61" i="10"/>
  <c r="V61" i="10"/>
  <c r="T61" i="10"/>
  <c r="R61" i="10"/>
  <c r="P61" i="10"/>
  <c r="N61" i="10"/>
  <c r="L61" i="10"/>
  <c r="J61" i="10"/>
  <c r="H61" i="10"/>
  <c r="F61" i="10"/>
  <c r="D61" i="10"/>
  <c r="X60" i="10"/>
  <c r="V60" i="10"/>
  <c r="T60" i="10"/>
  <c r="R60" i="10"/>
  <c r="P60" i="10"/>
  <c r="N60" i="10"/>
  <c r="L60" i="10"/>
  <c r="J60" i="10"/>
  <c r="H60" i="10"/>
  <c r="F60" i="10"/>
  <c r="D60" i="10"/>
  <c r="X59" i="10"/>
  <c r="V59" i="10"/>
  <c r="T59" i="10"/>
  <c r="R59" i="10"/>
  <c r="P59" i="10"/>
  <c r="N59" i="10"/>
  <c r="L59" i="10"/>
  <c r="J59" i="10"/>
  <c r="H59" i="10"/>
  <c r="F59" i="10"/>
  <c r="D59" i="10"/>
  <c r="X58" i="10"/>
  <c r="V58" i="10"/>
  <c r="T58" i="10"/>
  <c r="R58" i="10"/>
  <c r="P58" i="10"/>
  <c r="N58" i="10"/>
  <c r="L58" i="10"/>
  <c r="J58" i="10"/>
  <c r="H58" i="10"/>
  <c r="F58" i="10"/>
  <c r="D58" i="10"/>
  <c r="X57" i="10"/>
  <c r="V57" i="10"/>
  <c r="T57" i="10"/>
  <c r="R57" i="10"/>
  <c r="P57" i="10"/>
  <c r="N57" i="10"/>
  <c r="L57" i="10"/>
  <c r="J57" i="10"/>
  <c r="H57" i="10"/>
  <c r="F57" i="10"/>
  <c r="D57" i="10"/>
  <c r="X56" i="10"/>
  <c r="V56" i="10"/>
  <c r="T56" i="10"/>
  <c r="R56" i="10"/>
  <c r="P56" i="10"/>
  <c r="N56" i="10"/>
  <c r="L56" i="10"/>
  <c r="J56" i="10"/>
  <c r="H56" i="10"/>
  <c r="F56" i="10"/>
  <c r="D56" i="10"/>
  <c r="X55" i="10"/>
  <c r="V55" i="10"/>
  <c r="T55" i="10"/>
  <c r="R55" i="10"/>
  <c r="P55" i="10"/>
  <c r="N55" i="10"/>
  <c r="L55" i="10"/>
  <c r="J55" i="10"/>
  <c r="H55" i="10"/>
  <c r="F55" i="10"/>
  <c r="D55" i="10"/>
  <c r="X54" i="10"/>
  <c r="V54" i="10"/>
  <c r="T54" i="10"/>
  <c r="R54" i="10"/>
  <c r="P54" i="10"/>
  <c r="N54" i="10"/>
  <c r="L54" i="10"/>
  <c r="J54" i="10"/>
  <c r="H54" i="10"/>
  <c r="F54" i="10"/>
  <c r="D54" i="10"/>
  <c r="X53" i="10"/>
  <c r="V53" i="10"/>
  <c r="T53" i="10"/>
  <c r="R53" i="10"/>
  <c r="P53" i="10"/>
  <c r="N53" i="10"/>
  <c r="L53" i="10"/>
  <c r="J53" i="10"/>
  <c r="H53" i="10"/>
  <c r="F53" i="10"/>
  <c r="D53" i="10"/>
  <c r="X52" i="10"/>
  <c r="V52" i="10"/>
  <c r="T52" i="10"/>
  <c r="R52" i="10"/>
  <c r="P52" i="10"/>
  <c r="N52" i="10"/>
  <c r="L52" i="10"/>
  <c r="J52" i="10"/>
  <c r="H52" i="10"/>
  <c r="F52" i="10"/>
  <c r="D52" i="10"/>
  <c r="X51" i="10"/>
  <c r="V51" i="10"/>
  <c r="T51" i="10"/>
  <c r="R51" i="10"/>
  <c r="P51" i="10"/>
  <c r="N51" i="10"/>
  <c r="L51" i="10"/>
  <c r="J51" i="10"/>
  <c r="H51" i="10"/>
  <c r="F51" i="10"/>
  <c r="D51" i="10"/>
  <c r="X50" i="10"/>
  <c r="V50" i="10"/>
  <c r="T50" i="10"/>
  <c r="R50" i="10"/>
  <c r="P50" i="10"/>
  <c r="N50" i="10"/>
  <c r="L50" i="10"/>
  <c r="J50" i="10"/>
  <c r="H50" i="10"/>
  <c r="F50" i="10"/>
  <c r="D50" i="10"/>
  <c r="V49" i="10"/>
  <c r="T49" i="10"/>
  <c r="R49" i="10"/>
  <c r="P49" i="10"/>
  <c r="N49" i="10"/>
  <c r="L49" i="10"/>
  <c r="J49" i="10"/>
  <c r="H49" i="10"/>
  <c r="F49" i="10"/>
  <c r="D49" i="10"/>
  <c r="X48" i="10"/>
  <c r="V48" i="10"/>
  <c r="T48" i="10"/>
  <c r="R48" i="10"/>
  <c r="P48" i="10"/>
  <c r="N48" i="10"/>
  <c r="L48" i="10"/>
  <c r="J48" i="10"/>
  <c r="H48" i="10"/>
  <c r="F48" i="10"/>
  <c r="D48" i="10"/>
  <c r="X47" i="10"/>
  <c r="V47" i="10"/>
  <c r="T47" i="10"/>
  <c r="R47" i="10"/>
  <c r="P47" i="10"/>
  <c r="N47" i="10"/>
  <c r="L47" i="10"/>
  <c r="J47" i="10"/>
  <c r="H47" i="10"/>
  <c r="F47" i="10"/>
  <c r="D47" i="10"/>
  <c r="X46" i="10"/>
  <c r="V46" i="10"/>
  <c r="T46" i="10"/>
  <c r="R46" i="10"/>
  <c r="P46" i="10"/>
  <c r="N46" i="10"/>
  <c r="L46" i="10"/>
  <c r="J46" i="10"/>
  <c r="H46" i="10"/>
  <c r="F46" i="10"/>
  <c r="D46" i="10"/>
  <c r="X45" i="10"/>
  <c r="V45" i="10"/>
  <c r="T45" i="10"/>
  <c r="R45" i="10"/>
  <c r="P45" i="10"/>
  <c r="N45" i="10"/>
  <c r="L45" i="10"/>
  <c r="J45" i="10"/>
  <c r="H45" i="10"/>
  <c r="F45" i="10"/>
  <c r="D45" i="10"/>
  <c r="X44" i="10"/>
  <c r="V44" i="10"/>
  <c r="T44" i="10"/>
  <c r="R44" i="10"/>
  <c r="P44" i="10"/>
  <c r="N44" i="10"/>
  <c r="L44" i="10"/>
  <c r="J44" i="10"/>
  <c r="H44" i="10"/>
  <c r="F44" i="10"/>
  <c r="D44" i="10"/>
  <c r="X43" i="10"/>
  <c r="V43" i="10"/>
  <c r="T43" i="10"/>
  <c r="R43" i="10"/>
  <c r="P43" i="10"/>
  <c r="N43" i="10"/>
  <c r="L43" i="10"/>
  <c r="J43" i="10"/>
  <c r="H43" i="10"/>
  <c r="F43" i="10"/>
  <c r="D43" i="10"/>
  <c r="X42" i="10"/>
  <c r="V42" i="10"/>
  <c r="T42" i="10"/>
  <c r="R42" i="10"/>
  <c r="P42" i="10"/>
  <c r="N42" i="10"/>
  <c r="L42" i="10"/>
  <c r="J42" i="10"/>
  <c r="H42" i="10"/>
  <c r="F42" i="10"/>
  <c r="D42" i="10"/>
  <c r="X41" i="10"/>
  <c r="V41" i="10"/>
  <c r="T41" i="10"/>
  <c r="R41" i="10"/>
  <c r="P41" i="10"/>
  <c r="N41" i="10"/>
  <c r="L41" i="10"/>
  <c r="J41" i="10"/>
  <c r="H41" i="10"/>
  <c r="F41" i="10"/>
  <c r="D41" i="10"/>
  <c r="X40" i="10"/>
  <c r="V40" i="10"/>
  <c r="T40" i="10"/>
  <c r="R40" i="10"/>
  <c r="P40" i="10"/>
  <c r="N40" i="10"/>
  <c r="L40" i="10"/>
  <c r="J40" i="10"/>
  <c r="H40" i="10"/>
  <c r="F40" i="10"/>
  <c r="D40" i="10"/>
  <c r="X39" i="10"/>
  <c r="V39" i="10"/>
  <c r="T39" i="10"/>
  <c r="R39" i="10"/>
  <c r="P39" i="10"/>
  <c r="N39" i="10"/>
  <c r="L39" i="10"/>
  <c r="J39" i="10"/>
  <c r="H39" i="10"/>
  <c r="F39" i="10"/>
  <c r="D39" i="10"/>
  <c r="X38" i="10"/>
  <c r="V38" i="10"/>
  <c r="T38" i="10"/>
  <c r="R38" i="10"/>
  <c r="P38" i="10"/>
  <c r="N38" i="10"/>
  <c r="L38" i="10"/>
  <c r="J38" i="10"/>
  <c r="H38" i="10"/>
  <c r="F38" i="10"/>
  <c r="D38" i="10"/>
  <c r="Y69" i="8"/>
  <c r="AB69" i="8" s="1"/>
  <c r="X68" i="8"/>
  <c r="V68" i="8"/>
  <c r="X67" i="8"/>
  <c r="V67" i="8"/>
  <c r="X66" i="8"/>
  <c r="V66" i="8"/>
  <c r="X65" i="8"/>
  <c r="V65" i="8"/>
  <c r="X64" i="8"/>
  <c r="V64" i="8"/>
  <c r="X63" i="8"/>
  <c r="V63" i="8"/>
  <c r="X62" i="8"/>
  <c r="V62" i="8"/>
  <c r="X61" i="8"/>
  <c r="V61" i="8"/>
  <c r="X60" i="8"/>
  <c r="V60" i="8"/>
  <c r="X59" i="8"/>
  <c r="V59" i="8"/>
  <c r="X58" i="8"/>
  <c r="V58" i="8"/>
  <c r="X57" i="8"/>
  <c r="V57" i="8"/>
  <c r="X56" i="8"/>
  <c r="V56" i="8"/>
  <c r="X55" i="8"/>
  <c r="V55" i="8"/>
  <c r="X54" i="8"/>
  <c r="V54" i="8"/>
  <c r="X53" i="8"/>
  <c r="V53" i="8"/>
  <c r="X52" i="8"/>
  <c r="V52" i="8"/>
  <c r="X51" i="8"/>
  <c r="V51" i="8"/>
  <c r="X50" i="8"/>
  <c r="V50" i="8"/>
  <c r="X49" i="8"/>
  <c r="V49" i="8"/>
  <c r="X48" i="8"/>
  <c r="V48" i="8"/>
  <c r="X47" i="8"/>
  <c r="V47" i="8"/>
  <c r="X46" i="8"/>
  <c r="V46" i="8"/>
  <c r="X45" i="8"/>
  <c r="V45" i="8"/>
  <c r="X44" i="8"/>
  <c r="V44" i="8"/>
  <c r="X43" i="8"/>
  <c r="V43" i="8"/>
  <c r="X42" i="8"/>
  <c r="V42" i="8"/>
  <c r="X41" i="8"/>
  <c r="V41" i="8"/>
  <c r="X40" i="8"/>
  <c r="V40" i="8"/>
  <c r="X39" i="8"/>
  <c r="V39" i="8"/>
  <c r="X38" i="8"/>
  <c r="V38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T68" i="8"/>
  <c r="R68" i="8"/>
  <c r="P68" i="8"/>
  <c r="N68" i="8"/>
  <c r="L68" i="8"/>
  <c r="J68" i="8"/>
  <c r="H68" i="8"/>
  <c r="F68" i="8"/>
  <c r="T67" i="8"/>
  <c r="R67" i="8"/>
  <c r="P67" i="8"/>
  <c r="N67" i="8"/>
  <c r="L67" i="8"/>
  <c r="J67" i="8"/>
  <c r="H67" i="8"/>
  <c r="F67" i="8"/>
  <c r="T66" i="8"/>
  <c r="R66" i="8"/>
  <c r="P66" i="8"/>
  <c r="N66" i="8"/>
  <c r="L66" i="8"/>
  <c r="J66" i="8"/>
  <c r="H66" i="8"/>
  <c r="F66" i="8"/>
  <c r="T65" i="8"/>
  <c r="R65" i="8"/>
  <c r="P65" i="8"/>
  <c r="N65" i="8"/>
  <c r="L65" i="8"/>
  <c r="J65" i="8"/>
  <c r="H65" i="8"/>
  <c r="F65" i="8"/>
  <c r="T64" i="8"/>
  <c r="R64" i="8"/>
  <c r="P64" i="8"/>
  <c r="N64" i="8"/>
  <c r="L64" i="8"/>
  <c r="J64" i="8"/>
  <c r="H64" i="8"/>
  <c r="F64" i="8"/>
  <c r="T63" i="8"/>
  <c r="R63" i="8"/>
  <c r="P63" i="8"/>
  <c r="N63" i="8"/>
  <c r="L63" i="8"/>
  <c r="J63" i="8"/>
  <c r="H63" i="8"/>
  <c r="F63" i="8"/>
  <c r="T62" i="8"/>
  <c r="R62" i="8"/>
  <c r="P62" i="8"/>
  <c r="N62" i="8"/>
  <c r="L62" i="8"/>
  <c r="J62" i="8"/>
  <c r="H62" i="8"/>
  <c r="F62" i="8"/>
  <c r="T61" i="8"/>
  <c r="R61" i="8"/>
  <c r="P61" i="8"/>
  <c r="N61" i="8"/>
  <c r="L61" i="8"/>
  <c r="J61" i="8"/>
  <c r="H61" i="8"/>
  <c r="F61" i="8"/>
  <c r="T60" i="8"/>
  <c r="R60" i="8"/>
  <c r="P60" i="8"/>
  <c r="N60" i="8"/>
  <c r="L60" i="8"/>
  <c r="J60" i="8"/>
  <c r="H60" i="8"/>
  <c r="F60" i="8"/>
  <c r="T59" i="8"/>
  <c r="R59" i="8"/>
  <c r="P59" i="8"/>
  <c r="N59" i="8"/>
  <c r="L59" i="8"/>
  <c r="J59" i="8"/>
  <c r="H59" i="8"/>
  <c r="F59" i="8"/>
  <c r="T58" i="8"/>
  <c r="P58" i="8"/>
  <c r="N58" i="8"/>
  <c r="L58" i="8"/>
  <c r="J58" i="8"/>
  <c r="H58" i="8"/>
  <c r="F58" i="8"/>
  <c r="T57" i="8"/>
  <c r="R57" i="8"/>
  <c r="P57" i="8"/>
  <c r="N57" i="8"/>
  <c r="L57" i="8"/>
  <c r="J57" i="8"/>
  <c r="H57" i="8"/>
  <c r="F57" i="8"/>
  <c r="T56" i="8"/>
  <c r="R56" i="8"/>
  <c r="P56" i="8"/>
  <c r="N56" i="8"/>
  <c r="L56" i="8"/>
  <c r="J56" i="8"/>
  <c r="H56" i="8"/>
  <c r="F56" i="8"/>
  <c r="T55" i="8"/>
  <c r="R55" i="8"/>
  <c r="P55" i="8"/>
  <c r="N55" i="8"/>
  <c r="L55" i="8"/>
  <c r="J55" i="8"/>
  <c r="H55" i="8"/>
  <c r="F55" i="8"/>
  <c r="T54" i="8"/>
  <c r="R54" i="8"/>
  <c r="P54" i="8"/>
  <c r="N54" i="8"/>
  <c r="L54" i="8"/>
  <c r="J54" i="8"/>
  <c r="H54" i="8"/>
  <c r="F54" i="8"/>
  <c r="T53" i="8"/>
  <c r="R53" i="8"/>
  <c r="P53" i="8"/>
  <c r="N53" i="8"/>
  <c r="L53" i="8"/>
  <c r="J53" i="8"/>
  <c r="H53" i="8"/>
  <c r="F53" i="8"/>
  <c r="T52" i="8"/>
  <c r="R52" i="8"/>
  <c r="P52" i="8"/>
  <c r="N52" i="8"/>
  <c r="L52" i="8"/>
  <c r="J52" i="8"/>
  <c r="H52" i="8"/>
  <c r="F52" i="8"/>
  <c r="T51" i="8"/>
  <c r="P51" i="8"/>
  <c r="N51" i="8"/>
  <c r="L51" i="8"/>
  <c r="J51" i="8"/>
  <c r="H51" i="8"/>
  <c r="F51" i="8"/>
  <c r="T50" i="8"/>
  <c r="P50" i="8"/>
  <c r="N50" i="8"/>
  <c r="L50" i="8"/>
  <c r="J50" i="8"/>
  <c r="H50" i="8"/>
  <c r="F50" i="8"/>
  <c r="T49" i="8"/>
  <c r="P49" i="8"/>
  <c r="N49" i="8"/>
  <c r="L49" i="8"/>
  <c r="J49" i="8"/>
  <c r="H49" i="8"/>
  <c r="F49" i="8"/>
  <c r="T48" i="8"/>
  <c r="P48" i="8"/>
  <c r="N48" i="8"/>
  <c r="L48" i="8"/>
  <c r="J48" i="8"/>
  <c r="H48" i="8"/>
  <c r="F48" i="8"/>
  <c r="T47" i="8"/>
  <c r="P47" i="8"/>
  <c r="N47" i="8"/>
  <c r="L47" i="8"/>
  <c r="J47" i="8"/>
  <c r="H47" i="8"/>
  <c r="F47" i="8"/>
  <c r="T46" i="8"/>
  <c r="P46" i="8"/>
  <c r="N46" i="8"/>
  <c r="L46" i="8"/>
  <c r="J46" i="8"/>
  <c r="H46" i="8"/>
  <c r="F46" i="8"/>
  <c r="T45" i="8"/>
  <c r="P45" i="8"/>
  <c r="N45" i="8"/>
  <c r="L45" i="8"/>
  <c r="J45" i="8"/>
  <c r="H45" i="8"/>
  <c r="F45" i="8"/>
  <c r="T44" i="8"/>
  <c r="P44" i="8"/>
  <c r="N44" i="8"/>
  <c r="L44" i="8"/>
  <c r="J44" i="8"/>
  <c r="H44" i="8"/>
  <c r="F44" i="8"/>
  <c r="T43" i="8"/>
  <c r="P43" i="8"/>
  <c r="N43" i="8"/>
  <c r="L43" i="8"/>
  <c r="J43" i="8"/>
  <c r="H43" i="8"/>
  <c r="F43" i="8"/>
  <c r="T42" i="8"/>
  <c r="P42" i="8"/>
  <c r="N42" i="8"/>
  <c r="L42" i="8"/>
  <c r="J42" i="8"/>
  <c r="H42" i="8"/>
  <c r="F42" i="8"/>
  <c r="T41" i="8"/>
  <c r="P41" i="8"/>
  <c r="N41" i="8"/>
  <c r="L41" i="8"/>
  <c r="J41" i="8"/>
  <c r="H41" i="8"/>
  <c r="F41" i="8"/>
  <c r="T40" i="8"/>
  <c r="P40" i="8"/>
  <c r="N40" i="8"/>
  <c r="L40" i="8"/>
  <c r="J40" i="8"/>
  <c r="H40" i="8"/>
  <c r="F40" i="8"/>
  <c r="T39" i="8"/>
  <c r="P39" i="8"/>
  <c r="N39" i="8"/>
  <c r="L39" i="8"/>
  <c r="J39" i="8"/>
  <c r="H39" i="8"/>
  <c r="F39" i="8"/>
  <c r="T38" i="8"/>
  <c r="R38" i="8"/>
  <c r="P38" i="8"/>
  <c r="N38" i="8"/>
  <c r="L38" i="8"/>
  <c r="J38" i="8"/>
  <c r="H38" i="8"/>
  <c r="F38" i="8"/>
  <c r="Y68" i="6"/>
  <c r="W68" i="6"/>
  <c r="U68" i="6"/>
  <c r="S68" i="6"/>
  <c r="Q68" i="6"/>
  <c r="O68" i="6"/>
  <c r="M68" i="6"/>
  <c r="K68" i="6"/>
  <c r="E68" i="6"/>
  <c r="Y67" i="6"/>
  <c r="Y66" i="6"/>
  <c r="Y65" i="6"/>
  <c r="Y64" i="6"/>
  <c r="Y63" i="6"/>
  <c r="Y62" i="6"/>
  <c r="Y61" i="6"/>
  <c r="Y60" i="6"/>
  <c r="Y59" i="6"/>
  <c r="Y58" i="6"/>
  <c r="Y57" i="6"/>
  <c r="Y56" i="6"/>
  <c r="Y55" i="6"/>
  <c r="Y54" i="6"/>
  <c r="Y53" i="6"/>
  <c r="Y52" i="6"/>
  <c r="Y51" i="6"/>
  <c r="Y50" i="6"/>
  <c r="Y49" i="6"/>
  <c r="Y48" i="6"/>
  <c r="Y47" i="6"/>
  <c r="Y46" i="6"/>
  <c r="Y45" i="6"/>
  <c r="Y44" i="6"/>
  <c r="Y43" i="6"/>
  <c r="Y42" i="6"/>
  <c r="Y41" i="6"/>
  <c r="Y40" i="6"/>
  <c r="Y39" i="6"/>
  <c r="Y38" i="6"/>
  <c r="Q42" i="6"/>
  <c r="Q41" i="6"/>
  <c r="W67" i="6"/>
  <c r="W66" i="6"/>
  <c r="W65" i="6"/>
  <c r="W64" i="6"/>
  <c r="W63" i="6"/>
  <c r="W62" i="6"/>
  <c r="W61" i="6"/>
  <c r="W60" i="6"/>
  <c r="W59" i="6"/>
  <c r="W58" i="6"/>
  <c r="W57" i="6"/>
  <c r="W56" i="6"/>
  <c r="W55" i="6"/>
  <c r="W54" i="6"/>
  <c r="W53" i="6"/>
  <c r="W52" i="6"/>
  <c r="W51" i="6"/>
  <c r="W50" i="6"/>
  <c r="W49" i="6"/>
  <c r="W48" i="6"/>
  <c r="W47" i="6"/>
  <c r="W46" i="6"/>
  <c r="W45" i="6"/>
  <c r="W44" i="6"/>
  <c r="W43" i="6"/>
  <c r="W42" i="6"/>
  <c r="W41" i="6"/>
  <c r="W40" i="6"/>
  <c r="W39" i="6"/>
  <c r="W38" i="6"/>
  <c r="U67" i="6"/>
  <c r="U66" i="6"/>
  <c r="U65" i="6"/>
  <c r="U64" i="6"/>
  <c r="U63" i="6"/>
  <c r="U62" i="6"/>
  <c r="U61" i="6"/>
  <c r="U60" i="6"/>
  <c r="U59" i="6"/>
  <c r="U58" i="6"/>
  <c r="U57" i="6"/>
  <c r="U56" i="6"/>
  <c r="U55" i="6"/>
  <c r="U54" i="6"/>
  <c r="U53" i="6"/>
  <c r="U52" i="6"/>
  <c r="U51" i="6"/>
  <c r="U50" i="6"/>
  <c r="U49" i="6"/>
  <c r="U48" i="6"/>
  <c r="U47" i="6"/>
  <c r="U46" i="6"/>
  <c r="U45" i="6"/>
  <c r="U44" i="6"/>
  <c r="U43" i="6"/>
  <c r="U42" i="6"/>
  <c r="U41" i="6"/>
  <c r="U40" i="6"/>
  <c r="U39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Q67" i="6"/>
  <c r="Q66" i="6"/>
  <c r="Q65" i="6"/>
  <c r="Q64" i="6"/>
  <c r="Q63" i="6"/>
  <c r="Q62" i="6"/>
  <c r="Q61" i="6"/>
  <c r="Q60" i="6"/>
  <c r="Q59" i="6"/>
  <c r="Q58" i="6"/>
  <c r="Q57" i="6"/>
  <c r="Q56" i="6"/>
  <c r="Q55" i="6"/>
  <c r="Q54" i="6"/>
  <c r="Q53" i="6"/>
  <c r="Q52" i="6"/>
  <c r="Q51" i="6"/>
  <c r="Q50" i="6"/>
  <c r="Q49" i="6"/>
  <c r="Q48" i="6"/>
  <c r="Q47" i="6"/>
  <c r="Q46" i="6"/>
  <c r="Q45" i="6"/>
  <c r="Q44" i="6"/>
  <c r="Q43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E64" i="6"/>
  <c r="K64" i="6"/>
  <c r="E57" i="6"/>
  <c r="K57" i="6"/>
  <c r="E50" i="6"/>
  <c r="K50" i="6"/>
  <c r="K43" i="6"/>
  <c r="K67" i="6"/>
  <c r="K66" i="6"/>
  <c r="K65" i="6"/>
  <c r="K63" i="6"/>
  <c r="K62" i="6"/>
  <c r="K61" i="6"/>
  <c r="K60" i="6"/>
  <c r="K59" i="6"/>
  <c r="K58" i="6"/>
  <c r="K56" i="6"/>
  <c r="K55" i="6"/>
  <c r="K54" i="6"/>
  <c r="K53" i="6"/>
  <c r="K52" i="6"/>
  <c r="K51" i="6"/>
  <c r="K49" i="6"/>
  <c r="K48" i="6"/>
  <c r="K47" i="6"/>
  <c r="K46" i="6"/>
  <c r="K45" i="6"/>
  <c r="K44" i="6"/>
  <c r="K42" i="6"/>
  <c r="K41" i="6"/>
  <c r="K40" i="6"/>
  <c r="K39" i="6"/>
  <c r="K38" i="6"/>
  <c r="E47" i="6"/>
  <c r="E48" i="6"/>
  <c r="E49" i="6"/>
  <c r="E51" i="6"/>
  <c r="E52" i="6"/>
  <c r="E53" i="6"/>
  <c r="E54" i="6"/>
  <c r="E55" i="6"/>
  <c r="E56" i="6"/>
  <c r="E58" i="6"/>
  <c r="E59" i="6"/>
  <c r="E60" i="6"/>
  <c r="E61" i="6"/>
  <c r="E62" i="6"/>
  <c r="E63" i="6"/>
  <c r="E65" i="6"/>
  <c r="E66" i="6"/>
  <c r="E67" i="6"/>
  <c r="E46" i="6"/>
  <c r="V70" i="10" l="1"/>
  <c r="J15" i="18" s="1"/>
  <c r="T9" i="18"/>
  <c r="T7" i="18"/>
  <c r="T6" i="18"/>
  <c r="T28" i="18"/>
  <c r="U70" i="12"/>
  <c r="T5" i="18"/>
  <c r="T8" i="18"/>
  <c r="N70" i="10"/>
  <c r="I13" i="18" s="1"/>
  <c r="F70" i="10"/>
  <c r="J70" i="8"/>
  <c r="D15" i="18" s="1"/>
  <c r="V70" i="8"/>
  <c r="E13" i="18" s="1"/>
  <c r="O70" i="12"/>
  <c r="V14" i="18" s="1"/>
  <c r="X14" i="18" s="1"/>
  <c r="O70" i="6"/>
  <c r="W70" i="6"/>
  <c r="Y70" i="6"/>
  <c r="AE70" i="6"/>
  <c r="D70" i="11"/>
  <c r="L70" i="11"/>
  <c r="N14" i="18" s="1"/>
  <c r="P14" i="18" s="1"/>
  <c r="T70" i="11"/>
  <c r="I70" i="6"/>
  <c r="E70" i="6"/>
  <c r="X70" i="8"/>
  <c r="E17" i="18" s="1"/>
  <c r="H70" i="10"/>
  <c r="I16" i="18" s="1"/>
  <c r="P70" i="10"/>
  <c r="I17" i="18" s="1"/>
  <c r="X70" i="10"/>
  <c r="J13" i="18" s="1"/>
  <c r="Y41" i="10"/>
  <c r="AB41" i="10" s="1"/>
  <c r="F70" i="11"/>
  <c r="N70" i="11"/>
  <c r="N15" i="18" s="1"/>
  <c r="X70" i="11"/>
  <c r="V70" i="11"/>
  <c r="O16" i="18" s="1"/>
  <c r="AC70" i="12"/>
  <c r="W18" i="18" s="1"/>
  <c r="X18" i="18" s="1"/>
  <c r="E70" i="12"/>
  <c r="G70" i="6"/>
  <c r="AC70" i="6"/>
  <c r="W70" i="12"/>
  <c r="K70" i="6"/>
  <c r="Q70" i="6"/>
  <c r="J70" i="10"/>
  <c r="I14" i="18" s="1"/>
  <c r="K14" i="18" s="1"/>
  <c r="P70" i="11"/>
  <c r="N13" i="18" s="1"/>
  <c r="AA70" i="6"/>
  <c r="AI70" i="6"/>
  <c r="S70" i="6"/>
  <c r="F70" i="8"/>
  <c r="D16" i="18" s="1"/>
  <c r="R70" i="10"/>
  <c r="H70" i="11"/>
  <c r="Q70" i="12"/>
  <c r="V13" i="18" s="1"/>
  <c r="AE70" i="12"/>
  <c r="W19" i="18" s="1"/>
  <c r="X19" i="18" s="1"/>
  <c r="M70" i="6"/>
  <c r="U70" i="6"/>
  <c r="D70" i="10"/>
  <c r="L70" i="10"/>
  <c r="I15" i="18" s="1"/>
  <c r="T70" i="10"/>
  <c r="J16" i="18" s="1"/>
  <c r="J70" i="11"/>
  <c r="N16" i="18" s="1"/>
  <c r="R70" i="11"/>
  <c r="N17" i="18" s="1"/>
  <c r="AG70" i="6"/>
  <c r="L70" i="8"/>
  <c r="D13" i="18" s="1"/>
  <c r="D70" i="8"/>
  <c r="N70" i="8"/>
  <c r="D17" i="18" s="1"/>
  <c r="F17" i="18" s="1"/>
  <c r="P70" i="8"/>
  <c r="T70" i="8"/>
  <c r="E15" i="18" s="1"/>
  <c r="R70" i="8"/>
  <c r="E16" i="18" s="1"/>
  <c r="H70" i="8"/>
  <c r="D14" i="18" s="1"/>
  <c r="F14" i="18" s="1"/>
  <c r="AN68" i="12"/>
  <c r="AQ68" i="12" s="1"/>
  <c r="AN64" i="12"/>
  <c r="AQ64" i="12" s="1"/>
  <c r="AN47" i="12"/>
  <c r="AQ47" i="12" s="1"/>
  <c r="AN39" i="12"/>
  <c r="AQ39" i="12" s="1"/>
  <c r="AN46" i="12"/>
  <c r="AQ46" i="12" s="1"/>
  <c r="AN40" i="12"/>
  <c r="AQ40" i="12" s="1"/>
  <c r="AN65" i="12"/>
  <c r="AQ65" i="12" s="1"/>
  <c r="AN61" i="12"/>
  <c r="AQ61" i="12" s="1"/>
  <c r="AN49" i="12"/>
  <c r="AQ49" i="12" s="1"/>
  <c r="AN45" i="12"/>
  <c r="AQ45" i="12" s="1"/>
  <c r="AN41" i="12"/>
  <c r="AQ41" i="12" s="1"/>
  <c r="AN38" i="12"/>
  <c r="AQ38" i="12" s="1"/>
  <c r="AN62" i="12"/>
  <c r="AQ62" i="12" s="1"/>
  <c r="AN66" i="12"/>
  <c r="AQ66" i="12" s="1"/>
  <c r="AN43" i="12"/>
  <c r="AQ43" i="12" s="1"/>
  <c r="AN63" i="12"/>
  <c r="AQ63" i="12" s="1"/>
  <c r="AN67" i="12"/>
  <c r="AQ67" i="12" s="1"/>
  <c r="AN48" i="12"/>
  <c r="AQ48" i="12" s="1"/>
  <c r="AO41" i="12"/>
  <c r="AR41" i="12" s="1"/>
  <c r="AN57" i="12"/>
  <c r="AQ57" i="12" s="1"/>
  <c r="AP65" i="12"/>
  <c r="AS65" i="12" s="1"/>
  <c r="AO38" i="12"/>
  <c r="AR38" i="12" s="1"/>
  <c r="AM70" i="12"/>
  <c r="AM102" i="12" s="1"/>
  <c r="AO46" i="12"/>
  <c r="AR46" i="12" s="1"/>
  <c r="AP47" i="12"/>
  <c r="AS47" i="12" s="1"/>
  <c r="AN44" i="12"/>
  <c r="AQ44" i="12" s="1"/>
  <c r="AP62" i="12"/>
  <c r="AS62" i="12" s="1"/>
  <c r="AO47" i="12"/>
  <c r="AR47" i="12" s="1"/>
  <c r="AO40" i="12"/>
  <c r="AR40" i="12" s="1"/>
  <c r="AO39" i="12"/>
  <c r="AR39" i="12" s="1"/>
  <c r="AO48" i="12"/>
  <c r="AR48" i="12" s="1"/>
  <c r="AO62" i="12"/>
  <c r="AR62" i="12" s="1"/>
  <c r="AN55" i="12"/>
  <c r="AQ55" i="12" s="1"/>
  <c r="AO44" i="12"/>
  <c r="AR44" i="12" s="1"/>
  <c r="AO68" i="12"/>
  <c r="AR68" i="12" s="1"/>
  <c r="AA70" i="12"/>
  <c r="AP48" i="12"/>
  <c r="AS48" i="12" s="1"/>
  <c r="AO63" i="12"/>
  <c r="AR63" i="12" s="1"/>
  <c r="AO51" i="12"/>
  <c r="AR51" i="12" s="1"/>
  <c r="AN42" i="12"/>
  <c r="AQ42" i="12" s="1"/>
  <c r="AK70" i="12"/>
  <c r="AK102" i="12" s="1"/>
  <c r="AP64" i="12"/>
  <c r="AS64" i="12" s="1"/>
  <c r="AO45" i="12"/>
  <c r="AR45" i="12" s="1"/>
  <c r="Z63" i="10"/>
  <c r="AC63" i="10" s="1"/>
  <c r="AO60" i="12"/>
  <c r="AR60" i="12" s="1"/>
  <c r="AP60" i="12"/>
  <c r="AS60" i="12" s="1"/>
  <c r="AN60" i="12"/>
  <c r="AQ60" i="12" s="1"/>
  <c r="AN59" i="12"/>
  <c r="AQ59" i="12" s="1"/>
  <c r="AO59" i="12"/>
  <c r="AR59" i="12" s="1"/>
  <c r="AN58" i="12"/>
  <c r="AQ58" i="12" s="1"/>
  <c r="AP59" i="12"/>
  <c r="AS59" i="12" s="1"/>
  <c r="AO50" i="12"/>
  <c r="AR50" i="12" s="1"/>
  <c r="AN50" i="12"/>
  <c r="AQ50" i="12" s="1"/>
  <c r="AP50" i="12"/>
  <c r="AS50" i="12" s="1"/>
  <c r="AN53" i="12"/>
  <c r="AQ53" i="12" s="1"/>
  <c r="AN54" i="12"/>
  <c r="AQ54" i="12" s="1"/>
  <c r="Z51" i="10"/>
  <c r="AC51" i="10" s="1"/>
  <c r="AP58" i="12"/>
  <c r="AS58" i="12" s="1"/>
  <c r="AO52" i="12"/>
  <c r="AR52" i="12" s="1"/>
  <c r="AO53" i="12"/>
  <c r="AR53" i="12" s="1"/>
  <c r="AN56" i="12"/>
  <c r="AQ56" i="12" s="1"/>
  <c r="AN51" i="12"/>
  <c r="AQ51" i="12" s="1"/>
  <c r="AN52" i="12"/>
  <c r="AQ52" i="12" s="1"/>
  <c r="AO57" i="12"/>
  <c r="AR57" i="12" s="1"/>
  <c r="AP43" i="12"/>
  <c r="AS43" i="12" s="1"/>
  <c r="AP55" i="12"/>
  <c r="AS55" i="12" s="1"/>
  <c r="AP67" i="12"/>
  <c r="AS67" i="12" s="1"/>
  <c r="AP42" i="12"/>
  <c r="AS42" i="12" s="1"/>
  <c r="AP54" i="12"/>
  <c r="AS54" i="12" s="1"/>
  <c r="AP66" i="12"/>
  <c r="AS66" i="12" s="1"/>
  <c r="AO56" i="12"/>
  <c r="AR56" i="12" s="1"/>
  <c r="AO58" i="12"/>
  <c r="AR58" i="12" s="1"/>
  <c r="AP46" i="12"/>
  <c r="AS46" i="12" s="1"/>
  <c r="AP41" i="12"/>
  <c r="AS41" i="12" s="1"/>
  <c r="AO65" i="12"/>
  <c r="AR65" i="12" s="1"/>
  <c r="AO54" i="12"/>
  <c r="AR54" i="12" s="1"/>
  <c r="AO66" i="12"/>
  <c r="AR66" i="12" s="1"/>
  <c r="AO64" i="12"/>
  <c r="AR64" i="12" s="1"/>
  <c r="AO49" i="12"/>
  <c r="AR49" i="12" s="1"/>
  <c r="AO61" i="12"/>
  <c r="AR61" i="12" s="1"/>
  <c r="AP53" i="12"/>
  <c r="AS53" i="12" s="1"/>
  <c r="AO42" i="12"/>
  <c r="AR42" i="12" s="1"/>
  <c r="AP44" i="12"/>
  <c r="AS44" i="12" s="1"/>
  <c r="AP52" i="12"/>
  <c r="AS52" i="12" s="1"/>
  <c r="AP56" i="12"/>
  <c r="AS56" i="12" s="1"/>
  <c r="AP68" i="12"/>
  <c r="AS68" i="12" s="1"/>
  <c r="AI70" i="12"/>
  <c r="AI102" i="12" s="1"/>
  <c r="AP45" i="12"/>
  <c r="AS45" i="12" s="1"/>
  <c r="AP57" i="12"/>
  <c r="AS57" i="12" s="1"/>
  <c r="AP38" i="12"/>
  <c r="AS38" i="12" s="1"/>
  <c r="AO67" i="12"/>
  <c r="AR67" i="12" s="1"/>
  <c r="AO55" i="12"/>
  <c r="AR55" i="12" s="1"/>
  <c r="AO43" i="12"/>
  <c r="AR43" i="12" s="1"/>
  <c r="AP40" i="12"/>
  <c r="AS40" i="12" s="1"/>
  <c r="AG70" i="12"/>
  <c r="AG102" i="12" s="1"/>
  <c r="AP63" i="12"/>
  <c r="AS63" i="12" s="1"/>
  <c r="AP51" i="12"/>
  <c r="AS51" i="12" s="1"/>
  <c r="AP39" i="12"/>
  <c r="AS39" i="12" s="1"/>
  <c r="AP61" i="12"/>
  <c r="AS61" i="12" s="1"/>
  <c r="AP49" i="12"/>
  <c r="AS49" i="12" s="1"/>
  <c r="AJ38" i="6"/>
  <c r="AK38" i="6" s="1"/>
  <c r="AJ50" i="6"/>
  <c r="AK50" i="6" s="1"/>
  <c r="AJ62" i="6"/>
  <c r="AK62" i="6" s="1"/>
  <c r="AJ39" i="6"/>
  <c r="AK39" i="6" s="1"/>
  <c r="AJ51" i="6"/>
  <c r="AK51" i="6" s="1"/>
  <c r="AJ63" i="6"/>
  <c r="AK63" i="6" s="1"/>
  <c r="AJ40" i="6"/>
  <c r="AK40" i="6" s="1"/>
  <c r="AJ52" i="6"/>
  <c r="AK52" i="6" s="1"/>
  <c r="AJ64" i="6"/>
  <c r="AK64" i="6" s="1"/>
  <c r="AJ54" i="6"/>
  <c r="AK54" i="6" s="1"/>
  <c r="AJ49" i="6"/>
  <c r="AK49" i="6" s="1"/>
  <c r="AJ61" i="6"/>
  <c r="AK61" i="6" s="1"/>
  <c r="AJ43" i="6"/>
  <c r="AK43" i="6" s="1"/>
  <c r="AJ55" i="6"/>
  <c r="AK55" i="6" s="1"/>
  <c r="AJ67" i="6"/>
  <c r="AK67" i="6" s="1"/>
  <c r="AJ41" i="6"/>
  <c r="AK41" i="6" s="1"/>
  <c r="AJ44" i="6"/>
  <c r="AK44" i="6" s="1"/>
  <c r="AJ56" i="6"/>
  <c r="AK56" i="6" s="1"/>
  <c r="AJ68" i="6"/>
  <c r="AK68" i="6" s="1"/>
  <c r="AJ48" i="6"/>
  <c r="AK48" i="6" s="1"/>
  <c r="AJ60" i="6"/>
  <c r="AK60" i="6" s="1"/>
  <c r="AJ42" i="6"/>
  <c r="AK42" i="6" s="1"/>
  <c r="AJ47" i="6"/>
  <c r="AK47" i="6" s="1"/>
  <c r="AJ59" i="6"/>
  <c r="AK59" i="6" s="1"/>
  <c r="AJ45" i="6"/>
  <c r="AK45" i="6" s="1"/>
  <c r="AJ57" i="6"/>
  <c r="AK57" i="6" s="1"/>
  <c r="AJ46" i="6"/>
  <c r="AK46" i="6" s="1"/>
  <c r="AJ58" i="6"/>
  <c r="AK58" i="6" s="1"/>
  <c r="AJ53" i="6"/>
  <c r="AK53" i="6" s="1"/>
  <c r="AJ65" i="6"/>
  <c r="AK65" i="6" s="1"/>
  <c r="AJ66" i="6"/>
  <c r="AK66" i="6" s="1"/>
  <c r="Y70" i="12"/>
  <c r="M70" i="12"/>
  <c r="K70" i="12"/>
  <c r="I70" i="12"/>
  <c r="G70" i="12"/>
  <c r="AA46" i="10"/>
  <c r="AD46" i="10" s="1"/>
  <c r="Z40" i="10"/>
  <c r="AC40" i="10" s="1"/>
  <c r="Z58" i="10"/>
  <c r="AC58" i="10" s="1"/>
  <c r="Z61" i="10"/>
  <c r="AC61" i="10" s="1"/>
  <c r="Z39" i="10"/>
  <c r="AC39" i="10" s="1"/>
  <c r="Z50" i="10"/>
  <c r="AC50" i="10" s="1"/>
  <c r="Z62" i="10"/>
  <c r="AC62" i="10" s="1"/>
  <c r="Z52" i="10"/>
  <c r="AC52" i="10" s="1"/>
  <c r="Z49" i="10"/>
  <c r="AC49" i="10" s="1"/>
  <c r="AA45" i="10"/>
  <c r="AD45" i="10" s="1"/>
  <c r="Y56" i="10"/>
  <c r="AB56" i="10" s="1"/>
  <c r="Y60" i="10"/>
  <c r="AB60" i="10" s="1"/>
  <c r="Y68" i="10"/>
  <c r="AB68" i="10" s="1"/>
  <c r="Y48" i="10"/>
  <c r="AB48" i="10" s="1"/>
  <c r="Y55" i="10"/>
  <c r="AB55" i="10" s="1"/>
  <c r="Y67" i="10"/>
  <c r="AB67" i="10" s="1"/>
  <c r="Y47" i="10"/>
  <c r="AB47" i="10" s="1"/>
  <c r="AA58" i="10"/>
  <c r="AD58" i="10" s="1"/>
  <c r="Y53" i="10"/>
  <c r="AB53" i="10" s="1"/>
  <c r="Z66" i="8"/>
  <c r="AC66" i="8" s="1"/>
  <c r="Z58" i="8"/>
  <c r="AC58" i="8" s="1"/>
  <c r="Z43" i="8"/>
  <c r="AC43" i="8" s="1"/>
  <c r="Z45" i="8"/>
  <c r="AC45" i="8" s="1"/>
  <c r="AA39" i="8"/>
  <c r="AD39" i="8" s="1"/>
  <c r="Y44" i="8"/>
  <c r="AB44" i="8" s="1"/>
  <c r="Y45" i="8"/>
  <c r="AB45" i="8" s="1"/>
  <c r="Y47" i="8"/>
  <c r="AB47" i="8" s="1"/>
  <c r="Y48" i="8"/>
  <c r="AB48" i="8" s="1"/>
  <c r="Y50" i="8"/>
  <c r="AB50" i="8" s="1"/>
  <c r="Y51" i="8"/>
  <c r="AB51" i="8" s="1"/>
  <c r="AA54" i="8"/>
  <c r="AD54" i="8" s="1"/>
  <c r="Y60" i="8"/>
  <c r="AB60" i="8" s="1"/>
  <c r="Y62" i="8"/>
  <c r="AB62" i="8" s="1"/>
  <c r="AA66" i="8"/>
  <c r="AD66" i="8" s="1"/>
  <c r="S70" i="12"/>
  <c r="AA52" i="8"/>
  <c r="AD52" i="8" s="1"/>
  <c r="Y55" i="8"/>
  <c r="AB55" i="8" s="1"/>
  <c r="Y67" i="8"/>
  <c r="AB67" i="8" s="1"/>
  <c r="Z42" i="8"/>
  <c r="AC42" i="8" s="1"/>
  <c r="Z38" i="10"/>
  <c r="AC38" i="10" s="1"/>
  <c r="Z41" i="10"/>
  <c r="AC41" i="10" s="1"/>
  <c r="Z64" i="10"/>
  <c r="AC64" i="10" s="1"/>
  <c r="Y65" i="10"/>
  <c r="AB65" i="10" s="1"/>
  <c r="AA57" i="10"/>
  <c r="AD57" i="10" s="1"/>
  <c r="Y43" i="10"/>
  <c r="AB43" i="10" s="1"/>
  <c r="Y42" i="10"/>
  <c r="AB42" i="10" s="1"/>
  <c r="Z57" i="8"/>
  <c r="AC57" i="8" s="1"/>
  <c r="Y56" i="8"/>
  <c r="AB56" i="8" s="1"/>
  <c r="Y57" i="8"/>
  <c r="AB57" i="8" s="1"/>
  <c r="Y63" i="8"/>
  <c r="AB63" i="8" s="1"/>
  <c r="Y64" i="8"/>
  <c r="AB64" i="8" s="1"/>
  <c r="AA49" i="8"/>
  <c r="AD49" i="8" s="1"/>
  <c r="AA42" i="8"/>
  <c r="AD42" i="8" s="1"/>
  <c r="Y38" i="8"/>
  <c r="AB38" i="8" s="1"/>
  <c r="Y45" i="10"/>
  <c r="AB45" i="10" s="1"/>
  <c r="Y46" i="10"/>
  <c r="AB46" i="10" s="1"/>
  <c r="AA53" i="10"/>
  <c r="AD53" i="10" s="1"/>
  <c r="Z59" i="10"/>
  <c r="AC59" i="10" s="1"/>
  <c r="AA65" i="10"/>
  <c r="AD65" i="10" s="1"/>
  <c r="AA42" i="10"/>
  <c r="AD42" i="10" s="1"/>
  <c r="AA41" i="10"/>
  <c r="AD41" i="10" s="1"/>
  <c r="Z47" i="10"/>
  <c r="AC47" i="10" s="1"/>
  <c r="AA44" i="10"/>
  <c r="AD44" i="10" s="1"/>
  <c r="Z46" i="10"/>
  <c r="AC46" i="10" s="1"/>
  <c r="AA52" i="10"/>
  <c r="AD52" i="10" s="1"/>
  <c r="Y54" i="10"/>
  <c r="AB54" i="10" s="1"/>
  <c r="Z57" i="10"/>
  <c r="AC57" i="10" s="1"/>
  <c r="AA59" i="10"/>
  <c r="AD59" i="10" s="1"/>
  <c r="AA64" i="10"/>
  <c r="AD64" i="10" s="1"/>
  <c r="Y66" i="10"/>
  <c r="AB66" i="10" s="1"/>
  <c r="AA67" i="10"/>
  <c r="AD67" i="10" s="1"/>
  <c r="AA54" i="10"/>
  <c r="AD54" i="10" s="1"/>
  <c r="AA66" i="10"/>
  <c r="AD66" i="10" s="1"/>
  <c r="AA47" i="10"/>
  <c r="AD47" i="10" s="1"/>
  <c r="Z60" i="10"/>
  <c r="AC60" i="10" s="1"/>
  <c r="Y39" i="10"/>
  <c r="AB39" i="10" s="1"/>
  <c r="Z45" i="10"/>
  <c r="AC45" i="10" s="1"/>
  <c r="Y50" i="10"/>
  <c r="AB50" i="10" s="1"/>
  <c r="AA56" i="10"/>
  <c r="AD56" i="10" s="1"/>
  <c r="Y62" i="10"/>
  <c r="AB62" i="10" s="1"/>
  <c r="Z68" i="10"/>
  <c r="AC68" i="10" s="1"/>
  <c r="Y57" i="10"/>
  <c r="AB57" i="10" s="1"/>
  <c r="AA40" i="10"/>
  <c r="AD40" i="10" s="1"/>
  <c r="AA43" i="10"/>
  <c r="AD43" i="10" s="1"/>
  <c r="AA48" i="10"/>
  <c r="AD48" i="10" s="1"/>
  <c r="Y51" i="10"/>
  <c r="AB51" i="10" s="1"/>
  <c r="AA55" i="10"/>
  <c r="AD55" i="10" s="1"/>
  <c r="Y63" i="10"/>
  <c r="AB63" i="10" s="1"/>
  <c r="AA38" i="10"/>
  <c r="AD38" i="10" s="1"/>
  <c r="Z44" i="10"/>
  <c r="AC44" i="10" s="1"/>
  <c r="Z55" i="10"/>
  <c r="AC55" i="10" s="1"/>
  <c r="AA61" i="10"/>
  <c r="AD61" i="10" s="1"/>
  <c r="Z67" i="10"/>
  <c r="AC67" i="10" s="1"/>
  <c r="Z43" i="10"/>
  <c r="AC43" i="10" s="1"/>
  <c r="AA49" i="10"/>
  <c r="AD49" i="10" s="1"/>
  <c r="Z54" i="10"/>
  <c r="AC54" i="10" s="1"/>
  <c r="AA60" i="10"/>
  <c r="AD60" i="10" s="1"/>
  <c r="Z66" i="10"/>
  <c r="AC66" i="10" s="1"/>
  <c r="Y58" i="10"/>
  <c r="AB58" i="10" s="1"/>
  <c r="Z42" i="10"/>
  <c r="AC42" i="10" s="1"/>
  <c r="Z53" i="10"/>
  <c r="AC53" i="10" s="1"/>
  <c r="Y59" i="10"/>
  <c r="AB59" i="10" s="1"/>
  <c r="Z65" i="10"/>
  <c r="AC65" i="10" s="1"/>
  <c r="Z39" i="11"/>
  <c r="AC39" i="11" s="1"/>
  <c r="Y59" i="11"/>
  <c r="AB59" i="11" s="1"/>
  <c r="Y41" i="11"/>
  <c r="AB41" i="11" s="1"/>
  <c r="Y64" i="11"/>
  <c r="AB64" i="11" s="1"/>
  <c r="Y65" i="11"/>
  <c r="AB65" i="11" s="1"/>
  <c r="Z58" i="11"/>
  <c r="AC58" i="11" s="1"/>
  <c r="Y58" i="11"/>
  <c r="AB58" i="11" s="1"/>
  <c r="Z40" i="11"/>
  <c r="AC40" i="11" s="1"/>
  <c r="Z46" i="11"/>
  <c r="AC46" i="11" s="1"/>
  <c r="Y40" i="11"/>
  <c r="AB40" i="11" s="1"/>
  <c r="AA66" i="11"/>
  <c r="AD66" i="11" s="1"/>
  <c r="Z60" i="11"/>
  <c r="AC60" i="11" s="1"/>
  <c r="AA65" i="11"/>
  <c r="AD65" i="11" s="1"/>
  <c r="Y49" i="10"/>
  <c r="AB49" i="10" s="1"/>
  <c r="Y61" i="10"/>
  <c r="AB61" i="10" s="1"/>
  <c r="AA63" i="10"/>
  <c r="AD63" i="10" s="1"/>
  <c r="AA39" i="10"/>
  <c r="AD39" i="10" s="1"/>
  <c r="Y52" i="10"/>
  <c r="AB52" i="10" s="1"/>
  <c r="Y40" i="10"/>
  <c r="AB40" i="10" s="1"/>
  <c r="Z48" i="10"/>
  <c r="AC48" i="10" s="1"/>
  <c r="AA68" i="10"/>
  <c r="AD68" i="10" s="1"/>
  <c r="AA51" i="10"/>
  <c r="AD51" i="10" s="1"/>
  <c r="Y44" i="10"/>
  <c r="AB44" i="10" s="1"/>
  <c r="Y64" i="10"/>
  <c r="AB64" i="10" s="1"/>
  <c r="Z56" i="10"/>
  <c r="AC56" i="10" s="1"/>
  <c r="Y38" i="10"/>
  <c r="AB38" i="10" s="1"/>
  <c r="AA50" i="10"/>
  <c r="AD50" i="10" s="1"/>
  <c r="AA62" i="10"/>
  <c r="AD62" i="10" s="1"/>
  <c r="AA59" i="8"/>
  <c r="AD59" i="8" s="1"/>
  <c r="Y65" i="8"/>
  <c r="AB65" i="8" s="1"/>
  <c r="AA53" i="8"/>
  <c r="AD53" i="8" s="1"/>
  <c r="Y68" i="8"/>
  <c r="AB68" i="8" s="1"/>
  <c r="Z39" i="8"/>
  <c r="AC39" i="8" s="1"/>
  <c r="Z48" i="8"/>
  <c r="AC48" i="8" s="1"/>
  <c r="Z51" i="8"/>
  <c r="AC51" i="8" s="1"/>
  <c r="Z54" i="8"/>
  <c r="AC54" i="8" s="1"/>
  <c r="Z60" i="8"/>
  <c r="AC60" i="8" s="1"/>
  <c r="Z63" i="8"/>
  <c r="AC63" i="8" s="1"/>
  <c r="Z40" i="8"/>
  <c r="AC40" i="8" s="1"/>
  <c r="Z64" i="8"/>
  <c r="AC64" i="8" s="1"/>
  <c r="Z49" i="8"/>
  <c r="AC49" i="8" s="1"/>
  <c r="Z55" i="8"/>
  <c r="AC55" i="8" s="1"/>
  <c r="Z61" i="8"/>
  <c r="AC61" i="8" s="1"/>
  <c r="Z67" i="8"/>
  <c r="AC67" i="8" s="1"/>
  <c r="AA41" i="8"/>
  <c r="AD41" i="8" s="1"/>
  <c r="AA40" i="8"/>
  <c r="AD40" i="8" s="1"/>
  <c r="AA44" i="8"/>
  <c r="AD44" i="8" s="1"/>
  <c r="AA55" i="8"/>
  <c r="AD55" i="8" s="1"/>
  <c r="Y59" i="8"/>
  <c r="AB59" i="8" s="1"/>
  <c r="AA64" i="8"/>
  <c r="AD64" i="8" s="1"/>
  <c r="Z44" i="8"/>
  <c r="AC44" i="8" s="1"/>
  <c r="AA62" i="8"/>
  <c r="AD62" i="8" s="1"/>
  <c r="Y53" i="8"/>
  <c r="AB53" i="8" s="1"/>
  <c r="Z46" i="8"/>
  <c r="AC46" i="8" s="1"/>
  <c r="Z52" i="8"/>
  <c r="AC52" i="8" s="1"/>
  <c r="AA38" i="8"/>
  <c r="AD38" i="8" s="1"/>
  <c r="Y43" i="8"/>
  <c r="AB43" i="8" s="1"/>
  <c r="Y49" i="8"/>
  <c r="AB49" i="8" s="1"/>
  <c r="Y58" i="8"/>
  <c r="AB58" i="8" s="1"/>
  <c r="AA67" i="8"/>
  <c r="AD67" i="8" s="1"/>
  <c r="Z62" i="8"/>
  <c r="AC62" i="8" s="1"/>
  <c r="Z38" i="8"/>
  <c r="AC38" i="8" s="1"/>
  <c r="Z47" i="8"/>
  <c r="AC47" i="8" s="1"/>
  <c r="Z53" i="8"/>
  <c r="AC53" i="8" s="1"/>
  <c r="Z56" i="8"/>
  <c r="AC56" i="8" s="1"/>
  <c r="Z65" i="8"/>
  <c r="AC65" i="8" s="1"/>
  <c r="Z68" i="8"/>
  <c r="AC68" i="8" s="1"/>
  <c r="AA65" i="8"/>
  <c r="AD65" i="8" s="1"/>
  <c r="Y41" i="8"/>
  <c r="AB41" i="8" s="1"/>
  <c r="Y46" i="8"/>
  <c r="AB46" i="8" s="1"/>
  <c r="Y52" i="8"/>
  <c r="AB52" i="8" s="1"/>
  <c r="Y61" i="8"/>
  <c r="AB61" i="8" s="1"/>
  <c r="Z41" i="8"/>
  <c r="AC41" i="8" s="1"/>
  <c r="Z50" i="8"/>
  <c r="AC50" i="8" s="1"/>
  <c r="Z59" i="8"/>
  <c r="AC59" i="8" s="1"/>
  <c r="Y66" i="8"/>
  <c r="AB66" i="8" s="1"/>
  <c r="Y54" i="8"/>
  <c r="AB54" i="8" s="1"/>
  <c r="AA51" i="8"/>
  <c r="AD51" i="8" s="1"/>
  <c r="Y40" i="8"/>
  <c r="AB40" i="8" s="1"/>
  <c r="AA63" i="8"/>
  <c r="AD63" i="8" s="1"/>
  <c r="AA50" i="8"/>
  <c r="AD50" i="8" s="1"/>
  <c r="AA43" i="8"/>
  <c r="AD43" i="8" s="1"/>
  <c r="AA61" i="8"/>
  <c r="AD61" i="8" s="1"/>
  <c r="AA48" i="8"/>
  <c r="AD48" i="8" s="1"/>
  <c r="AA60" i="8"/>
  <c r="AD60" i="8" s="1"/>
  <c r="AA47" i="8"/>
  <c r="AD47" i="8" s="1"/>
  <c r="Y39" i="8"/>
  <c r="AB39" i="8" s="1"/>
  <c r="AA46" i="8"/>
  <c r="AD46" i="8" s="1"/>
  <c r="AA58" i="8"/>
  <c r="AD58" i="8" s="1"/>
  <c r="AA45" i="8"/>
  <c r="AD45" i="8" s="1"/>
  <c r="AA57" i="8"/>
  <c r="AD57" i="8" s="1"/>
  <c r="Y42" i="8"/>
  <c r="AB42" i="8" s="1"/>
  <c r="AA68" i="8"/>
  <c r="AD68" i="8" s="1"/>
  <c r="AA56" i="8"/>
  <c r="AD56" i="8" s="1"/>
  <c r="Z57" i="11"/>
  <c r="AC57" i="11" s="1"/>
  <c r="AA63" i="11"/>
  <c r="AD63" i="11" s="1"/>
  <c r="Z43" i="11"/>
  <c r="AC43" i="11" s="1"/>
  <c r="Z68" i="11"/>
  <c r="AC68" i="11" s="1"/>
  <c r="Z51" i="11"/>
  <c r="AC51" i="11" s="1"/>
  <c r="Z64" i="11"/>
  <c r="AC64" i="11" s="1"/>
  <c r="Z63" i="11"/>
  <c r="AC63" i="11" s="1"/>
  <c r="Z47" i="11"/>
  <c r="AC47" i="11" s="1"/>
  <c r="Z41" i="11"/>
  <c r="AC41" i="11" s="1"/>
  <c r="Z55" i="11"/>
  <c r="AC55" i="11" s="1"/>
  <c r="Z67" i="11"/>
  <c r="AC67" i="11" s="1"/>
  <c r="AA42" i="11"/>
  <c r="AD42" i="11" s="1"/>
  <c r="Z49" i="11"/>
  <c r="AC49" i="11" s="1"/>
  <c r="Z62" i="11"/>
  <c r="AC62" i="11" s="1"/>
  <c r="Z56" i="11"/>
  <c r="AC56" i="11" s="1"/>
  <c r="Z59" i="11"/>
  <c r="AC59" i="11" s="1"/>
  <c r="Z52" i="11"/>
  <c r="AC52" i="11" s="1"/>
  <c r="AA61" i="11"/>
  <c r="AD61" i="11" s="1"/>
  <c r="AA44" i="11"/>
  <c r="AD44" i="11" s="1"/>
  <c r="AA57" i="11"/>
  <c r="AD57" i="11" s="1"/>
  <c r="AA59" i="11"/>
  <c r="AD59" i="11" s="1"/>
  <c r="AA60" i="11"/>
  <c r="AD60" i="11" s="1"/>
  <c r="Z66" i="11"/>
  <c r="AC66" i="11" s="1"/>
  <c r="Z65" i="11"/>
  <c r="AC65" i="11" s="1"/>
  <c r="AA41" i="11"/>
  <c r="AD41" i="11" s="1"/>
  <c r="Z45" i="11"/>
  <c r="AC45" i="11" s="1"/>
  <c r="Z61" i="11"/>
  <c r="AC61" i="11" s="1"/>
  <c r="Z54" i="11"/>
  <c r="AC54" i="11" s="1"/>
  <c r="AA43" i="11"/>
  <c r="AD43" i="11" s="1"/>
  <c r="Z53" i="11"/>
  <c r="AC53" i="11" s="1"/>
  <c r="AA56" i="11"/>
  <c r="AD56" i="11" s="1"/>
  <c r="AA62" i="11"/>
  <c r="AD62" i="11" s="1"/>
  <c r="Z50" i="11"/>
  <c r="AC50" i="11" s="1"/>
  <c r="Z48" i="11"/>
  <c r="AC48" i="11" s="1"/>
  <c r="Z44" i="11"/>
  <c r="AC44" i="11" s="1"/>
  <c r="Z42" i="11"/>
  <c r="AC42" i="11" s="1"/>
  <c r="AA39" i="11"/>
  <c r="AD39" i="11" s="1"/>
  <c r="Y57" i="11"/>
  <c r="AB57" i="11" s="1"/>
  <c r="AA38" i="11"/>
  <c r="AD38" i="11" s="1"/>
  <c r="AA50" i="11"/>
  <c r="AD50" i="11" s="1"/>
  <c r="AA55" i="11"/>
  <c r="AD55" i="11" s="1"/>
  <c r="AA54" i="11"/>
  <c r="AD54" i="11" s="1"/>
  <c r="AA48" i="11"/>
  <c r="AD48" i="11" s="1"/>
  <c r="AA68" i="11"/>
  <c r="AD68" i="11" s="1"/>
  <c r="Y46" i="11"/>
  <c r="AB46" i="11" s="1"/>
  <c r="AA47" i="11"/>
  <c r="AD47" i="11" s="1"/>
  <c r="AA51" i="11"/>
  <c r="AD51" i="11" s="1"/>
  <c r="Y52" i="11"/>
  <c r="AB52" i="11" s="1"/>
  <c r="AA53" i="11"/>
  <c r="AD53" i="11" s="1"/>
  <c r="AA49" i="11"/>
  <c r="AD49" i="11" s="1"/>
  <c r="Y49" i="11"/>
  <c r="AB49" i="11" s="1"/>
  <c r="AA45" i="11"/>
  <c r="AD45" i="11" s="1"/>
  <c r="AA67" i="11"/>
  <c r="AD67" i="11" s="1"/>
  <c r="Y43" i="11"/>
  <c r="AB43" i="11" s="1"/>
  <c r="Y63" i="11"/>
  <c r="AB63" i="11" s="1"/>
  <c r="Y39" i="11"/>
  <c r="AB39" i="11" s="1"/>
  <c r="Y45" i="11"/>
  <c r="AB45" i="11" s="1"/>
  <c r="Y53" i="11"/>
  <c r="AB53" i="11" s="1"/>
  <c r="Y47" i="11"/>
  <c r="AB47" i="11" s="1"/>
  <c r="Y51" i="11"/>
  <c r="AB51" i="11" s="1"/>
  <c r="AA40" i="11"/>
  <c r="AD40" i="11" s="1"/>
  <c r="AA46" i="11"/>
  <c r="AD46" i="11" s="1"/>
  <c r="AA52" i="11"/>
  <c r="AD52" i="11" s="1"/>
  <c r="AA58" i="11"/>
  <c r="AD58" i="11" s="1"/>
  <c r="AA64" i="11"/>
  <c r="AD64" i="11" s="1"/>
  <c r="Y42" i="11"/>
  <c r="AB42" i="11" s="1"/>
  <c r="Y48" i="11"/>
  <c r="AB48" i="11" s="1"/>
  <c r="Y54" i="11"/>
  <c r="AB54" i="11" s="1"/>
  <c r="Y60" i="11"/>
  <c r="AB60" i="11" s="1"/>
  <c r="Y66" i="11"/>
  <c r="AB66" i="11" s="1"/>
  <c r="Y55" i="11"/>
  <c r="AB55" i="11" s="1"/>
  <c r="Y61" i="11"/>
  <c r="AB61" i="11" s="1"/>
  <c r="Y67" i="11"/>
  <c r="AB67" i="11" s="1"/>
  <c r="Y38" i="11"/>
  <c r="AB38" i="11" s="1"/>
  <c r="Y44" i="11"/>
  <c r="AB44" i="11" s="1"/>
  <c r="Y50" i="11"/>
  <c r="AB50" i="11" s="1"/>
  <c r="Y56" i="11"/>
  <c r="AB56" i="11" s="1"/>
  <c r="Y62" i="11"/>
  <c r="AB62" i="11" s="1"/>
  <c r="Y68" i="11"/>
  <c r="AB68" i="11" s="1"/>
  <c r="Z38" i="11"/>
  <c r="AC38" i="11" s="1"/>
  <c r="T12" i="18" l="1"/>
  <c r="K15" i="18"/>
  <c r="O15" i="18"/>
  <c r="P15" i="18" s="1"/>
  <c r="O17" i="18"/>
  <c r="P17" i="18" s="1"/>
  <c r="K13" i="18"/>
  <c r="K16" i="18"/>
  <c r="F15" i="18"/>
  <c r="F13" i="18"/>
  <c r="F16" i="18"/>
  <c r="S14" i="18"/>
  <c r="X13" i="18"/>
  <c r="V16" i="18"/>
  <c r="V20" i="18" s="1"/>
  <c r="W16" i="18"/>
  <c r="P16" i="18"/>
  <c r="Y70" i="8"/>
  <c r="AB70" i="8" s="1"/>
  <c r="AP102" i="12"/>
  <c r="AS102" i="12" s="1"/>
  <c r="AO102" i="12"/>
  <c r="AR102" i="12" s="1"/>
  <c r="Y102" i="8"/>
  <c r="Z102" i="8"/>
  <c r="AC102" i="8" s="1"/>
  <c r="Z70" i="8"/>
  <c r="AC70" i="8" s="1"/>
  <c r="AQ102" i="12"/>
  <c r="AA70" i="8"/>
  <c r="AD70" i="8" s="1"/>
  <c r="AO70" i="12"/>
  <c r="AR70" i="12" s="1"/>
  <c r="AP70" i="12"/>
  <c r="AS70" i="12" s="1"/>
  <c r="AN70" i="12"/>
  <c r="AQ70" i="12" s="1"/>
  <c r="Z70" i="11"/>
  <c r="Y70" i="11"/>
  <c r="AB70" i="11" s="1"/>
  <c r="AJ70" i="6"/>
  <c r="AK70" i="6" s="1"/>
  <c r="AA70" i="11"/>
  <c r="AD70" i="11" s="1"/>
  <c r="Z70" i="10"/>
  <c r="Y70" i="10"/>
  <c r="AB70" i="10" s="1"/>
  <c r="AA70" i="10"/>
  <c r="AD70" i="10" s="1"/>
  <c r="S15" i="18" l="1"/>
  <c r="S16" i="18"/>
  <c r="AC70" i="10"/>
  <c r="J17" i="18"/>
  <c r="K17" i="18" s="1"/>
  <c r="S17" i="18" s="1"/>
  <c r="F20" i="18"/>
  <c r="X16" i="18"/>
  <c r="W20" i="18"/>
  <c r="X20" i="18" s="1"/>
  <c r="AC70" i="11"/>
  <c r="O13" i="18"/>
  <c r="P13" i="18" s="1"/>
  <c r="P20" i="18" s="1"/>
  <c r="AB102" i="8"/>
  <c r="AA102" i="8"/>
  <c r="AD102" i="8" s="1"/>
  <c r="K20" i="18" l="1"/>
  <c r="S20" i="18" s="1"/>
  <c r="Y17" i="18"/>
  <c r="Y15" i="18"/>
  <c r="Y18" i="18"/>
  <c r="Y14" i="18"/>
  <c r="Y19" i="18"/>
  <c r="Y13" i="18"/>
  <c r="Y16" i="18"/>
  <c r="S13" i="18"/>
  <c r="T15" i="18" l="1"/>
  <c r="T14" i="18"/>
  <c r="T16" i="18"/>
  <c r="T17" i="18"/>
  <c r="T13" i="18"/>
  <c r="T20" i="18" l="1"/>
</calcChain>
</file>

<file path=xl/sharedStrings.xml><?xml version="1.0" encoding="utf-8"?>
<sst xmlns="http://schemas.openxmlformats.org/spreadsheetml/2006/main" count="1487" uniqueCount="197">
  <si>
    <t>DATE</t>
  </si>
  <si>
    <t>DB-EW-GF-M2</t>
  </si>
  <si>
    <t>MPB-1-GF</t>
  </si>
  <si>
    <t>DB-EXAST FAN-GF</t>
  </si>
  <si>
    <t>DB-HVAC-GF1</t>
  </si>
  <si>
    <t>DB-LP-HALL-1-GF</t>
  </si>
  <si>
    <t>DB-LP-OFFICE-1-GF</t>
  </si>
  <si>
    <t>MPB-2-GF2</t>
  </si>
  <si>
    <t>MCC-STICHING-GF</t>
  </si>
  <si>
    <t>DB-HVAC-GF2</t>
  </si>
  <si>
    <t>DB-LP-HALL2-GF</t>
  </si>
  <si>
    <t>MPB-1F-L1</t>
  </si>
  <si>
    <t>MCC-HANGER-FF</t>
  </si>
  <si>
    <t>DB-EXAST FAN-FF</t>
  </si>
  <si>
    <t>DB-LP-HALL-1-FF</t>
  </si>
  <si>
    <t>DB-LP-OFFICE-1-FF</t>
  </si>
  <si>
    <t>MPB-2FF-L2</t>
  </si>
  <si>
    <t>MCC-STICHING-FF</t>
  </si>
  <si>
    <t>DB-HVAC-FF2</t>
  </si>
  <si>
    <t>DB-LP-HALL2-FF</t>
  </si>
  <si>
    <t>DB-LP-OFFICE-2-FF</t>
  </si>
  <si>
    <t>DB-LP-OFFICE-2-GF</t>
  </si>
  <si>
    <t>MPB-2F-L1</t>
  </si>
  <si>
    <t>MCC-STICHING-2F</t>
  </si>
  <si>
    <t>DB-EXAST FAN-2F</t>
  </si>
  <si>
    <t>DB-HVAC-SF1</t>
  </si>
  <si>
    <t>DB-LP-HALL-1-SF</t>
  </si>
  <si>
    <t>DB-LP-OFFICE-1-2F</t>
  </si>
  <si>
    <t>MPB-2F-L2</t>
  </si>
  <si>
    <t>MCC-CUTTER-MACHINE-2F</t>
  </si>
  <si>
    <t>DB-HVAC-SF2</t>
  </si>
  <si>
    <t>DB-LP-HALL-2-SF</t>
  </si>
  <si>
    <t>DB-LP-OFFICE-2-2F</t>
  </si>
  <si>
    <t>DB-LP-HALL-GF</t>
  </si>
  <si>
    <t>DB-UPS-GF</t>
  </si>
  <si>
    <t>MPB-WASHING-1F</t>
  </si>
  <si>
    <t>Main ACB</t>
  </si>
  <si>
    <t xml:space="preserve">Meter Reading </t>
  </si>
  <si>
    <t>Daily Units (kWh)</t>
  </si>
  <si>
    <t>Meter Reading</t>
  </si>
  <si>
    <t>DENIM &amp; WASHING SUBSTATION ENERGY ANALYZER READINGS</t>
  </si>
  <si>
    <t>MAIN</t>
  </si>
  <si>
    <t>kWh/Day TTL</t>
  </si>
  <si>
    <t>LT 01  GF</t>
  </si>
  <si>
    <t>LT 02  GF</t>
  </si>
  <si>
    <t>kWh/Day LT01</t>
  </si>
  <si>
    <t>kWh/Day LT02</t>
  </si>
  <si>
    <t>DB-HVAC-FF1</t>
  </si>
  <si>
    <t>LT 01  FF</t>
  </si>
  <si>
    <t>LT 02  FF</t>
  </si>
  <si>
    <t>DENIM First Floor LT's  ENERGY ANALYZER READINGS</t>
  </si>
  <si>
    <t>DENIM Ground Floor LT's  ENERGY ANALYZER READINGS</t>
  </si>
  <si>
    <t>DENIM Second Floor LT's  ENERGY ANALYZER READINGS</t>
  </si>
  <si>
    <t>LT 01  2F</t>
  </si>
  <si>
    <t>LT 02  2F</t>
  </si>
  <si>
    <t>MPB-WASHING GF</t>
  </si>
  <si>
    <t>WASHING LT's  ENERGY ANALYZER READINGS</t>
  </si>
  <si>
    <t>MPB-WASHING-GF</t>
  </si>
  <si>
    <t>GROUND FLOOR</t>
  </si>
  <si>
    <t>FIRST FLOOR</t>
  </si>
  <si>
    <t>SECOND FLOOR</t>
  </si>
  <si>
    <t>WASHING FF</t>
  </si>
  <si>
    <t>LASER 01</t>
  </si>
  <si>
    <t>LASER 02</t>
  </si>
  <si>
    <t>LASER 03</t>
  </si>
  <si>
    <t>LASER 04</t>
  </si>
  <si>
    <t>TUE</t>
  </si>
  <si>
    <t>WED</t>
  </si>
  <si>
    <t>THU</t>
  </si>
  <si>
    <t>FRI</t>
  </si>
  <si>
    <t>SAT</t>
  </si>
  <si>
    <t>SUN</t>
  </si>
  <si>
    <t>MON</t>
  </si>
  <si>
    <t>kWh/Mo TTL</t>
  </si>
  <si>
    <t>DAY</t>
  </si>
  <si>
    <t>Diff.</t>
  </si>
  <si>
    <t>Diff. LT 01</t>
  </si>
  <si>
    <t>Diff. LT 02</t>
  </si>
  <si>
    <t>Diff. TTL</t>
  </si>
  <si>
    <t>Spare250A</t>
  </si>
  <si>
    <t>Spare100A</t>
  </si>
  <si>
    <t>Spare63A</t>
  </si>
  <si>
    <t>DB-LP-HALL (R&amp;D)</t>
  </si>
  <si>
    <t>MPB-FF</t>
  </si>
  <si>
    <t>Compressor/Spare400A</t>
  </si>
  <si>
    <t>LASER 05</t>
  </si>
  <si>
    <t>LASER 06</t>
  </si>
  <si>
    <t>1000A BTD Central Washers</t>
  </si>
  <si>
    <t>500A BTD Brongo Dyeing</t>
  </si>
  <si>
    <t>500A BTD Ozone</t>
  </si>
  <si>
    <t>400A BTD Dryers</t>
  </si>
  <si>
    <t>500A BTD Laser PD</t>
  </si>
  <si>
    <t>400A Scrapper BTD</t>
  </si>
  <si>
    <t>Washing GF</t>
  </si>
  <si>
    <t>WASHING GF (TEMPORARY)</t>
  </si>
  <si>
    <t>Washing 1600A GF</t>
  </si>
  <si>
    <t xml:space="preserve">Solar </t>
  </si>
  <si>
    <t>Solar 1600A</t>
  </si>
  <si>
    <t>INCOMING</t>
  </si>
  <si>
    <t>SPARE</t>
  </si>
  <si>
    <t>Compressor</t>
  </si>
  <si>
    <t>Sub-Station DB</t>
  </si>
  <si>
    <t>kWh/Day LT-GF</t>
  </si>
  <si>
    <t>kWh/Day LT-FF</t>
  </si>
  <si>
    <t>Ac Substation/Spare100A</t>
  </si>
  <si>
    <t>MPB-1F-LT1</t>
  </si>
  <si>
    <t>MPB-1F-LT2</t>
  </si>
  <si>
    <t>MPB-2F-LT1</t>
  </si>
  <si>
    <t>MPB-2F-LT2</t>
  </si>
  <si>
    <t>GF</t>
  </si>
  <si>
    <t>FF</t>
  </si>
  <si>
    <t>Total</t>
  </si>
  <si>
    <t>SF</t>
  </si>
  <si>
    <t>LT1</t>
  </si>
  <si>
    <t>LT2</t>
  </si>
  <si>
    <t>Grand Total</t>
  </si>
  <si>
    <t>Lights</t>
  </si>
  <si>
    <t>Exhaust Fan</t>
  </si>
  <si>
    <t>HVAC</t>
  </si>
  <si>
    <t>Machines</t>
  </si>
  <si>
    <t>Office</t>
  </si>
  <si>
    <t>WASHING BUILDING</t>
  </si>
  <si>
    <t>Laser 1</t>
  </si>
  <si>
    <t>Laser 2</t>
  </si>
  <si>
    <t>MPB-2-FF-L2</t>
  </si>
  <si>
    <t>Description</t>
  </si>
  <si>
    <t>Cnsmptn%</t>
  </si>
  <si>
    <t>OT Hrs</t>
  </si>
  <si>
    <t>Sum</t>
  </si>
  <si>
    <t>Production Lines BBT Lights DND (08 Hours Shift Data)</t>
  </si>
  <si>
    <t>Exhaust Fans DND (08 Hours Shift data)</t>
  </si>
  <si>
    <t>Ground Floor</t>
  </si>
  <si>
    <t>First Floor</t>
  </si>
  <si>
    <t>Second Floor</t>
  </si>
  <si>
    <t>Exhaust Fans</t>
  </si>
  <si>
    <t>kW</t>
  </si>
  <si>
    <t>QTY</t>
  </si>
  <si>
    <t>Load</t>
  </si>
  <si>
    <t>Daily</t>
  </si>
  <si>
    <t>monthly</t>
  </si>
  <si>
    <t>Finishing</t>
  </si>
  <si>
    <t>Packing</t>
  </si>
  <si>
    <t>Sewing 1F</t>
  </si>
  <si>
    <t>Sewing 2F</t>
  </si>
  <si>
    <t>Cutting Highbay</t>
  </si>
  <si>
    <t>GF Highbay</t>
  </si>
  <si>
    <t>Lines</t>
  </si>
  <si>
    <t>Qty</t>
  </si>
  <si>
    <t>Line 0</t>
  </si>
  <si>
    <t>Line 01</t>
  </si>
  <si>
    <t xml:space="preserve">Line 01 </t>
  </si>
  <si>
    <t>Line 02</t>
  </si>
  <si>
    <t>Line 03</t>
  </si>
  <si>
    <t>TTL</t>
  </si>
  <si>
    <t>Line 04</t>
  </si>
  <si>
    <t>Line 05</t>
  </si>
  <si>
    <t>Line 06</t>
  </si>
  <si>
    <t>Line 07</t>
  </si>
  <si>
    <t>Line 08</t>
  </si>
  <si>
    <t>Line 09</t>
  </si>
  <si>
    <t>Line 10</t>
  </si>
  <si>
    <t>Line 11</t>
  </si>
  <si>
    <t>Line 12</t>
  </si>
  <si>
    <t>Line 13</t>
  </si>
  <si>
    <t>Line 14</t>
  </si>
  <si>
    <t>Line 15</t>
  </si>
  <si>
    <t>Line 16</t>
  </si>
  <si>
    <t>Line 17</t>
  </si>
  <si>
    <t>Line 18</t>
  </si>
  <si>
    <t>Line 19</t>
  </si>
  <si>
    <t>Line 20</t>
  </si>
  <si>
    <t>Line 21</t>
  </si>
  <si>
    <t>Line 22</t>
  </si>
  <si>
    <t>Ttl Prdctn</t>
  </si>
  <si>
    <t>40W Lght</t>
  </si>
  <si>
    <t>1 shift kW</t>
  </si>
  <si>
    <t>LT01</t>
  </si>
  <si>
    <t>LT02</t>
  </si>
  <si>
    <t>WASHING</t>
  </si>
  <si>
    <t>Consumption</t>
  </si>
  <si>
    <t>Highbay 100W</t>
  </si>
  <si>
    <t>Month</t>
  </si>
  <si>
    <t>Ground floor LT</t>
  </si>
  <si>
    <t>First Floor LT</t>
  </si>
  <si>
    <t>Seconf Floor LT</t>
  </si>
  <si>
    <t>Main</t>
  </si>
  <si>
    <t>LT 01 GF</t>
  </si>
  <si>
    <t>Washing FF</t>
  </si>
  <si>
    <t>Washing</t>
  </si>
  <si>
    <t xml:space="preserve"> </t>
  </si>
  <si>
    <t>Denim</t>
  </si>
  <si>
    <t>SBSTN kWh/Mo TTL</t>
  </si>
  <si>
    <t>LT Distribution Main TTL</t>
  </si>
  <si>
    <t>Diff</t>
  </si>
  <si>
    <t>sum kW</t>
  </si>
  <si>
    <t>OT hrs</t>
  </si>
  <si>
    <t>Turbine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</si>
</sst>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[$-409]dd\-mmm\-yy;@"/>
    <numFmt numFmtId="167" formatCode="#,##0.0"/>
    <numFmt numFmtId="168" formatCode="0.0"/>
    <numFmt numFmtId="169" formatCode="[$-409]mmm\-yy;@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indexed="64"/>
      </bottom>
      <diagonal/>
    </border>
    <border>
      <left/>
      <right/>
      <top style="thin">
        <color rgb="FF7F7F7F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hair">
        <color rgb="FF7F7F7F"/>
      </left>
      <right/>
      <top style="hair">
        <color rgb="FF7F7F7F"/>
      </top>
      <bottom style="hair">
        <color rgb="FF7F7F7F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7">
    <xf numFmtId="0" fontId="0" fillId="0" borderId="0"/>
    <xf numFmtId="0" fontId="5" fillId="0" borderId="0"/>
    <xf numFmtId="43" fontId="11" fillId="0" borderId="0" applyFont="0" applyFill="0" applyBorder="0" applyAlignment="0" applyProtection="0"/>
    <xf numFmtId="0" fontId="13" fillId="6" borderId="18" applyNumberFormat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9" fontId="11" fillId="0" borderId="0" applyFont="0" applyFill="0" applyBorder="0" applyAlignment="0" applyProtection="0"/>
  </cellStyleXfs>
  <cellXfs count="20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6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14" fontId="0" fillId="5" borderId="1" xfId="0" applyNumberFormat="1" applyFill="1" applyBorder="1"/>
    <xf numFmtId="0" fontId="4" fillId="5" borderId="1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164" fontId="10" fillId="5" borderId="7" xfId="2" applyNumberFormat="1" applyFont="1" applyFill="1" applyBorder="1" applyAlignment="1">
      <alignment horizontal="center" vertical="center"/>
    </xf>
    <xf numFmtId="164" fontId="10" fillId="5" borderId="7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164" fontId="1" fillId="5" borderId="1" xfId="2" applyNumberFormat="1" applyFont="1" applyFill="1" applyBorder="1" applyAlignment="1">
      <alignment horizontal="center" vertical="center" wrapText="1"/>
    </xf>
    <xf numFmtId="164" fontId="4" fillId="5" borderId="1" xfId="2" applyNumberFormat="1" applyFont="1" applyFill="1" applyBorder="1" applyAlignment="1">
      <alignment horizontal="center" vertical="center" wrapText="1"/>
    </xf>
    <xf numFmtId="164" fontId="1" fillId="5" borderId="16" xfId="2" applyNumberFormat="1" applyFont="1" applyFill="1" applyBorder="1" applyAlignment="1">
      <alignment horizontal="center" vertical="center" wrapText="1"/>
    </xf>
    <xf numFmtId="164" fontId="8" fillId="5" borderId="7" xfId="2" applyNumberFormat="1" applyFont="1" applyFill="1" applyBorder="1" applyAlignment="1">
      <alignment horizontal="center" vertical="center"/>
    </xf>
    <xf numFmtId="164" fontId="8" fillId="5" borderId="4" xfId="2" applyNumberFormat="1" applyFont="1" applyFill="1" applyBorder="1" applyAlignment="1">
      <alignment horizontal="center" vertical="center"/>
    </xf>
    <xf numFmtId="164" fontId="0" fillId="0" borderId="0" xfId="2" applyNumberFormat="1" applyFont="1"/>
    <xf numFmtId="164" fontId="1" fillId="3" borderId="1" xfId="2" applyNumberFormat="1" applyFont="1" applyFill="1" applyBorder="1" applyAlignment="1">
      <alignment horizontal="center" vertical="center" wrapText="1"/>
    </xf>
    <xf numFmtId="164" fontId="1" fillId="4" borderId="1" xfId="2" applyNumberFormat="1" applyFont="1" applyFill="1" applyBorder="1" applyAlignment="1">
      <alignment horizontal="center" vertical="center" wrapText="1"/>
    </xf>
    <xf numFmtId="164" fontId="1" fillId="3" borderId="16" xfId="2" applyNumberFormat="1" applyFont="1" applyFill="1" applyBorder="1" applyAlignment="1">
      <alignment horizontal="center" vertical="center" wrapText="1"/>
    </xf>
    <xf numFmtId="164" fontId="1" fillId="4" borderId="15" xfId="2" applyNumberFormat="1" applyFont="1" applyFill="1" applyBorder="1" applyAlignment="1">
      <alignment horizontal="center" vertical="center" wrapText="1"/>
    </xf>
    <xf numFmtId="164" fontId="4" fillId="5" borderId="15" xfId="2" applyNumberFormat="1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/>
    </xf>
    <xf numFmtId="165" fontId="0" fillId="5" borderId="1" xfId="0" applyNumberFormat="1" applyFill="1" applyBorder="1"/>
    <xf numFmtId="166" fontId="0" fillId="5" borderId="1" xfId="0" applyNumberFormat="1" applyFill="1" applyBorder="1"/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horizontal="left" vertical="center"/>
    </xf>
    <xf numFmtId="164" fontId="16" fillId="5" borderId="7" xfId="2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 wrapText="1"/>
    </xf>
    <xf numFmtId="164" fontId="16" fillId="5" borderId="4" xfId="2" applyNumberFormat="1" applyFont="1" applyFill="1" applyBorder="1" applyAlignment="1">
      <alignment horizontal="center" vertical="center"/>
    </xf>
    <xf numFmtId="3" fontId="0" fillId="3" borderId="10" xfId="0" applyNumberForma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3" fontId="14" fillId="8" borderId="19" xfId="5" applyNumberFormat="1" applyFont="1" applyBorder="1" applyAlignment="1">
      <alignment horizontal="center" vertical="center"/>
    </xf>
    <xf numFmtId="164" fontId="14" fillId="7" borderId="7" xfId="4" applyNumberFormat="1" applyFont="1" applyBorder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164" fontId="16" fillId="5" borderId="1" xfId="2" applyNumberFormat="1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 wrapText="1"/>
    </xf>
    <xf numFmtId="164" fontId="16" fillId="5" borderId="8" xfId="2" applyNumberFormat="1" applyFont="1" applyFill="1" applyBorder="1" applyAlignment="1">
      <alignment horizontal="center" vertical="center"/>
    </xf>
    <xf numFmtId="0" fontId="17" fillId="4" borderId="26" xfId="0" applyFont="1" applyFill="1" applyBorder="1" applyAlignment="1">
      <alignment horizontal="left" vertical="center" wrapText="1"/>
    </xf>
    <xf numFmtId="3" fontId="0" fillId="9" borderId="26" xfId="0" applyNumberFormat="1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164" fontId="16" fillId="5" borderId="26" xfId="2" applyNumberFormat="1" applyFont="1" applyFill="1" applyBorder="1" applyAlignment="1">
      <alignment horizontal="center" vertical="center"/>
    </xf>
    <xf numFmtId="9" fontId="0" fillId="9" borderId="27" xfId="6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/>
    </xf>
    <xf numFmtId="9" fontId="0" fillId="9" borderId="28" xfId="6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left" vertical="center" wrapText="1"/>
    </xf>
    <xf numFmtId="0" fontId="0" fillId="9" borderId="8" xfId="0" applyFill="1" applyBorder="1" applyAlignment="1">
      <alignment horizontal="center" vertical="center"/>
    </xf>
    <xf numFmtId="9" fontId="0" fillId="9" borderId="29" xfId="6" applyFont="1" applyFill="1" applyBorder="1" applyAlignment="1">
      <alignment horizontal="center" vertical="center"/>
    </xf>
    <xf numFmtId="0" fontId="17" fillId="4" borderId="31" xfId="0" applyFont="1" applyFill="1" applyBorder="1" applyAlignment="1">
      <alignment horizontal="left" vertical="center" wrapText="1"/>
    </xf>
    <xf numFmtId="3" fontId="14" fillId="8" borderId="31" xfId="5" applyNumberFormat="1" applyFont="1" applyBorder="1" applyAlignment="1">
      <alignment horizontal="center" vertical="center"/>
    </xf>
    <xf numFmtId="164" fontId="14" fillId="7" borderId="31" xfId="4" applyNumberFormat="1" applyFont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3" fontId="0" fillId="9" borderId="0" xfId="0" applyNumberFormat="1" applyFill="1" applyAlignment="1">
      <alignment horizontal="center" vertical="center"/>
    </xf>
    <xf numFmtId="0" fontId="17" fillId="4" borderId="34" xfId="0" applyFont="1" applyFill="1" applyBorder="1" applyAlignment="1">
      <alignment horizontal="center" vertical="center" wrapText="1"/>
    </xf>
    <xf numFmtId="0" fontId="17" fillId="4" borderId="35" xfId="0" applyFont="1" applyFill="1" applyBorder="1" applyAlignment="1">
      <alignment horizontal="center" vertical="center" wrapText="1"/>
    </xf>
    <xf numFmtId="167" fontId="0" fillId="3" borderId="34" xfId="0" applyNumberFormat="1" applyFill="1" applyBorder="1" applyAlignment="1">
      <alignment horizontal="center" vertical="center" wrapText="1"/>
    </xf>
    <xf numFmtId="3" fontId="0" fillId="3" borderId="34" xfId="0" applyNumberFormat="1" applyFill="1" applyBorder="1" applyAlignment="1">
      <alignment horizontal="center" vertical="center" wrapText="1"/>
    </xf>
    <xf numFmtId="3" fontId="0" fillId="3" borderId="35" xfId="0" applyNumberFormat="1" applyFill="1" applyBorder="1" applyAlignment="1">
      <alignment horizontal="center" vertical="center" wrapText="1"/>
    </xf>
    <xf numFmtId="0" fontId="17" fillId="4" borderId="34" xfId="0" applyFont="1" applyFill="1" applyBorder="1" applyAlignment="1">
      <alignment horizontal="right" vertical="center" wrapText="1"/>
    </xf>
    <xf numFmtId="1" fontId="0" fillId="11" borderId="34" xfId="0" applyNumberFormat="1" applyFill="1" applyBorder="1" applyAlignment="1">
      <alignment horizontal="center" vertical="center"/>
    </xf>
    <xf numFmtId="164" fontId="14" fillId="7" borderId="35" xfId="4" applyNumberFormat="1" applyFont="1" applyBorder="1" applyAlignment="1">
      <alignment horizontal="center" vertical="center"/>
    </xf>
    <xf numFmtId="168" fontId="0" fillId="11" borderId="1" xfId="0" applyNumberFormat="1" applyFill="1" applyBorder="1"/>
    <xf numFmtId="1" fontId="0" fillId="11" borderId="1" xfId="0" applyNumberFormat="1" applyFill="1" applyBorder="1"/>
    <xf numFmtId="164" fontId="14" fillId="7" borderId="1" xfId="4" applyNumberFormat="1" applyFont="1" applyBorder="1" applyAlignment="1">
      <alignment horizontal="center" vertical="center"/>
    </xf>
    <xf numFmtId="164" fontId="14" fillId="7" borderId="4" xfId="4" applyNumberFormat="1" applyFont="1" applyBorder="1" applyAlignment="1">
      <alignment horizontal="center" vertical="center"/>
    </xf>
    <xf numFmtId="3" fontId="0" fillId="9" borderId="1" xfId="0" applyNumberFormat="1" applyFill="1" applyBorder="1" applyAlignment="1">
      <alignment horizontal="center" vertical="center"/>
    </xf>
    <xf numFmtId="3" fontId="0" fillId="9" borderId="10" xfId="0" applyNumberFormat="1" applyFill="1" applyBorder="1" applyAlignment="1">
      <alignment horizontal="center" vertical="center"/>
    </xf>
    <xf numFmtId="3" fontId="14" fillId="8" borderId="8" xfId="5" applyNumberFormat="1" applyFont="1" applyBorder="1" applyAlignment="1">
      <alignment horizontal="center" vertical="center"/>
    </xf>
    <xf numFmtId="3" fontId="0" fillId="10" borderId="26" xfId="0" applyNumberFormat="1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3" fontId="0" fillId="10" borderId="8" xfId="0" applyNumberFormat="1" applyFill="1" applyBorder="1" applyAlignment="1">
      <alignment horizontal="center" vertical="center" wrapText="1"/>
    </xf>
    <xf numFmtId="3" fontId="0" fillId="10" borderId="31" xfId="0" applyNumberForma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65" fontId="18" fillId="5" borderId="1" xfId="0" applyNumberFormat="1" applyFont="1" applyFill="1" applyBorder="1"/>
    <xf numFmtId="0" fontId="19" fillId="0" borderId="0" xfId="0" applyFont="1"/>
    <xf numFmtId="164" fontId="1" fillId="4" borderId="1" xfId="0" applyNumberFormat="1" applyFont="1" applyFill="1" applyBorder="1" applyAlignment="1">
      <alignment horizontal="center" vertical="center" wrapText="1"/>
    </xf>
    <xf numFmtId="164" fontId="1" fillId="0" borderId="0" xfId="2" applyNumberFormat="1" applyFont="1"/>
    <xf numFmtId="164" fontId="4" fillId="0" borderId="0" xfId="2" applyNumberFormat="1" applyFont="1"/>
    <xf numFmtId="168" fontId="1" fillId="4" borderId="5" xfId="0" applyNumberFormat="1" applyFont="1" applyFill="1" applyBorder="1" applyAlignment="1">
      <alignment horizontal="center" vertical="center" wrapText="1"/>
    </xf>
    <xf numFmtId="164" fontId="4" fillId="5" borderId="1" xfId="2" applyNumberFormat="1" applyFont="1" applyFill="1" applyBorder="1" applyAlignment="1">
      <alignment horizontal="right"/>
    </xf>
    <xf numFmtId="164" fontId="4" fillId="5" borderId="1" xfId="2" applyNumberFormat="1" applyFont="1" applyFill="1" applyBorder="1" applyAlignment="1">
      <alignment horizontal="right" vertical="center"/>
    </xf>
    <xf numFmtId="164" fontId="1" fillId="5" borderId="1" xfId="2" applyNumberFormat="1" applyFont="1" applyFill="1" applyBorder="1" applyAlignment="1">
      <alignment horizontal="right"/>
    </xf>
    <xf numFmtId="164" fontId="1" fillId="5" borderId="1" xfId="2" applyNumberFormat="1" applyFont="1" applyFill="1" applyBorder="1" applyAlignment="1">
      <alignment horizontal="right" vertical="center"/>
    </xf>
    <xf numFmtId="0" fontId="17" fillId="4" borderId="9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9" fontId="0" fillId="3" borderId="33" xfId="6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left" vertical="center" wrapText="1"/>
    </xf>
    <xf numFmtId="0" fontId="17" fillId="4" borderId="43" xfId="0" applyFont="1" applyFill="1" applyBorder="1" applyAlignment="1">
      <alignment horizontal="left" vertical="center" wrapText="1"/>
    </xf>
    <xf numFmtId="0" fontId="17" fillId="4" borderId="30" xfId="0" applyFont="1" applyFill="1" applyBorder="1" applyAlignment="1">
      <alignment horizontal="left" vertical="center" wrapText="1"/>
    </xf>
    <xf numFmtId="164" fontId="6" fillId="12" borderId="7" xfId="2" applyNumberFormat="1" applyFont="1" applyFill="1" applyBorder="1" applyAlignment="1">
      <alignment horizontal="center" vertical="center"/>
    </xf>
    <xf numFmtId="164" fontId="1" fillId="13" borderId="1" xfId="2" applyNumberFormat="1" applyFont="1" applyFill="1" applyBorder="1" applyAlignment="1">
      <alignment horizontal="right"/>
    </xf>
    <xf numFmtId="43" fontId="0" fillId="9" borderId="0" xfId="0" applyNumberFormat="1" applyFill="1" applyAlignment="1">
      <alignment horizontal="center" vertical="center"/>
    </xf>
    <xf numFmtId="43" fontId="0" fillId="0" borderId="0" xfId="0" applyNumberFormat="1"/>
    <xf numFmtId="3" fontId="14" fillId="8" borderId="32" xfId="5" applyNumberFormat="1" applyFont="1" applyBorder="1" applyAlignment="1">
      <alignment horizontal="center" vertical="center"/>
    </xf>
    <xf numFmtId="3" fontId="14" fillId="8" borderId="44" xfId="5" applyNumberFormat="1" applyFont="1" applyBorder="1" applyAlignment="1">
      <alignment horizontal="center" vertical="center"/>
    </xf>
    <xf numFmtId="0" fontId="13" fillId="6" borderId="40" xfId="3" applyBorder="1" applyAlignment="1">
      <alignment horizontal="center" vertical="center"/>
    </xf>
    <xf numFmtId="0" fontId="13" fillId="6" borderId="41" xfId="3" applyBorder="1" applyAlignment="1">
      <alignment horizontal="center" vertical="center"/>
    </xf>
    <xf numFmtId="0" fontId="13" fillId="6" borderId="42" xfId="3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 wrapText="1"/>
    </xf>
    <xf numFmtId="0" fontId="17" fillId="4" borderId="43" xfId="0" applyFont="1" applyFill="1" applyBorder="1" applyAlignment="1">
      <alignment horizontal="center" vertical="center" wrapText="1"/>
    </xf>
    <xf numFmtId="169" fontId="0" fillId="10" borderId="25" xfId="0" applyNumberFormat="1" applyFill="1" applyBorder="1" applyAlignment="1">
      <alignment horizontal="center" vertical="center"/>
    </xf>
    <xf numFmtId="169" fontId="0" fillId="10" borderId="7" xfId="0" applyNumberFormat="1" applyFill="1" applyBorder="1" applyAlignment="1">
      <alignment horizontal="center" vertical="center"/>
    </xf>
    <xf numFmtId="169" fontId="0" fillId="10" borderId="30" xfId="0" applyNumberFormat="1" applyFill="1" applyBorder="1" applyAlignment="1">
      <alignment horizontal="center" vertical="center"/>
    </xf>
    <xf numFmtId="3" fontId="14" fillId="8" borderId="36" xfId="5" applyNumberFormat="1" applyFont="1" applyBorder="1" applyAlignment="1">
      <alignment horizontal="center" vertical="center"/>
    </xf>
    <xf numFmtId="0" fontId="13" fillId="6" borderId="20" xfId="3" applyBorder="1" applyAlignment="1">
      <alignment horizontal="center" vertical="center"/>
    </xf>
    <xf numFmtId="0" fontId="13" fillId="6" borderId="21" xfId="3" applyBorder="1" applyAlignment="1">
      <alignment horizontal="center" vertical="center"/>
    </xf>
    <xf numFmtId="0" fontId="13" fillId="6" borderId="22" xfId="3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0" fontId="0" fillId="10" borderId="38" xfId="0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164" fontId="16" fillId="5" borderId="1" xfId="2" applyNumberFormat="1" applyFont="1" applyFill="1" applyBorder="1" applyAlignment="1">
      <alignment horizontal="center" vertical="center"/>
    </xf>
    <xf numFmtId="164" fontId="16" fillId="5" borderId="8" xfId="2" applyNumberFormat="1" applyFont="1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164" fontId="4" fillId="5" borderId="1" xfId="2" applyNumberFormat="1" applyFont="1" applyFill="1" applyBorder="1" applyAlignment="1">
      <alignment horizontal="center" vertical="center" wrapText="1"/>
    </xf>
    <xf numFmtId="164" fontId="4" fillId="5" borderId="1" xfId="2" applyNumberFormat="1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/>
    </xf>
    <xf numFmtId="164" fontId="2" fillId="5" borderId="11" xfId="2" applyNumberFormat="1" applyFont="1" applyFill="1" applyBorder="1" applyAlignment="1">
      <alignment horizontal="center" vertical="center" wrapText="1"/>
    </xf>
    <xf numFmtId="164" fontId="2" fillId="5" borderId="12" xfId="2" applyNumberFormat="1" applyFont="1" applyFill="1" applyBorder="1" applyAlignment="1">
      <alignment horizontal="center" vertical="center" wrapText="1"/>
    </xf>
    <xf numFmtId="164" fontId="2" fillId="5" borderId="13" xfId="2" applyNumberFormat="1" applyFont="1" applyFill="1" applyBorder="1" applyAlignment="1">
      <alignment horizontal="center" vertical="center" wrapText="1"/>
    </xf>
    <xf numFmtId="164" fontId="7" fillId="4" borderId="1" xfId="2" applyNumberFormat="1" applyFont="1" applyFill="1" applyBorder="1" applyAlignment="1">
      <alignment horizontal="center" vertical="center" wrapText="1"/>
    </xf>
    <xf numFmtId="164" fontId="7" fillId="4" borderId="15" xfId="2" applyNumberFormat="1" applyFont="1" applyFill="1" applyBorder="1" applyAlignment="1">
      <alignment horizontal="center" vertical="center" wrapText="1"/>
    </xf>
    <xf numFmtId="164" fontId="7" fillId="4" borderId="5" xfId="2" applyNumberFormat="1" applyFont="1" applyFill="1" applyBorder="1" applyAlignment="1">
      <alignment horizontal="center" vertical="center" wrapText="1"/>
    </xf>
    <xf numFmtId="164" fontId="7" fillId="4" borderId="6" xfId="2" applyNumberFormat="1" applyFont="1" applyFill="1" applyBorder="1" applyAlignment="1">
      <alignment horizontal="center" vertical="center" wrapText="1"/>
    </xf>
    <xf numFmtId="164" fontId="7" fillId="4" borderId="16" xfId="2" applyNumberFormat="1" applyFont="1" applyFill="1" applyBorder="1" applyAlignment="1">
      <alignment horizontal="center" vertical="center" wrapText="1"/>
    </xf>
    <xf numFmtId="164" fontId="7" fillId="4" borderId="4" xfId="2" applyNumberFormat="1" applyFont="1" applyFill="1" applyBorder="1" applyAlignment="1">
      <alignment horizontal="center" vertical="center" wrapText="1"/>
    </xf>
    <xf numFmtId="164" fontId="7" fillId="4" borderId="5" xfId="2" applyNumberFormat="1" applyFont="1" applyFill="1" applyBorder="1" applyAlignment="1">
      <alignment horizontal="center" vertical="center"/>
    </xf>
    <xf numFmtId="164" fontId="7" fillId="4" borderId="4" xfId="2" applyNumberFormat="1" applyFont="1" applyFill="1" applyBorder="1" applyAlignment="1">
      <alignment horizontal="center" vertical="center"/>
    </xf>
    <xf numFmtId="164" fontId="7" fillId="4" borderId="6" xfId="2" applyNumberFormat="1" applyFont="1" applyFill="1" applyBorder="1" applyAlignment="1">
      <alignment horizontal="center" vertical="center"/>
    </xf>
    <xf numFmtId="164" fontId="7" fillId="4" borderId="5" xfId="2" applyNumberFormat="1" applyFont="1" applyFill="1" applyBorder="1" applyAlignment="1">
      <alignment horizontal="center"/>
    </xf>
    <xf numFmtId="164" fontId="7" fillId="4" borderId="4" xfId="2" applyNumberFormat="1" applyFont="1" applyFill="1" applyBorder="1" applyAlignment="1">
      <alignment horizontal="center"/>
    </xf>
    <xf numFmtId="164" fontId="2" fillId="5" borderId="5" xfId="2" applyNumberFormat="1" applyFont="1" applyFill="1" applyBorder="1" applyAlignment="1">
      <alignment horizontal="center" vertical="center" wrapText="1"/>
    </xf>
    <xf numFmtId="164" fontId="2" fillId="5" borderId="14" xfId="2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164" fontId="14" fillId="12" borderId="39" xfId="0" applyNumberFormat="1" applyFont="1" applyFill="1" applyBorder="1" applyAlignment="1">
      <alignment horizontal="center"/>
    </xf>
    <xf numFmtId="0" fontId="14" fillId="12" borderId="39" xfId="0" applyFont="1" applyFill="1" applyBorder="1" applyAlignment="1">
      <alignment horizontal="center"/>
    </xf>
    <xf numFmtId="0" fontId="13" fillId="6" borderId="34" xfId="3" applyBorder="1" applyAlignment="1">
      <alignment horizontal="center" vertical="center"/>
    </xf>
    <xf numFmtId="0" fontId="13" fillId="6" borderId="35" xfId="3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0" fontId="13" fillId="6" borderId="24" xfId="3" applyBorder="1" applyAlignment="1">
      <alignment horizontal="center" vertical="center"/>
    </xf>
    <xf numFmtId="0" fontId="13" fillId="6" borderId="0" xfId="3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1" fillId="5" borderId="5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9" fillId="0" borderId="3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4" xfId="0" applyFont="1" applyBorder="1" applyAlignment="1">
      <alignment horizontal="center"/>
    </xf>
  </cellXfs>
  <cellStyles count="7">
    <cellStyle name="Accent1" xfId="4" builtinId="29"/>
    <cellStyle name="Accent2" xfId="5" builtinId="33"/>
    <cellStyle name="Calculation" xfId="3" builtinId="22"/>
    <cellStyle name="Comma" xfId="2" builtinId="3"/>
    <cellStyle name="Normal" xfId="0" builtinId="0"/>
    <cellStyle name="Normal 2" xfId="1" xr:uid="{00000000-0005-0000-0000-000005000000}"/>
    <cellStyle name="Percent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9A1D-9F66-4335-9A0F-DF7AF9A1B5F1}">
  <dimension ref="A2:AA56"/>
  <sheetViews>
    <sheetView tabSelected="1" workbookViewId="0">
      <pane ySplit="4" topLeftCell="A21" activePane="bottomLeft" state="frozen"/>
      <selection activeCell="D1" sqref="D1"/>
      <selection pane="bottomLeft" activeCell="D45" sqref="D45"/>
    </sheetView>
  </sheetViews>
  <sheetFormatPr defaultColWidth="8.88671875" defaultRowHeight="14.4" x14ac:dyDescent="0.3"/>
  <cols>
    <col min="1" max="1" width="5.33203125" style="35" bestFit="1" customWidth="1"/>
    <col min="2" max="2" width="8.109375" style="35" customWidth="1"/>
    <col min="3" max="3" width="10.6640625" style="36" bestFit="1" customWidth="1"/>
    <col min="4" max="5" width="8.88671875" style="35"/>
    <col min="6" max="6" width="11.33203125" style="35" bestFit="1" customWidth="1"/>
    <col min="7" max="7" width="6.33203125" style="35" bestFit="1" customWidth="1"/>
    <col min="8" max="8" width="6.33203125" style="35" customWidth="1"/>
    <col min="9" max="9" width="8.88671875" style="35"/>
    <col min="10" max="10" width="5.44140625" style="35" bestFit="1" customWidth="1"/>
    <col min="11" max="11" width="11.109375" style="35" bestFit="1" customWidth="1"/>
    <col min="12" max="12" width="4.6640625" style="35" bestFit="1" customWidth="1"/>
    <col min="13" max="13" width="6.33203125" style="35" bestFit="1" customWidth="1"/>
    <col min="14" max="16" width="8.88671875" style="35"/>
    <col min="17" max="18" width="5.5546875" style="35" bestFit="1" customWidth="1"/>
    <col min="19" max="19" width="10.5546875" style="35" bestFit="1" customWidth="1"/>
    <col min="20" max="20" width="9.109375" style="35" customWidth="1"/>
    <col min="21" max="21" width="10" style="35" bestFit="1" customWidth="1"/>
    <col min="22" max="25" width="9.109375" style="35" customWidth="1"/>
    <col min="26" max="26" width="8.88671875" style="35" bestFit="1" customWidth="1"/>
    <col min="27" max="27" width="5.33203125" style="35" bestFit="1" customWidth="1"/>
    <col min="28" max="28" width="8.88671875" style="35"/>
    <col min="29" max="29" width="4.33203125" style="35" bestFit="1" customWidth="1"/>
    <col min="30" max="30" width="8.88671875" style="35"/>
    <col min="31" max="31" width="4.33203125" style="35" bestFit="1" customWidth="1"/>
    <col min="32" max="32" width="8.88671875" style="35" bestFit="1" customWidth="1"/>
    <col min="33" max="33" width="5.33203125" style="35" bestFit="1" customWidth="1"/>
    <col min="34" max="34" width="7.88671875" style="35" customWidth="1"/>
    <col min="35" max="16384" width="8.88671875" style="35"/>
  </cols>
  <sheetData>
    <row r="2" spans="2:27" x14ac:dyDescent="0.3">
      <c r="B2" s="110" t="s">
        <v>190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2"/>
      <c r="U2" s="110" t="s">
        <v>178</v>
      </c>
      <c r="V2" s="111"/>
      <c r="W2" s="111"/>
      <c r="X2" s="111"/>
      <c r="Y2" s="111"/>
      <c r="Z2" s="111"/>
      <c r="AA2" s="112"/>
    </row>
    <row r="3" spans="2:27" x14ac:dyDescent="0.3">
      <c r="B3" s="124" t="s">
        <v>181</v>
      </c>
      <c r="C3" s="128" t="s">
        <v>125</v>
      </c>
      <c r="D3" s="128" t="s">
        <v>109</v>
      </c>
      <c r="E3" s="128"/>
      <c r="F3" s="128"/>
      <c r="G3" s="45" t="s">
        <v>176</v>
      </c>
      <c r="H3" s="45" t="s">
        <v>177</v>
      </c>
      <c r="I3" s="128" t="s">
        <v>110</v>
      </c>
      <c r="J3" s="128"/>
      <c r="K3" s="128"/>
      <c r="L3" s="45" t="s">
        <v>176</v>
      </c>
      <c r="M3" s="45" t="s">
        <v>177</v>
      </c>
      <c r="N3" s="128" t="s">
        <v>112</v>
      </c>
      <c r="O3" s="128"/>
      <c r="P3" s="128"/>
      <c r="Q3" s="45" t="s">
        <v>176</v>
      </c>
      <c r="R3" s="45" t="s">
        <v>177</v>
      </c>
      <c r="S3" s="129" t="s">
        <v>179</v>
      </c>
      <c r="T3" s="131" t="s">
        <v>126</v>
      </c>
      <c r="U3" s="115" t="s">
        <v>125</v>
      </c>
      <c r="V3" s="121" t="s">
        <v>121</v>
      </c>
      <c r="W3" s="122"/>
      <c r="X3" s="123"/>
      <c r="Y3" s="113" t="s">
        <v>126</v>
      </c>
      <c r="Z3" s="97" t="s">
        <v>109</v>
      </c>
      <c r="AA3" s="98" t="s">
        <v>110</v>
      </c>
    </row>
    <row r="4" spans="2:27" x14ac:dyDescent="0.3">
      <c r="B4" s="125"/>
      <c r="C4" s="133"/>
      <c r="D4" s="47" t="s">
        <v>113</v>
      </c>
      <c r="E4" s="47" t="s">
        <v>114</v>
      </c>
      <c r="F4" s="47" t="s">
        <v>111</v>
      </c>
      <c r="G4" s="126" t="s">
        <v>127</v>
      </c>
      <c r="H4" s="127"/>
      <c r="I4" s="47" t="s">
        <v>113</v>
      </c>
      <c r="J4" s="47" t="s">
        <v>114</v>
      </c>
      <c r="K4" s="47" t="s">
        <v>111</v>
      </c>
      <c r="L4" s="126" t="s">
        <v>127</v>
      </c>
      <c r="M4" s="127"/>
      <c r="N4" s="47" t="s">
        <v>113</v>
      </c>
      <c r="O4" s="47" t="s">
        <v>114</v>
      </c>
      <c r="P4" s="47" t="s">
        <v>111</v>
      </c>
      <c r="Q4" s="126" t="s">
        <v>127</v>
      </c>
      <c r="R4" s="127"/>
      <c r="S4" s="130"/>
      <c r="T4" s="132"/>
      <c r="U4" s="116"/>
      <c r="V4" s="41" t="s">
        <v>109</v>
      </c>
      <c r="W4" s="41" t="s">
        <v>110</v>
      </c>
      <c r="X4" s="39" t="s">
        <v>115</v>
      </c>
      <c r="Y4" s="114"/>
      <c r="Z4" s="134" t="s">
        <v>195</v>
      </c>
      <c r="AA4" s="135"/>
    </row>
    <row r="5" spans="2:27" x14ac:dyDescent="0.3">
      <c r="B5" s="117">
        <v>45863</v>
      </c>
      <c r="C5" s="49" t="s">
        <v>116</v>
      </c>
      <c r="D5" s="80">
        <f>'LT GF'!L37</f>
        <v>2555</v>
      </c>
      <c r="E5" s="80">
        <f>'LT GF'!V37</f>
        <v>2373</v>
      </c>
      <c r="F5" s="50">
        <f>D5+E5</f>
        <v>4928</v>
      </c>
      <c r="G5" s="50"/>
      <c r="H5" s="78"/>
      <c r="I5" s="80">
        <f>'LT FF'!N37</f>
        <v>333</v>
      </c>
      <c r="J5" s="80">
        <f>'LT FF'!X37</f>
        <v>94</v>
      </c>
      <c r="K5" s="50">
        <f>I5+J5</f>
        <v>427</v>
      </c>
      <c r="L5" s="50"/>
      <c r="M5" s="51"/>
      <c r="N5" s="80">
        <f>'LT 2F'!P37</f>
        <v>7323</v>
      </c>
      <c r="O5" s="80">
        <f>'LT 2F'!Z37</f>
        <v>2731</v>
      </c>
      <c r="P5" s="51">
        <f>N5+O5</f>
        <v>10054</v>
      </c>
      <c r="Q5" s="51"/>
      <c r="R5" s="51"/>
      <c r="S5" s="52">
        <f t="shared" ref="S5:S36" si="0">F5+K5+P5</f>
        <v>15409</v>
      </c>
      <c r="T5" s="53">
        <f>S5/$S$12</f>
        <v>0.29375095317980782</v>
      </c>
      <c r="U5" s="101" t="s">
        <v>116</v>
      </c>
      <c r="V5" s="40">
        <f>'LT-Wshng'!Q37</f>
        <v>822</v>
      </c>
      <c r="W5" s="40">
        <f>'LT-Wshng'!W37</f>
        <v>0</v>
      </c>
      <c r="X5" s="37">
        <f>V5+W5</f>
        <v>822</v>
      </c>
      <c r="Y5" s="53">
        <f>X5/$X$12</f>
        <v>1.8841543081119492E-2</v>
      </c>
      <c r="Z5" s="97"/>
      <c r="AA5" s="98"/>
    </row>
    <row r="6" spans="2:27" ht="27.6" x14ac:dyDescent="0.3">
      <c r="B6" s="118"/>
      <c r="C6" s="54" t="s">
        <v>117</v>
      </c>
      <c r="D6" s="81">
        <f>'LT GF'!H37</f>
        <v>5201</v>
      </c>
      <c r="E6" s="81"/>
      <c r="F6" s="55">
        <f t="shared" ref="F6:F11" si="1">D6+E6</f>
        <v>5201</v>
      </c>
      <c r="G6" s="55"/>
      <c r="H6" s="55"/>
      <c r="I6" s="81">
        <f>'LT FF'!J37</f>
        <v>1963</v>
      </c>
      <c r="J6" s="81"/>
      <c r="K6" s="55">
        <f t="shared" ref="K6:K11" si="2">I6+J6</f>
        <v>1963</v>
      </c>
      <c r="L6" s="55"/>
      <c r="M6" s="55"/>
      <c r="N6" s="81">
        <f>'LT 2F'!L37</f>
        <v>5311</v>
      </c>
      <c r="O6" s="81"/>
      <c r="P6" s="55">
        <f t="shared" ref="P6:P11" si="3">N6+O6</f>
        <v>5311</v>
      </c>
      <c r="Q6" s="55"/>
      <c r="R6" s="55"/>
      <c r="S6" s="46">
        <f t="shared" si="0"/>
        <v>12475</v>
      </c>
      <c r="T6" s="53">
        <f>S6/$S$12</f>
        <v>0.23781836205581822</v>
      </c>
      <c r="U6" s="101" t="s">
        <v>117</v>
      </c>
      <c r="V6" s="38">
        <f>'LT-Wshng'!O37</f>
        <v>6511</v>
      </c>
      <c r="W6" s="38">
        <v>0</v>
      </c>
      <c r="X6" s="37">
        <f t="shared" ref="X6:X11" si="4">V6+W6</f>
        <v>6511</v>
      </c>
      <c r="Y6" s="53">
        <f t="shared" ref="Y6:Y11" si="5">X6/$X$12</f>
        <v>0.14924244160726155</v>
      </c>
      <c r="Z6" s="97"/>
      <c r="AA6" s="98"/>
    </row>
    <row r="7" spans="2:27" x14ac:dyDescent="0.3">
      <c r="B7" s="118"/>
      <c r="C7" s="54" t="s">
        <v>118</v>
      </c>
      <c r="D7" s="81">
        <f>'LT GF'!J37</f>
        <v>258</v>
      </c>
      <c r="E7" s="81">
        <f>'LT GF'!T37</f>
        <v>1732</v>
      </c>
      <c r="F7" s="55">
        <f t="shared" si="1"/>
        <v>1990</v>
      </c>
      <c r="G7" s="55"/>
      <c r="H7" s="55"/>
      <c r="I7" s="81">
        <f>'LT FF'!L37</f>
        <v>263</v>
      </c>
      <c r="J7" s="81">
        <f>'LT FF'!V37</f>
        <v>2034</v>
      </c>
      <c r="K7" s="55">
        <f t="shared" si="2"/>
        <v>2297</v>
      </c>
      <c r="L7" s="55"/>
      <c r="M7" s="55"/>
      <c r="N7" s="81">
        <f>'LT 2F'!N37</f>
        <v>277</v>
      </c>
      <c r="O7" s="81">
        <f>'LT 2F'!X37</f>
        <v>154</v>
      </c>
      <c r="P7" s="55">
        <f t="shared" si="3"/>
        <v>431</v>
      </c>
      <c r="Q7" s="55"/>
      <c r="R7" s="55"/>
      <c r="S7" s="46">
        <f t="shared" si="0"/>
        <v>4718</v>
      </c>
      <c r="T7" s="53">
        <f>S7/$S$12</f>
        <v>8.9942046667683392E-2</v>
      </c>
      <c r="U7" s="101" t="s">
        <v>118</v>
      </c>
      <c r="V7" s="38">
        <v>0</v>
      </c>
      <c r="W7" s="38">
        <v>0</v>
      </c>
      <c r="X7" s="37">
        <f t="shared" si="4"/>
        <v>0</v>
      </c>
      <c r="Y7" s="53">
        <f t="shared" si="5"/>
        <v>0</v>
      </c>
      <c r="Z7" s="97"/>
      <c r="AA7" s="98"/>
    </row>
    <row r="8" spans="2:27" x14ac:dyDescent="0.3">
      <c r="B8" s="118"/>
      <c r="C8" s="54" t="s">
        <v>119</v>
      </c>
      <c r="D8" s="81">
        <f>'LT GF'!F37</f>
        <v>0</v>
      </c>
      <c r="E8" s="81">
        <f>'LT GF'!R37</f>
        <v>0</v>
      </c>
      <c r="F8" s="55">
        <f t="shared" si="1"/>
        <v>0</v>
      </c>
      <c r="G8" s="55"/>
      <c r="H8" s="55"/>
      <c r="I8" s="81">
        <f>'LT FF'!H37</f>
        <v>6477</v>
      </c>
      <c r="J8" s="81">
        <f>'LT FF'!T37</f>
        <v>1708</v>
      </c>
      <c r="K8" s="55">
        <f t="shared" si="2"/>
        <v>8185</v>
      </c>
      <c r="L8" s="55"/>
      <c r="M8" s="55"/>
      <c r="N8" s="81">
        <f>'LT 2F'!J37</f>
        <v>1334</v>
      </c>
      <c r="O8" s="81">
        <f>'LT 2F'!V37</f>
        <v>0</v>
      </c>
      <c r="P8" s="55">
        <f t="shared" si="3"/>
        <v>1334</v>
      </c>
      <c r="Q8" s="55"/>
      <c r="R8" s="55"/>
      <c r="S8" s="46">
        <f t="shared" si="0"/>
        <v>9519</v>
      </c>
      <c r="T8" s="53">
        <f>S8/$S$12</f>
        <v>0.18146637181637945</v>
      </c>
      <c r="U8" s="101" t="s">
        <v>119</v>
      </c>
      <c r="V8" s="38">
        <f>'LT-Wshng'!E37-'Summary '!V5-V6-V7</f>
        <v>23199</v>
      </c>
      <c r="W8" s="38">
        <f>'LT-Wshng'!U37-W5-W6-W7-W9-W10-W11</f>
        <v>13095</v>
      </c>
      <c r="X8" s="37">
        <f t="shared" si="4"/>
        <v>36294</v>
      </c>
      <c r="Y8" s="53">
        <f t="shared" si="5"/>
        <v>0.83191601531161896</v>
      </c>
      <c r="Z8" s="97"/>
      <c r="AA8" s="98"/>
    </row>
    <row r="9" spans="2:27" x14ac:dyDescent="0.3">
      <c r="B9" s="118"/>
      <c r="C9" s="54" t="s">
        <v>120</v>
      </c>
      <c r="D9" s="81">
        <f>'LT GF'!N37</f>
        <v>23</v>
      </c>
      <c r="E9" s="81">
        <f>'LT GF'!X37</f>
        <v>261</v>
      </c>
      <c r="F9" s="55">
        <f t="shared" si="1"/>
        <v>284</v>
      </c>
      <c r="G9" s="55"/>
      <c r="H9" s="55"/>
      <c r="I9" s="81">
        <f>'LT FF'!P37</f>
        <v>4261</v>
      </c>
      <c r="J9" s="81">
        <f>'LT FF'!Z37</f>
        <v>4314</v>
      </c>
      <c r="K9" s="55">
        <f t="shared" si="2"/>
        <v>8575</v>
      </c>
      <c r="L9" s="55"/>
      <c r="M9" s="55"/>
      <c r="N9" s="81">
        <f>'LT 2F'!R37</f>
        <v>1322</v>
      </c>
      <c r="O9" s="81">
        <f>'LT 2F'!X37</f>
        <v>154</v>
      </c>
      <c r="P9" s="55">
        <f t="shared" si="3"/>
        <v>1476</v>
      </c>
      <c r="Q9" s="55"/>
      <c r="R9" s="55"/>
      <c r="S9" s="46">
        <f t="shared" si="0"/>
        <v>10335</v>
      </c>
      <c r="T9" s="53">
        <f>S9/$S$12</f>
        <v>0.19702226628031111</v>
      </c>
      <c r="U9" s="101" t="s">
        <v>120</v>
      </c>
      <c r="V9" s="38"/>
      <c r="W9" s="38"/>
      <c r="X9" s="37">
        <f t="shared" si="4"/>
        <v>0</v>
      </c>
      <c r="Y9" s="53">
        <f t="shared" si="5"/>
        <v>0</v>
      </c>
      <c r="Z9" s="97"/>
      <c r="AA9" s="98"/>
    </row>
    <row r="10" spans="2:27" x14ac:dyDescent="0.3">
      <c r="B10" s="118"/>
      <c r="C10" s="54"/>
      <c r="D10" s="81"/>
      <c r="E10" s="81"/>
      <c r="F10" s="55">
        <f t="shared" si="1"/>
        <v>0</v>
      </c>
      <c r="G10" s="55"/>
      <c r="H10" s="55"/>
      <c r="I10" s="81"/>
      <c r="J10" s="81"/>
      <c r="K10" s="55">
        <f t="shared" si="2"/>
        <v>0</v>
      </c>
      <c r="L10" s="55"/>
      <c r="M10" s="55"/>
      <c r="N10" s="81"/>
      <c r="O10" s="81"/>
      <c r="P10" s="55">
        <f t="shared" si="3"/>
        <v>0</v>
      </c>
      <c r="Q10" s="55"/>
      <c r="R10" s="55"/>
      <c r="S10" s="46">
        <f t="shared" si="0"/>
        <v>0</v>
      </c>
      <c r="T10" s="98"/>
      <c r="U10" s="101" t="s">
        <v>122</v>
      </c>
      <c r="V10" s="38"/>
      <c r="W10" s="38">
        <f>'LT-Wshng'!AC37</f>
        <v>0</v>
      </c>
      <c r="X10" s="37">
        <f t="shared" si="4"/>
        <v>0</v>
      </c>
      <c r="Y10" s="53">
        <f t="shared" si="5"/>
        <v>0</v>
      </c>
      <c r="Z10" s="97"/>
      <c r="AA10" s="98"/>
    </row>
    <row r="11" spans="2:27" x14ac:dyDescent="0.3">
      <c r="B11" s="118"/>
      <c r="C11" s="57"/>
      <c r="D11" s="82"/>
      <c r="E11" s="82"/>
      <c r="F11" s="58">
        <f t="shared" si="1"/>
        <v>0</v>
      </c>
      <c r="G11" s="58"/>
      <c r="H11" s="58"/>
      <c r="I11" s="82"/>
      <c r="J11" s="82"/>
      <c r="K11" s="58">
        <f t="shared" si="2"/>
        <v>0</v>
      </c>
      <c r="L11" s="58"/>
      <c r="M11" s="58"/>
      <c r="N11" s="82"/>
      <c r="O11" s="82"/>
      <c r="P11" s="58">
        <f t="shared" si="3"/>
        <v>0</v>
      </c>
      <c r="Q11" s="58"/>
      <c r="R11" s="58"/>
      <c r="S11" s="48">
        <f t="shared" si="0"/>
        <v>0</v>
      </c>
      <c r="T11" s="99"/>
      <c r="U11" s="101" t="s">
        <v>123</v>
      </c>
      <c r="V11" s="38"/>
      <c r="W11" s="38">
        <f>'LT-Wshng'!AE37</f>
        <v>0</v>
      </c>
      <c r="X11" s="37">
        <f t="shared" si="4"/>
        <v>0</v>
      </c>
      <c r="Y11" s="53">
        <f t="shared" si="5"/>
        <v>0</v>
      </c>
      <c r="Z11" s="97"/>
      <c r="AA11" s="98"/>
    </row>
    <row r="12" spans="2:27" x14ac:dyDescent="0.3">
      <c r="B12" s="119"/>
      <c r="C12" s="60" t="s">
        <v>128</v>
      </c>
      <c r="D12" s="83"/>
      <c r="E12" s="83"/>
      <c r="F12" s="61">
        <f>SUM(F5:F11)</f>
        <v>12403</v>
      </c>
      <c r="G12" s="61"/>
      <c r="H12" s="79"/>
      <c r="I12" s="83"/>
      <c r="J12" s="83"/>
      <c r="K12" s="61">
        <f>SUM(K5:K11)</f>
        <v>21447</v>
      </c>
      <c r="L12" s="61"/>
      <c r="M12" s="61"/>
      <c r="N12" s="82"/>
      <c r="O12" s="82"/>
      <c r="P12" s="61">
        <f>SUM(P5:P11)</f>
        <v>18606</v>
      </c>
      <c r="Q12" s="61"/>
      <c r="R12" s="61"/>
      <c r="S12" s="62">
        <f t="shared" si="0"/>
        <v>52456</v>
      </c>
      <c r="T12" s="100">
        <f>SUM(T5:T11)</f>
        <v>1</v>
      </c>
      <c r="U12" s="101"/>
      <c r="V12" s="42">
        <f>SUM(V5:V11)</f>
        <v>30532</v>
      </c>
      <c r="W12" s="42">
        <f>SUM(W5:W11)</f>
        <v>13095</v>
      </c>
      <c r="X12" s="43">
        <f>V12+W12</f>
        <v>43627</v>
      </c>
      <c r="Y12" s="63"/>
      <c r="Z12" s="97"/>
      <c r="AA12" s="98"/>
    </row>
    <row r="13" spans="2:27" x14ac:dyDescent="0.3">
      <c r="B13" s="117">
        <v>45894</v>
      </c>
      <c r="C13" s="49" t="s">
        <v>116</v>
      </c>
      <c r="D13" s="80">
        <f>'LT GF'!L70</f>
        <v>2612</v>
      </c>
      <c r="E13" s="80">
        <f>'LT GF'!V70</f>
        <v>2038</v>
      </c>
      <c r="F13" s="50">
        <f>D13+E13</f>
        <v>4650</v>
      </c>
      <c r="G13" s="50"/>
      <c r="H13" s="50"/>
      <c r="I13" s="80">
        <f>'LT FF'!N70</f>
        <v>362</v>
      </c>
      <c r="J13" s="80">
        <f>'LT FF'!X70</f>
        <v>239</v>
      </c>
      <c r="K13" s="50">
        <f>I13+J13</f>
        <v>601</v>
      </c>
      <c r="L13" s="50"/>
      <c r="M13" s="51"/>
      <c r="N13" s="80">
        <f>'LT 2F'!P70</f>
        <v>7496</v>
      </c>
      <c r="O13" s="80">
        <f>'LT 2F'!Z70</f>
        <v>2553</v>
      </c>
      <c r="P13" s="51">
        <f>N13+O13</f>
        <v>10049</v>
      </c>
      <c r="Q13" s="51"/>
      <c r="R13" s="51"/>
      <c r="S13" s="52">
        <f t="shared" si="0"/>
        <v>15300</v>
      </c>
      <c r="T13" s="53">
        <f>S13/$S$20</f>
        <v>0.27094991853793299</v>
      </c>
      <c r="U13" s="101" t="s">
        <v>116</v>
      </c>
      <c r="V13" s="40">
        <f>'LT-Wshng'!Q70</f>
        <v>3426</v>
      </c>
      <c r="W13" s="40">
        <f>'LT-Wshng'!W45</f>
        <v>113</v>
      </c>
      <c r="X13" s="37">
        <f>V13+W13</f>
        <v>3539</v>
      </c>
      <c r="Y13" s="53">
        <f>X13/$X$20</f>
        <v>6.6734551488751861E-2</v>
      </c>
      <c r="Z13" s="97"/>
      <c r="AA13" s="98"/>
    </row>
    <row r="14" spans="2:27" ht="27.6" x14ac:dyDescent="0.3">
      <c r="B14" s="118"/>
      <c r="C14" s="54" t="s">
        <v>117</v>
      </c>
      <c r="D14" s="81">
        <f>'LT GF'!H70</f>
        <v>5732</v>
      </c>
      <c r="E14" s="81"/>
      <c r="F14" s="55">
        <f t="shared" ref="F14:F19" si="6">D14+E14</f>
        <v>5732</v>
      </c>
      <c r="G14" s="55"/>
      <c r="H14" s="55"/>
      <c r="I14" s="81">
        <f>'LT FF'!J70</f>
        <v>1954</v>
      </c>
      <c r="J14" s="81"/>
      <c r="K14" s="55">
        <f t="shared" ref="K14:K19" si="7">I14+J14</f>
        <v>1954</v>
      </c>
      <c r="L14" s="55"/>
      <c r="M14" s="55"/>
      <c r="N14" s="81">
        <f>'LT 2F'!L70</f>
        <v>5273</v>
      </c>
      <c r="O14" s="81"/>
      <c r="P14" s="55">
        <f t="shared" ref="P14:P19" si="8">N14+O14</f>
        <v>5273</v>
      </c>
      <c r="Q14" s="55"/>
      <c r="R14" s="55"/>
      <c r="S14" s="46">
        <f t="shared" si="0"/>
        <v>12959</v>
      </c>
      <c r="T14" s="53">
        <f>S14/$S$20</f>
        <v>0.22949281008712899</v>
      </c>
      <c r="U14" s="101" t="s">
        <v>117</v>
      </c>
      <c r="V14" s="38">
        <f>'LT-Wshng'!O70</f>
        <v>6283</v>
      </c>
      <c r="W14" s="38">
        <v>0</v>
      </c>
      <c r="X14" s="37">
        <f t="shared" ref="X14:X19" si="9">V14+W14</f>
        <v>6283</v>
      </c>
      <c r="Y14" s="53">
        <f t="shared" ref="Y14:Y19" si="10">X14/$X$20</f>
        <v>0.11847787143368974</v>
      </c>
      <c r="Z14" s="97"/>
      <c r="AA14" s="98"/>
    </row>
    <row r="15" spans="2:27" x14ac:dyDescent="0.3">
      <c r="B15" s="118"/>
      <c r="C15" s="54" t="s">
        <v>118</v>
      </c>
      <c r="D15" s="81">
        <f>'LT GF'!J70</f>
        <v>518</v>
      </c>
      <c r="E15" s="81">
        <f>'LT GF'!T70</f>
        <v>1913</v>
      </c>
      <c r="F15" s="55">
        <f t="shared" si="6"/>
        <v>2431</v>
      </c>
      <c r="G15" s="55"/>
      <c r="H15" s="55"/>
      <c r="I15" s="81">
        <f>'LT FF'!L70</f>
        <v>257</v>
      </c>
      <c r="J15" s="81">
        <f>'LT FF'!V70</f>
        <v>1947</v>
      </c>
      <c r="K15" s="55">
        <f t="shared" si="7"/>
        <v>2204</v>
      </c>
      <c r="L15" s="55"/>
      <c r="M15" s="55"/>
      <c r="N15" s="81">
        <f>'LT 2F'!N70</f>
        <v>261</v>
      </c>
      <c r="O15" s="81">
        <f>'LT 2F'!X70</f>
        <v>122</v>
      </c>
      <c r="P15" s="55">
        <f t="shared" si="8"/>
        <v>383</v>
      </c>
      <c r="Q15" s="55"/>
      <c r="R15" s="55"/>
      <c r="S15" s="46">
        <f t="shared" si="0"/>
        <v>5018</v>
      </c>
      <c r="T15" s="53">
        <f>S15/$S$20</f>
        <v>8.8864489622441034E-2</v>
      </c>
      <c r="U15" s="101" t="s">
        <v>118</v>
      </c>
      <c r="V15" s="38">
        <v>0</v>
      </c>
      <c r="W15" s="38">
        <v>0</v>
      </c>
      <c r="X15" s="37">
        <f t="shared" si="9"/>
        <v>0</v>
      </c>
      <c r="Y15" s="53">
        <f t="shared" si="10"/>
        <v>0</v>
      </c>
      <c r="Z15" s="97"/>
      <c r="AA15" s="98"/>
    </row>
    <row r="16" spans="2:27" x14ac:dyDescent="0.3">
      <c r="B16" s="118"/>
      <c r="C16" s="54" t="s">
        <v>119</v>
      </c>
      <c r="D16" s="81">
        <f>'LT GF'!F70</f>
        <v>0</v>
      </c>
      <c r="E16" s="81">
        <f>'LT GF'!R70</f>
        <v>288</v>
      </c>
      <c r="F16" s="55">
        <f t="shared" si="6"/>
        <v>288</v>
      </c>
      <c r="G16" s="55"/>
      <c r="H16" s="55"/>
      <c r="I16" s="81">
        <f>'LT FF'!H70</f>
        <v>6827</v>
      </c>
      <c r="J16" s="81">
        <f>'LT FF'!T70</f>
        <v>1895</v>
      </c>
      <c r="K16" s="55">
        <f t="shared" si="7"/>
        <v>8722</v>
      </c>
      <c r="L16" s="55"/>
      <c r="M16" s="55"/>
      <c r="N16" s="81">
        <f>'LT 2F'!J70</f>
        <v>1455</v>
      </c>
      <c r="O16" s="81">
        <f>'LT 2F'!V70</f>
        <v>0</v>
      </c>
      <c r="P16" s="55">
        <f t="shared" si="8"/>
        <v>1455</v>
      </c>
      <c r="Q16" s="55"/>
      <c r="R16" s="55"/>
      <c r="S16" s="46">
        <f t="shared" si="0"/>
        <v>10465</v>
      </c>
      <c r="T16" s="53">
        <f>S16/$S$20</f>
        <v>0.18532620245094567</v>
      </c>
      <c r="U16" s="101" t="s">
        <v>119</v>
      </c>
      <c r="V16" s="38">
        <f>'LT-Wshng'!E70-'Summary '!V13-V14-V15</f>
        <v>27157</v>
      </c>
      <c r="W16" s="38">
        <f>'LT-Wshng'!U70-W13-W14-W15-W17-W18-W19</f>
        <v>11529</v>
      </c>
      <c r="X16" s="37">
        <f t="shared" si="9"/>
        <v>38686</v>
      </c>
      <c r="Y16" s="53">
        <f t="shared" si="10"/>
        <v>0.72949784088551983</v>
      </c>
      <c r="Z16" s="97"/>
      <c r="AA16" s="98"/>
    </row>
    <row r="17" spans="2:27" x14ac:dyDescent="0.3">
      <c r="B17" s="118"/>
      <c r="C17" s="54" t="s">
        <v>120</v>
      </c>
      <c r="D17" s="81">
        <f>'LT GF'!N70</f>
        <v>47</v>
      </c>
      <c r="E17" s="81">
        <f>'LT GF'!X70</f>
        <v>311</v>
      </c>
      <c r="F17" s="55">
        <f t="shared" si="6"/>
        <v>358</v>
      </c>
      <c r="G17" s="55"/>
      <c r="H17" s="55"/>
      <c r="I17" s="81">
        <f>'LT FF'!P70</f>
        <v>5688</v>
      </c>
      <c r="J17" s="81">
        <f>'LT FF'!Z70</f>
        <v>5569</v>
      </c>
      <c r="K17" s="55">
        <f t="shared" si="7"/>
        <v>11257</v>
      </c>
      <c r="L17" s="55"/>
      <c r="M17" s="55"/>
      <c r="N17" s="81">
        <f>'LT 2F'!R70</f>
        <v>989</v>
      </c>
      <c r="O17" s="81">
        <f>'LT 2F'!X70</f>
        <v>122</v>
      </c>
      <c r="P17" s="55">
        <f t="shared" si="8"/>
        <v>1111</v>
      </c>
      <c r="Q17" s="55"/>
      <c r="R17" s="55"/>
      <c r="S17" s="46">
        <f t="shared" si="0"/>
        <v>12726</v>
      </c>
      <c r="T17" s="53">
        <f>S17/$S$20</f>
        <v>0.22536657930155132</v>
      </c>
      <c r="U17" s="101" t="s">
        <v>120</v>
      </c>
      <c r="V17" s="38"/>
      <c r="W17" s="38"/>
      <c r="X17" s="37">
        <f t="shared" si="9"/>
        <v>0</v>
      </c>
      <c r="Y17" s="53">
        <f t="shared" si="10"/>
        <v>0</v>
      </c>
      <c r="Z17" s="97"/>
      <c r="AA17" s="98"/>
    </row>
    <row r="18" spans="2:27" x14ac:dyDescent="0.3">
      <c r="B18" s="118"/>
      <c r="C18" s="54"/>
      <c r="D18" s="81"/>
      <c r="E18" s="81"/>
      <c r="F18" s="55">
        <f t="shared" si="6"/>
        <v>0</v>
      </c>
      <c r="G18" s="55"/>
      <c r="H18" s="55"/>
      <c r="I18" s="81"/>
      <c r="J18" s="81"/>
      <c r="K18" s="55">
        <f t="shared" si="7"/>
        <v>0</v>
      </c>
      <c r="L18" s="55"/>
      <c r="M18" s="55"/>
      <c r="N18" s="81"/>
      <c r="O18" s="81"/>
      <c r="P18" s="55">
        <f t="shared" si="8"/>
        <v>0</v>
      </c>
      <c r="Q18" s="55"/>
      <c r="R18" s="55"/>
      <c r="S18" s="46">
        <f t="shared" si="0"/>
        <v>0</v>
      </c>
      <c r="T18" s="98"/>
      <c r="U18" s="101" t="s">
        <v>122</v>
      </c>
      <c r="V18" s="38"/>
      <c r="W18" s="38">
        <f>'LT-Wshng'!AC70</f>
        <v>2257</v>
      </c>
      <c r="X18" s="37">
        <f t="shared" si="9"/>
        <v>2257</v>
      </c>
      <c r="Y18" s="53">
        <f t="shared" si="10"/>
        <v>4.2560012068412818E-2</v>
      </c>
      <c r="Z18" s="97"/>
      <c r="AA18" s="98"/>
    </row>
    <row r="19" spans="2:27" x14ac:dyDescent="0.3">
      <c r="B19" s="118"/>
      <c r="C19" s="57"/>
      <c r="D19" s="82"/>
      <c r="E19" s="82"/>
      <c r="F19" s="58">
        <f t="shared" si="6"/>
        <v>0</v>
      </c>
      <c r="G19" s="58"/>
      <c r="H19" s="58"/>
      <c r="I19" s="82"/>
      <c r="J19" s="82"/>
      <c r="K19" s="58">
        <f t="shared" si="7"/>
        <v>0</v>
      </c>
      <c r="L19" s="58"/>
      <c r="M19" s="58"/>
      <c r="N19" s="82"/>
      <c r="O19" s="82"/>
      <c r="P19" s="58">
        <f t="shared" si="8"/>
        <v>0</v>
      </c>
      <c r="Q19" s="58"/>
      <c r="R19" s="58"/>
      <c r="S19" s="48">
        <f t="shared" si="0"/>
        <v>0</v>
      </c>
      <c r="T19" s="99"/>
      <c r="U19" s="102" t="s">
        <v>123</v>
      </c>
      <c r="V19" s="38"/>
      <c r="W19" s="38">
        <f>'LT-Wshng'!AE70</f>
        <v>2266</v>
      </c>
      <c r="X19" s="37">
        <f t="shared" si="9"/>
        <v>2266</v>
      </c>
      <c r="Y19" s="53">
        <f t="shared" si="10"/>
        <v>4.2729724123625801E-2</v>
      </c>
      <c r="Z19" s="97"/>
      <c r="AA19" s="98"/>
    </row>
    <row r="20" spans="2:27" x14ac:dyDescent="0.3">
      <c r="B20" s="119"/>
      <c r="C20" s="60" t="s">
        <v>128</v>
      </c>
      <c r="D20" s="83"/>
      <c r="E20" s="83"/>
      <c r="F20" s="61">
        <f>SUM(F13:F19)</f>
        <v>13459</v>
      </c>
      <c r="G20" s="61"/>
      <c r="H20" s="61"/>
      <c r="I20" s="83"/>
      <c r="J20" s="83"/>
      <c r="K20" s="61">
        <f>SUM(K13:K19)</f>
        <v>24738</v>
      </c>
      <c r="L20" s="61"/>
      <c r="M20" s="61"/>
      <c r="N20" s="82"/>
      <c r="O20" s="82"/>
      <c r="P20" s="61">
        <f>SUM(P13:P19)</f>
        <v>18271</v>
      </c>
      <c r="Q20" s="61"/>
      <c r="R20" s="61"/>
      <c r="S20" s="62">
        <f t="shared" si="0"/>
        <v>56468</v>
      </c>
      <c r="T20" s="100">
        <f>SUM(T13:T19)</f>
        <v>1</v>
      </c>
      <c r="U20" s="103"/>
      <c r="V20" s="61">
        <f>SUM(V13:V19)</f>
        <v>36866</v>
      </c>
      <c r="W20" s="61">
        <f>SUM(W13:W19)</f>
        <v>16165</v>
      </c>
      <c r="X20" s="62">
        <f>V20+W20</f>
        <v>53031</v>
      </c>
      <c r="Y20" s="63"/>
      <c r="Z20" s="97"/>
      <c r="AA20" s="98"/>
    </row>
    <row r="21" spans="2:27" x14ac:dyDescent="0.3">
      <c r="B21" s="117">
        <v>45925</v>
      </c>
      <c r="C21" s="49" t="s">
        <v>116</v>
      </c>
      <c r="D21" s="80">
        <f>'LT GF'!L102</f>
        <v>2794</v>
      </c>
      <c r="E21" s="80">
        <f>'LT GF'!V102</f>
        <v>2205</v>
      </c>
      <c r="F21" s="50">
        <f>D21+E21</f>
        <v>4999</v>
      </c>
      <c r="G21" s="50"/>
      <c r="H21" s="50"/>
      <c r="I21" s="80">
        <f>'LT FF'!N102</f>
        <v>274</v>
      </c>
      <c r="J21" s="80">
        <f>'LT FF'!X102</f>
        <v>172</v>
      </c>
      <c r="K21" s="50">
        <f>I21+J21</f>
        <v>446</v>
      </c>
      <c r="L21" s="50"/>
      <c r="M21" s="51"/>
      <c r="N21" s="80">
        <f>'LT 2F'!P102</f>
        <v>7222</v>
      </c>
      <c r="O21" s="80">
        <f>'LT 2F'!Z102</f>
        <v>2535</v>
      </c>
      <c r="P21" s="51">
        <f>N21+O21</f>
        <v>9757</v>
      </c>
      <c r="Q21" s="51"/>
      <c r="R21" s="51"/>
      <c r="S21" s="52">
        <f t="shared" si="0"/>
        <v>15202</v>
      </c>
      <c r="T21" s="53">
        <f>S21/$S$28</f>
        <v>0.24884596496971681</v>
      </c>
      <c r="U21" s="101" t="s">
        <v>116</v>
      </c>
      <c r="V21" s="40">
        <f>'LT-Wshng'!Q102</f>
        <v>3444</v>
      </c>
      <c r="W21" s="40">
        <f>'LT-Wshng'!W102</f>
        <v>2876</v>
      </c>
      <c r="X21" s="37">
        <f>V21+W21</f>
        <v>6320</v>
      </c>
      <c r="Y21" s="53">
        <f t="shared" ref="Y21:Y27" si="11">X21/$X$28</f>
        <v>0.11116583409554633</v>
      </c>
      <c r="Z21" s="97"/>
      <c r="AA21" s="98"/>
    </row>
    <row r="22" spans="2:27" ht="27.6" x14ac:dyDescent="0.3">
      <c r="B22" s="118"/>
      <c r="C22" s="54" t="s">
        <v>117</v>
      </c>
      <c r="D22" s="81">
        <f>'LT GF'!H102</f>
        <v>5176</v>
      </c>
      <c r="E22" s="81"/>
      <c r="F22" s="55">
        <f t="shared" ref="F22:F27" si="12">D22+E22</f>
        <v>5176</v>
      </c>
      <c r="G22" s="55"/>
      <c r="H22" s="55"/>
      <c r="I22" s="81">
        <f>'LT FF'!J102</f>
        <v>2165</v>
      </c>
      <c r="J22" s="81"/>
      <c r="K22" s="55">
        <f t="shared" ref="K22:K27" si="13">I22+J22</f>
        <v>2165</v>
      </c>
      <c r="L22" s="55"/>
      <c r="M22" s="55"/>
      <c r="N22" s="81">
        <f>'LT 2F'!L102</f>
        <v>5333</v>
      </c>
      <c r="O22" s="81"/>
      <c r="P22" s="55">
        <f t="shared" ref="P22:P27" si="14">N22+O22</f>
        <v>5333</v>
      </c>
      <c r="Q22" s="55"/>
      <c r="R22" s="55"/>
      <c r="S22" s="46">
        <f t="shared" si="0"/>
        <v>12674</v>
      </c>
      <c r="T22" s="53">
        <f>S22/$S$28</f>
        <v>0.20746439679161893</v>
      </c>
      <c r="U22" s="101" t="s">
        <v>117</v>
      </c>
      <c r="V22" s="38">
        <f>'LT-Wshng'!O102</f>
        <v>6093</v>
      </c>
      <c r="W22" s="38">
        <v>0</v>
      </c>
      <c r="X22" s="37">
        <f t="shared" ref="X22:X27" si="15">V22+W22</f>
        <v>6093</v>
      </c>
      <c r="Y22" s="53">
        <f t="shared" si="11"/>
        <v>0.10717301062407655</v>
      </c>
      <c r="Z22" s="97"/>
      <c r="AA22" s="98"/>
    </row>
    <row r="23" spans="2:27" x14ac:dyDescent="0.3">
      <c r="B23" s="118"/>
      <c r="C23" s="54" t="s">
        <v>118</v>
      </c>
      <c r="D23" s="81">
        <f>'LT GF'!J102</f>
        <v>662</v>
      </c>
      <c r="E23" s="81">
        <f>'LT GF'!T102</f>
        <v>2383</v>
      </c>
      <c r="F23" s="55">
        <f t="shared" si="12"/>
        <v>3045</v>
      </c>
      <c r="G23" s="55"/>
      <c r="H23" s="55"/>
      <c r="I23" s="81">
        <f>'LT FF'!L102</f>
        <v>311</v>
      </c>
      <c r="J23" s="81">
        <f>'LT FF'!V102</f>
        <v>1860</v>
      </c>
      <c r="K23" s="55">
        <f t="shared" si="13"/>
        <v>2171</v>
      </c>
      <c r="L23" s="55"/>
      <c r="M23" s="55"/>
      <c r="N23" s="81">
        <f>'LT 2F'!N102</f>
        <v>288</v>
      </c>
      <c r="O23" s="81">
        <f>'LT 2F'!X102</f>
        <v>141</v>
      </c>
      <c r="P23" s="55">
        <f t="shared" si="14"/>
        <v>429</v>
      </c>
      <c r="Q23" s="55"/>
      <c r="R23" s="55"/>
      <c r="S23" s="46">
        <f t="shared" si="0"/>
        <v>5645</v>
      </c>
      <c r="T23" s="53">
        <f>S23/$S$28</f>
        <v>9.2404648878703546E-2</v>
      </c>
      <c r="U23" s="101" t="s">
        <v>118</v>
      </c>
      <c r="V23" s="38">
        <v>0</v>
      </c>
      <c r="W23" s="38">
        <v>0</v>
      </c>
      <c r="X23" s="37">
        <f t="shared" si="15"/>
        <v>0</v>
      </c>
      <c r="Y23" s="53">
        <f t="shared" si="11"/>
        <v>0</v>
      </c>
      <c r="Z23" s="97"/>
      <c r="AA23" s="98"/>
    </row>
    <row r="24" spans="2:27" x14ac:dyDescent="0.3">
      <c r="B24" s="118"/>
      <c r="C24" s="54" t="s">
        <v>119</v>
      </c>
      <c r="D24" s="81">
        <f>'LT GF'!F102</f>
        <v>0</v>
      </c>
      <c r="E24" s="81">
        <f>'LT GF'!R102</f>
        <v>1735</v>
      </c>
      <c r="F24" s="55">
        <f t="shared" si="12"/>
        <v>1735</v>
      </c>
      <c r="G24" s="55"/>
      <c r="H24" s="55"/>
      <c r="I24" s="81">
        <f>'LT FF'!H102</f>
        <v>6888</v>
      </c>
      <c r="J24" s="81">
        <f>'LT FF'!T102</f>
        <v>2585</v>
      </c>
      <c r="K24" s="55">
        <f t="shared" si="13"/>
        <v>9473</v>
      </c>
      <c r="L24" s="55"/>
      <c r="M24" s="55"/>
      <c r="N24" s="81">
        <f>'LT 2F'!J102</f>
        <v>2097</v>
      </c>
      <c r="O24" s="81">
        <f>'LT 2F'!V102</f>
        <v>0</v>
      </c>
      <c r="P24" s="55">
        <f t="shared" si="14"/>
        <v>2097</v>
      </c>
      <c r="Q24" s="55"/>
      <c r="R24" s="55"/>
      <c r="S24" s="46">
        <f t="shared" si="0"/>
        <v>13305</v>
      </c>
      <c r="T24" s="53">
        <f>S24/$S$28</f>
        <v>0.2177934195449337</v>
      </c>
      <c r="U24" s="101" t="s">
        <v>119</v>
      </c>
      <c r="V24" s="38">
        <f>'LT-Wshng'!E102-'Summary '!V21-V22-V23</f>
        <v>31175</v>
      </c>
      <c r="W24" s="38">
        <f>'LT-Wshng'!U102-W21-W22-W23-W25-W26-W27</f>
        <v>8672</v>
      </c>
      <c r="X24" s="37">
        <f t="shared" si="15"/>
        <v>39847</v>
      </c>
      <c r="Y24" s="53">
        <f t="shared" si="11"/>
        <v>0.70089003025399277</v>
      </c>
      <c r="Z24" s="97"/>
      <c r="AA24" s="98"/>
    </row>
    <row r="25" spans="2:27" x14ac:dyDescent="0.3">
      <c r="B25" s="118"/>
      <c r="C25" s="54" t="s">
        <v>120</v>
      </c>
      <c r="D25" s="81">
        <f>'LT GF'!N102</f>
        <v>40</v>
      </c>
      <c r="E25" s="81">
        <f>'LT GF'!X102</f>
        <v>333</v>
      </c>
      <c r="F25" s="55">
        <f t="shared" si="12"/>
        <v>373</v>
      </c>
      <c r="G25" s="55"/>
      <c r="H25" s="55"/>
      <c r="I25" s="81">
        <f>'LT FF'!P102</f>
        <v>6390</v>
      </c>
      <c r="J25" s="81">
        <f>'LT FF'!Z102</f>
        <v>6404</v>
      </c>
      <c r="K25" s="55">
        <f t="shared" si="13"/>
        <v>12794</v>
      </c>
      <c r="L25" s="55"/>
      <c r="M25" s="55"/>
      <c r="N25" s="81">
        <f>'LT 2F'!R102</f>
        <v>956</v>
      </c>
      <c r="O25" s="81">
        <f>'LT 2F'!X102</f>
        <v>141</v>
      </c>
      <c r="P25" s="55">
        <f t="shared" si="14"/>
        <v>1097</v>
      </c>
      <c r="Q25" s="55"/>
      <c r="R25" s="55"/>
      <c r="S25" s="46">
        <f t="shared" si="0"/>
        <v>14264</v>
      </c>
      <c r="T25" s="53">
        <f>S25/$S$28</f>
        <v>0.233491569815027</v>
      </c>
      <c r="U25" s="101" t="s">
        <v>120</v>
      </c>
      <c r="V25" s="38"/>
      <c r="W25" s="38"/>
      <c r="X25" s="37">
        <f t="shared" si="15"/>
        <v>0</v>
      </c>
      <c r="Y25" s="53">
        <f t="shared" si="11"/>
        <v>0</v>
      </c>
      <c r="Z25" s="97"/>
      <c r="AA25" s="98"/>
    </row>
    <row r="26" spans="2:27" x14ac:dyDescent="0.3">
      <c r="B26" s="118"/>
      <c r="C26" s="54"/>
      <c r="D26" s="81"/>
      <c r="E26" s="81"/>
      <c r="F26" s="55">
        <f t="shared" si="12"/>
        <v>0</v>
      </c>
      <c r="G26" s="55"/>
      <c r="H26" s="55"/>
      <c r="I26" s="81"/>
      <c r="J26" s="81"/>
      <c r="K26" s="55">
        <f t="shared" si="13"/>
        <v>0</v>
      </c>
      <c r="L26" s="55"/>
      <c r="M26" s="55"/>
      <c r="N26" s="81"/>
      <c r="O26" s="81"/>
      <c r="P26" s="55">
        <f t="shared" si="14"/>
        <v>0</v>
      </c>
      <c r="Q26" s="55"/>
      <c r="R26" s="55"/>
      <c r="S26" s="46">
        <f t="shared" si="0"/>
        <v>0</v>
      </c>
      <c r="T26" s="98"/>
      <c r="U26" s="101" t="s">
        <v>122</v>
      </c>
      <c r="V26" s="38"/>
      <c r="W26" s="38">
        <f>'LT-Wshng'!AC102</f>
        <v>2265</v>
      </c>
      <c r="X26" s="37">
        <f t="shared" si="15"/>
        <v>2265</v>
      </c>
      <c r="Y26" s="53">
        <f t="shared" si="11"/>
        <v>3.9840287061141212E-2</v>
      </c>
      <c r="Z26" s="97"/>
      <c r="AA26" s="98"/>
    </row>
    <row r="27" spans="2:27" x14ac:dyDescent="0.3">
      <c r="B27" s="118"/>
      <c r="C27" s="57"/>
      <c r="D27" s="82"/>
      <c r="E27" s="82"/>
      <c r="F27" s="58">
        <f t="shared" si="12"/>
        <v>0</v>
      </c>
      <c r="G27" s="58"/>
      <c r="H27" s="58"/>
      <c r="I27" s="82"/>
      <c r="J27" s="82"/>
      <c r="K27" s="58">
        <f t="shared" si="13"/>
        <v>0</v>
      </c>
      <c r="L27" s="58"/>
      <c r="M27" s="58"/>
      <c r="N27" s="82"/>
      <c r="O27" s="82"/>
      <c r="P27" s="58">
        <f t="shared" si="14"/>
        <v>0</v>
      </c>
      <c r="Q27" s="58"/>
      <c r="R27" s="58"/>
      <c r="S27" s="48">
        <f t="shared" si="0"/>
        <v>0</v>
      </c>
      <c r="T27" s="99"/>
      <c r="U27" s="102" t="s">
        <v>123</v>
      </c>
      <c r="V27" s="38"/>
      <c r="W27" s="38">
        <f>'LT-Wshng'!AE102</f>
        <v>2327</v>
      </c>
      <c r="X27" s="37">
        <f t="shared" si="15"/>
        <v>2327</v>
      </c>
      <c r="Y27" s="53">
        <f t="shared" si="11"/>
        <v>4.0930837965243085E-2</v>
      </c>
      <c r="Z27" s="97"/>
      <c r="AA27" s="98"/>
    </row>
    <row r="28" spans="2:27" x14ac:dyDescent="0.3">
      <c r="B28" s="119"/>
      <c r="C28" s="60" t="s">
        <v>128</v>
      </c>
      <c r="D28" s="83"/>
      <c r="E28" s="83"/>
      <c r="F28" s="61">
        <f>SUM(F21:F27)</f>
        <v>15328</v>
      </c>
      <c r="G28" s="61"/>
      <c r="H28" s="61"/>
      <c r="I28" s="83"/>
      <c r="J28" s="83"/>
      <c r="K28" s="61">
        <f>SUM(K21:K27)</f>
        <v>27049</v>
      </c>
      <c r="L28" s="61"/>
      <c r="M28" s="61"/>
      <c r="N28" s="82"/>
      <c r="O28" s="82"/>
      <c r="P28" s="61">
        <f>SUM(P21:P27)</f>
        <v>18713</v>
      </c>
      <c r="Q28" s="61"/>
      <c r="R28" s="61"/>
      <c r="S28" s="62">
        <f t="shared" si="0"/>
        <v>61090</v>
      </c>
      <c r="T28" s="100">
        <f>SUM(T21:T27)</f>
        <v>1</v>
      </c>
      <c r="U28" s="103"/>
      <c r="V28" s="61">
        <f>SUM(V21:V27)</f>
        <v>40712</v>
      </c>
      <c r="W28" s="61">
        <f>SUM(W21:W27)</f>
        <v>16140</v>
      </c>
      <c r="X28" s="62">
        <f>V28+W28</f>
        <v>56852</v>
      </c>
      <c r="Y28" s="63"/>
      <c r="Z28" s="97"/>
      <c r="AA28" s="98"/>
    </row>
    <row r="29" spans="2:27" ht="14.4" customHeight="1" x14ac:dyDescent="0.3">
      <c r="B29" s="117">
        <v>45931</v>
      </c>
      <c r="C29" s="49" t="s">
        <v>116</v>
      </c>
      <c r="D29" s="80">
        <f>'LT GF'!L135</f>
        <v>3898</v>
      </c>
      <c r="E29" s="80">
        <f>'LT GF'!V135</f>
        <v>3163</v>
      </c>
      <c r="F29" s="50">
        <f>D29+E29</f>
        <v>7061</v>
      </c>
      <c r="G29" s="50">
        <f>Overtime!H37</f>
        <v>944</v>
      </c>
      <c r="H29" s="50">
        <f>Overtime!N37</f>
        <v>582</v>
      </c>
      <c r="I29" s="80">
        <f>'LT FF'!N135</f>
        <v>337</v>
      </c>
      <c r="J29" s="80">
        <f>'LT FF'!X135</f>
        <v>228</v>
      </c>
      <c r="K29" s="50">
        <f>I29+J29</f>
        <v>565</v>
      </c>
      <c r="L29" s="50">
        <f>Overtime!V37</f>
        <v>162</v>
      </c>
      <c r="M29" s="51">
        <f>Overtime!AB37</f>
        <v>241</v>
      </c>
      <c r="N29" s="80">
        <f>'LT 2F'!P135</f>
        <v>8252</v>
      </c>
      <c r="O29" s="80">
        <f>'LT 2F'!Z135</f>
        <v>3413</v>
      </c>
      <c r="P29" s="51">
        <f>N29+O29</f>
        <v>11665</v>
      </c>
      <c r="Q29" s="51">
        <f>Overtime!AJ37</f>
        <v>470</v>
      </c>
      <c r="R29" s="51">
        <f>Overtime!AP37</f>
        <v>0</v>
      </c>
      <c r="S29" s="52">
        <f t="shared" si="0"/>
        <v>19291</v>
      </c>
      <c r="T29" s="53">
        <f>S29/$S$36</f>
        <v>0.33906914613140227</v>
      </c>
      <c r="U29" s="101" t="s">
        <v>116</v>
      </c>
      <c r="V29" s="40">
        <f>'LT-Wshng'!Q135</f>
        <v>4496</v>
      </c>
      <c r="W29" s="40">
        <f>'LT-Wshng'!W135</f>
        <v>3150</v>
      </c>
      <c r="X29" s="37">
        <f>V29+W29</f>
        <v>7646</v>
      </c>
      <c r="Y29" s="53">
        <f t="shared" ref="Y29:Y35" si="16">X29/$X$36</f>
        <v>8.9275497693969294E-2</v>
      </c>
      <c r="Z29" s="97">
        <f>Overtime!AX37</f>
        <v>652</v>
      </c>
      <c r="AA29" s="98">
        <f>Overtime!BD37</f>
        <v>363</v>
      </c>
    </row>
    <row r="30" spans="2:27" ht="27.6" x14ac:dyDescent="0.3">
      <c r="B30" s="118"/>
      <c r="C30" s="54" t="s">
        <v>117</v>
      </c>
      <c r="D30" s="81">
        <f>'LT GF'!H135</f>
        <v>3266</v>
      </c>
      <c r="E30" s="81"/>
      <c r="F30" s="55">
        <f t="shared" ref="F30:F35" si="17">D30+E30</f>
        <v>3266</v>
      </c>
      <c r="G30" s="55">
        <f>Overtime!F37</f>
        <v>233</v>
      </c>
      <c r="H30" s="55"/>
      <c r="I30" s="81">
        <f>'LT FF'!J135</f>
        <v>1311</v>
      </c>
      <c r="J30" s="81"/>
      <c r="K30" s="55">
        <f t="shared" ref="K30:K35" si="18">I30+J30</f>
        <v>1311</v>
      </c>
      <c r="L30" s="55">
        <f>Overtime!T37</f>
        <v>195</v>
      </c>
      <c r="M30" s="55"/>
      <c r="N30" s="81">
        <f>'LT 2F'!L135</f>
        <v>5847</v>
      </c>
      <c r="O30" s="81"/>
      <c r="P30" s="55">
        <f t="shared" ref="P30:P35" si="19">N30+O30</f>
        <v>5847</v>
      </c>
      <c r="Q30" s="55">
        <f>Overtime!AH37</f>
        <v>208</v>
      </c>
      <c r="R30" s="55"/>
      <c r="S30" s="46">
        <f t="shared" si="0"/>
        <v>10424</v>
      </c>
      <c r="T30" s="53">
        <f>S30/$S$36</f>
        <v>0.18321791401553766</v>
      </c>
      <c r="U30" s="101" t="s">
        <v>117</v>
      </c>
      <c r="V30" s="38">
        <f>'LT-Wshng'!O135</f>
        <v>7007</v>
      </c>
      <c r="W30" s="38">
        <v>0</v>
      </c>
      <c r="X30" s="37">
        <f t="shared" ref="X30:X35" si="20">V30+W30</f>
        <v>7007</v>
      </c>
      <c r="Y30" s="56">
        <f t="shared" si="16"/>
        <v>8.1814466693910917E-2</v>
      </c>
      <c r="Z30" s="97">
        <f>Overtime!AV37</f>
        <v>804</v>
      </c>
      <c r="AA30" s="98"/>
    </row>
    <row r="31" spans="2:27" x14ac:dyDescent="0.3">
      <c r="B31" s="118"/>
      <c r="C31" s="54" t="s">
        <v>118</v>
      </c>
      <c r="D31" s="81">
        <f>'LT GF'!J135</f>
        <v>301</v>
      </c>
      <c r="E31" s="81">
        <f>'LT GF'!T135</f>
        <v>1059</v>
      </c>
      <c r="F31" s="55">
        <f t="shared" si="17"/>
        <v>1360</v>
      </c>
      <c r="G31" s="55"/>
      <c r="H31" s="55"/>
      <c r="I31" s="81">
        <f>'LT FF'!L135</f>
        <v>408</v>
      </c>
      <c r="J31" s="81">
        <f>'LT FF'!V135</f>
        <v>2107</v>
      </c>
      <c r="K31" s="55">
        <f t="shared" si="18"/>
        <v>2515</v>
      </c>
      <c r="L31" s="55"/>
      <c r="M31" s="55"/>
      <c r="N31" s="81">
        <f>'LT 2F'!N135</f>
        <v>352</v>
      </c>
      <c r="O31" s="81">
        <f>'LT 2F'!X135</f>
        <v>141</v>
      </c>
      <c r="P31" s="55">
        <f t="shared" si="19"/>
        <v>493</v>
      </c>
      <c r="Q31" s="55"/>
      <c r="R31" s="55"/>
      <c r="S31" s="46">
        <f t="shared" si="0"/>
        <v>4368</v>
      </c>
      <c r="T31" s="53">
        <f>S31/$S$36</f>
        <v>7.6774352304285157E-2</v>
      </c>
      <c r="U31" s="101" t="s">
        <v>118</v>
      </c>
      <c r="V31" s="38">
        <v>0</v>
      </c>
      <c r="W31" s="38">
        <v>0</v>
      </c>
      <c r="X31" s="37">
        <f t="shared" si="20"/>
        <v>0</v>
      </c>
      <c r="Y31" s="56">
        <f>X31/$X$36</f>
        <v>0</v>
      </c>
      <c r="Z31" s="97"/>
      <c r="AA31" s="98"/>
    </row>
    <row r="32" spans="2:27" x14ac:dyDescent="0.3">
      <c r="B32" s="118"/>
      <c r="C32" s="54" t="s">
        <v>119</v>
      </c>
      <c r="D32" s="81">
        <f>'LT GF'!F135</f>
        <v>0</v>
      </c>
      <c r="E32" s="81">
        <f>'LT GF'!R135</f>
        <v>2029</v>
      </c>
      <c r="F32" s="55">
        <f t="shared" si="17"/>
        <v>2029</v>
      </c>
      <c r="G32" s="55">
        <f>Overtime!L37</f>
        <v>88</v>
      </c>
      <c r="H32" s="55"/>
      <c r="I32" s="81">
        <f>'LT FF'!H135</f>
        <v>3983</v>
      </c>
      <c r="J32" s="81">
        <f>'LT FF'!T135</f>
        <v>1542</v>
      </c>
      <c r="K32" s="55">
        <f t="shared" si="18"/>
        <v>5525</v>
      </c>
      <c r="L32" s="55">
        <f>Overtime!R37</f>
        <v>144</v>
      </c>
      <c r="M32" s="55">
        <f>Overtime!Z37</f>
        <v>200</v>
      </c>
      <c r="N32" s="81">
        <f>'LT 2F'!J135</f>
        <v>1308</v>
      </c>
      <c r="O32" s="81">
        <f>'LT 2F'!V135</f>
        <v>0</v>
      </c>
      <c r="P32" s="55">
        <f t="shared" si="19"/>
        <v>1308</v>
      </c>
      <c r="Q32" s="55">
        <f>Overtime!AF37</f>
        <v>196</v>
      </c>
      <c r="R32" s="55">
        <f>Overtime!AN37</f>
        <v>129</v>
      </c>
      <c r="S32" s="46">
        <f t="shared" si="0"/>
        <v>8862</v>
      </c>
      <c r="T32" s="53">
        <f>S32/$S$36</f>
        <v>0.15576334938657854</v>
      </c>
      <c r="U32" s="101" t="s">
        <v>119</v>
      </c>
      <c r="V32" s="38">
        <f>'LT-Wshng'!E135-'Summary '!V29-V30-V31</f>
        <v>56910</v>
      </c>
      <c r="W32" s="38">
        <f>'LT-Wshng'!U135-W29-W30-W31-W33-W34-W35</f>
        <v>8123</v>
      </c>
      <c r="X32" s="37">
        <f t="shared" si="20"/>
        <v>65033</v>
      </c>
      <c r="Y32" s="56">
        <f t="shared" si="16"/>
        <v>0.75933212680249873</v>
      </c>
      <c r="Z32" s="97"/>
      <c r="AA32" s="98"/>
    </row>
    <row r="33" spans="2:27" x14ac:dyDescent="0.3">
      <c r="B33" s="118"/>
      <c r="C33" s="54" t="s">
        <v>120</v>
      </c>
      <c r="D33" s="81">
        <f>'LT GF'!N135</f>
        <v>54</v>
      </c>
      <c r="E33" s="81">
        <f>'LT GF'!X135</f>
        <v>250</v>
      </c>
      <c r="F33" s="77">
        <f>D33+E33</f>
        <v>304</v>
      </c>
      <c r="G33" s="55"/>
      <c r="H33" s="55"/>
      <c r="I33" s="81">
        <f>'LT FF'!P135</f>
        <v>5665</v>
      </c>
      <c r="J33" s="81">
        <f>'LT FF'!Z135</f>
        <v>5611</v>
      </c>
      <c r="K33" s="55">
        <f t="shared" si="18"/>
        <v>11276</v>
      </c>
      <c r="L33" s="55"/>
      <c r="M33" s="55"/>
      <c r="N33" s="81">
        <f>'LT 2F'!R135</f>
        <v>2228</v>
      </c>
      <c r="O33" s="81">
        <f>'LT 2F'!X135</f>
        <v>141</v>
      </c>
      <c r="P33" s="55">
        <f t="shared" si="19"/>
        <v>2369</v>
      </c>
      <c r="Q33" s="55"/>
      <c r="R33" s="55"/>
      <c r="S33" s="46">
        <f t="shared" si="0"/>
        <v>13949</v>
      </c>
      <c r="T33" s="53">
        <f>S33/$S$36</f>
        <v>0.24517523816219636</v>
      </c>
      <c r="U33" s="101" t="s">
        <v>120</v>
      </c>
      <c r="V33" s="38"/>
      <c r="W33" s="38"/>
      <c r="X33" s="37">
        <f t="shared" si="20"/>
        <v>0</v>
      </c>
      <c r="Y33" s="56">
        <f t="shared" si="16"/>
        <v>0</v>
      </c>
      <c r="Z33" s="97"/>
      <c r="AA33" s="98"/>
    </row>
    <row r="34" spans="2:27" x14ac:dyDescent="0.3">
      <c r="B34" s="118"/>
      <c r="C34" s="54"/>
      <c r="D34" s="81"/>
      <c r="E34" s="81"/>
      <c r="F34" s="55">
        <f t="shared" si="17"/>
        <v>0</v>
      </c>
      <c r="G34" s="55"/>
      <c r="H34" s="55"/>
      <c r="I34" s="81"/>
      <c r="J34" s="81"/>
      <c r="K34" s="55">
        <f t="shared" si="18"/>
        <v>0</v>
      </c>
      <c r="L34" s="55"/>
      <c r="M34" s="55"/>
      <c r="N34" s="81"/>
      <c r="O34" s="81"/>
      <c r="P34" s="55">
        <f t="shared" si="19"/>
        <v>0</v>
      </c>
      <c r="Q34" s="55"/>
      <c r="R34" s="55"/>
      <c r="S34" s="46">
        <f t="shared" si="0"/>
        <v>0</v>
      </c>
      <c r="T34" s="98"/>
      <c r="U34" s="101" t="s">
        <v>122</v>
      </c>
      <c r="V34" s="38"/>
      <c r="W34" s="38">
        <f>'LT-Wshng'!AC135</f>
        <v>3009</v>
      </c>
      <c r="X34" s="37">
        <f t="shared" si="20"/>
        <v>3009</v>
      </c>
      <c r="Y34" s="56">
        <f t="shared" si="16"/>
        <v>3.5133399497927494E-2</v>
      </c>
      <c r="Z34" s="97"/>
      <c r="AA34" s="98"/>
    </row>
    <row r="35" spans="2:27" x14ac:dyDescent="0.3">
      <c r="B35" s="118"/>
      <c r="C35" s="57" t="s">
        <v>185</v>
      </c>
      <c r="D35" s="82"/>
      <c r="E35" s="82"/>
      <c r="F35" s="58">
        <f t="shared" si="17"/>
        <v>0</v>
      </c>
      <c r="G35" s="55">
        <f>Overtime!D37</f>
        <v>2239</v>
      </c>
      <c r="H35" s="55">
        <f>Overtime!J37</f>
        <v>818</v>
      </c>
      <c r="I35" s="82"/>
      <c r="J35" s="82"/>
      <c r="K35" s="58">
        <f t="shared" si="18"/>
        <v>0</v>
      </c>
      <c r="L35" s="55">
        <f>Overtime!P37</f>
        <v>868</v>
      </c>
      <c r="M35" s="55">
        <f>Overtime!X37</f>
        <v>749</v>
      </c>
      <c r="N35" s="82"/>
      <c r="O35" s="82"/>
      <c r="P35" s="58">
        <f t="shared" si="19"/>
        <v>0</v>
      </c>
      <c r="Q35" s="55">
        <f>Overtime!AD37</f>
        <v>1357</v>
      </c>
      <c r="R35" s="55">
        <f>Overtime!AL37</f>
        <v>1059</v>
      </c>
      <c r="S35" s="48">
        <f t="shared" si="0"/>
        <v>0</v>
      </c>
      <c r="T35" s="99"/>
      <c r="U35" s="102" t="s">
        <v>123</v>
      </c>
      <c r="V35" s="38"/>
      <c r="W35" s="38">
        <f>'LT-Wshng'!AE135</f>
        <v>2950</v>
      </c>
      <c r="X35" s="37">
        <f t="shared" si="20"/>
        <v>2950</v>
      </c>
      <c r="Y35" s="59">
        <f t="shared" si="16"/>
        <v>3.444450931169362E-2</v>
      </c>
      <c r="Z35" s="97">
        <f>Overtime!AR37</f>
        <v>8037</v>
      </c>
      <c r="AA35" s="98">
        <f>Overtime!BB37</f>
        <v>1382</v>
      </c>
    </row>
    <row r="36" spans="2:27" x14ac:dyDescent="0.3">
      <c r="B36" s="119"/>
      <c r="C36" s="60" t="s">
        <v>128</v>
      </c>
      <c r="D36" s="83"/>
      <c r="E36" s="83"/>
      <c r="F36" s="61">
        <f>SUM(F29:F35)</f>
        <v>14020</v>
      </c>
      <c r="G36" s="108">
        <f>G35+H35</f>
        <v>3057</v>
      </c>
      <c r="H36" s="120"/>
      <c r="I36" s="83"/>
      <c r="J36" s="83"/>
      <c r="K36" s="61">
        <f>SUM(K29:K35)</f>
        <v>21192</v>
      </c>
      <c r="L36" s="108">
        <f>L35+M35</f>
        <v>1617</v>
      </c>
      <c r="M36" s="120"/>
      <c r="N36" s="83"/>
      <c r="O36" s="83"/>
      <c r="P36" s="61">
        <f>SUM(P29:P35)</f>
        <v>21682</v>
      </c>
      <c r="Q36" s="108">
        <f>Q35+R35</f>
        <v>2416</v>
      </c>
      <c r="R36" s="120"/>
      <c r="S36" s="62">
        <f t="shared" si="0"/>
        <v>56894</v>
      </c>
      <c r="T36" s="100">
        <f>SUM(T29:T35)</f>
        <v>1</v>
      </c>
      <c r="U36" s="103"/>
      <c r="V36" s="61">
        <f>SUM(V29:V35)</f>
        <v>68413</v>
      </c>
      <c r="W36" s="61">
        <f>SUM(W29:W35)</f>
        <v>17232</v>
      </c>
      <c r="X36" s="62">
        <f>V36+W36</f>
        <v>85645</v>
      </c>
      <c r="Y36" s="63"/>
      <c r="Z36" s="108">
        <f>Z35+AA35</f>
        <v>9419</v>
      </c>
      <c r="AA36" s="109"/>
    </row>
    <row r="37" spans="2:27" ht="14.4" customHeight="1" x14ac:dyDescent="0.3">
      <c r="B37" s="117">
        <v>45962</v>
      </c>
      <c r="C37" s="49" t="s">
        <v>116</v>
      </c>
      <c r="D37" s="80">
        <f>'LT GF'!L168</f>
        <v>3710</v>
      </c>
      <c r="E37" s="80">
        <f>'LT GF'!V168</f>
        <v>3164</v>
      </c>
      <c r="F37" s="50">
        <f t="shared" ref="F37:F43" si="21">D37+E37</f>
        <v>6874</v>
      </c>
      <c r="G37" s="50">
        <f>Overtime!H45</f>
        <v>80</v>
      </c>
      <c r="H37" s="50">
        <f>Overtime!N45</f>
        <v>23</v>
      </c>
      <c r="I37" s="80">
        <f>'LT FF'!L168</f>
        <v>344</v>
      </c>
      <c r="J37" s="80">
        <f>'LT FF'!V168</f>
        <v>1972</v>
      </c>
      <c r="K37" s="50">
        <f>I37+J37</f>
        <v>2316</v>
      </c>
      <c r="L37" s="50">
        <f>Overtime!V45</f>
        <v>0</v>
      </c>
      <c r="M37" s="51">
        <f>Overtime!AB45</f>
        <v>2</v>
      </c>
      <c r="N37" s="80">
        <f>'LT 2F'!L168</f>
        <v>5179</v>
      </c>
      <c r="O37" s="80">
        <f>'LT 2F'!V168</f>
        <v>0</v>
      </c>
      <c r="P37" s="51">
        <f>N37+O37</f>
        <v>5179</v>
      </c>
      <c r="Q37" s="51">
        <f>Overtime!AJ45</f>
        <v>0</v>
      </c>
      <c r="R37" s="51">
        <f>Overtime!AP45</f>
        <v>0</v>
      </c>
      <c r="S37" s="52">
        <f t="shared" ref="S37:S44" si="22">F37+K37+P37</f>
        <v>14369</v>
      </c>
      <c r="T37" s="53">
        <f>S37/$S$44</f>
        <v>0.52323629422419093</v>
      </c>
      <c r="U37" s="101" t="s">
        <v>116</v>
      </c>
      <c r="V37" s="40">
        <f>'LT-Wshng'!Q168</f>
        <v>4046</v>
      </c>
      <c r="W37" s="40">
        <f>'LT-Wshng'!W168</f>
        <v>2315</v>
      </c>
      <c r="X37" s="37">
        <f>V37+W37</f>
        <v>6361</v>
      </c>
      <c r="Y37" s="53">
        <f>X37/$X$44</f>
        <v>0.39270280281516234</v>
      </c>
      <c r="Z37" s="97">
        <f>Overtime!AX45</f>
        <v>0</v>
      </c>
      <c r="AA37" s="98">
        <f>Overtime!BD45</f>
        <v>0</v>
      </c>
    </row>
    <row r="38" spans="2:27" ht="27.6" x14ac:dyDescent="0.3">
      <c r="B38" s="118"/>
      <c r="C38" s="54" t="s">
        <v>117</v>
      </c>
      <c r="D38" s="81">
        <f>'LT GF'!H168</f>
        <v>605</v>
      </c>
      <c r="E38" s="81"/>
      <c r="F38" s="55">
        <f t="shared" si="21"/>
        <v>605</v>
      </c>
      <c r="G38" s="55">
        <f>Overtime!F45</f>
        <v>8</v>
      </c>
      <c r="H38" s="55"/>
      <c r="I38" s="81">
        <f>'LT FF'!H168</f>
        <v>650</v>
      </c>
      <c r="J38" s="81"/>
      <c r="K38" s="55">
        <f t="shared" ref="K38:K43" si="23">I38+J38</f>
        <v>650</v>
      </c>
      <c r="L38" s="55">
        <f>Overtime!T45</f>
        <v>0</v>
      </c>
      <c r="M38" s="55"/>
      <c r="N38" s="81">
        <f>'LT 2F'!H168</f>
        <v>538</v>
      </c>
      <c r="O38" s="81"/>
      <c r="P38" s="55">
        <f t="shared" ref="P38:P43" si="24">N38+O38</f>
        <v>538</v>
      </c>
      <c r="Q38" s="55">
        <f>Overtime!AH45</f>
        <v>0</v>
      </c>
      <c r="R38" s="55"/>
      <c r="S38" s="46">
        <f t="shared" si="22"/>
        <v>1793</v>
      </c>
      <c r="T38" s="53">
        <f t="shared" ref="T38:T43" si="25">S38/$S$44</f>
        <v>6.5290742260698323E-2</v>
      </c>
      <c r="U38" s="101" t="s">
        <v>117</v>
      </c>
      <c r="V38" s="38">
        <f>'LT-Wshng'!O168</f>
        <v>2249</v>
      </c>
      <c r="W38" s="38">
        <v>0</v>
      </c>
      <c r="X38" s="37">
        <f t="shared" ref="X38:X43" si="26">V38+W38</f>
        <v>2249</v>
      </c>
      <c r="Y38" s="53">
        <f>X38/$X$44</f>
        <v>0.13884430176565007</v>
      </c>
      <c r="Z38" s="97">
        <f>Overtime!AV45</f>
        <v>0</v>
      </c>
      <c r="AA38" s="98"/>
    </row>
    <row r="39" spans="2:27" x14ac:dyDescent="0.3">
      <c r="B39" s="118"/>
      <c r="C39" s="54" t="s">
        <v>118</v>
      </c>
      <c r="D39" s="81">
        <f>'LT GF'!J168</f>
        <v>23</v>
      </c>
      <c r="E39" s="81">
        <f>'LT GF'!T168</f>
        <v>206</v>
      </c>
      <c r="F39" s="55">
        <f t="shared" si="21"/>
        <v>229</v>
      </c>
      <c r="G39" s="55"/>
      <c r="H39" s="55"/>
      <c r="I39" s="81">
        <f>'LT FF'!J168</f>
        <v>203</v>
      </c>
      <c r="J39" s="81">
        <f>'LT FF'!T168</f>
        <v>341</v>
      </c>
      <c r="K39" s="55">
        <f t="shared" si="23"/>
        <v>544</v>
      </c>
      <c r="L39" s="55"/>
      <c r="M39" s="55"/>
      <c r="N39" s="81">
        <f>'LT 2F'!J168</f>
        <v>266</v>
      </c>
      <c r="O39" s="81">
        <f>'LT 2F'!T168</f>
        <v>94</v>
      </c>
      <c r="P39" s="55">
        <f t="shared" si="24"/>
        <v>360</v>
      </c>
      <c r="Q39" s="55"/>
      <c r="R39" s="55"/>
      <c r="S39" s="46">
        <f t="shared" si="22"/>
        <v>1133</v>
      </c>
      <c r="T39" s="53">
        <f t="shared" si="25"/>
        <v>4.1257340201545568E-2</v>
      </c>
      <c r="U39" s="101" t="s">
        <v>118</v>
      </c>
      <c r="V39" s="38">
        <v>0</v>
      </c>
      <c r="W39" s="38">
        <v>0</v>
      </c>
      <c r="X39" s="37">
        <f t="shared" si="26"/>
        <v>0</v>
      </c>
      <c r="Y39" s="53">
        <f t="shared" ref="Y39:Y43" si="27">X39/$X$44</f>
        <v>0</v>
      </c>
      <c r="Z39" s="97"/>
      <c r="AA39" s="98"/>
    </row>
    <row r="40" spans="2:27" x14ac:dyDescent="0.3">
      <c r="B40" s="118"/>
      <c r="C40" s="54" t="s">
        <v>119</v>
      </c>
      <c r="D40" s="81">
        <v>0</v>
      </c>
      <c r="E40" s="81">
        <f>'LT GF'!R168</f>
        <v>1959</v>
      </c>
      <c r="F40" s="55">
        <f t="shared" si="21"/>
        <v>1959</v>
      </c>
      <c r="G40" s="55">
        <f>Overtime!L45</f>
        <v>0</v>
      </c>
      <c r="H40" s="55"/>
      <c r="I40" s="81">
        <f>'LT FF'!F168</f>
        <v>1316</v>
      </c>
      <c r="J40" s="81">
        <f>'LT FF'!R168</f>
        <v>731</v>
      </c>
      <c r="K40" s="55">
        <f t="shared" si="23"/>
        <v>2047</v>
      </c>
      <c r="L40" s="55">
        <f>Overtime!R45</f>
        <v>0</v>
      </c>
      <c r="M40" s="55">
        <f>Overtime!Z45</f>
        <v>0</v>
      </c>
      <c r="N40" s="81">
        <f>'LT 2F'!F168</f>
        <v>2493</v>
      </c>
      <c r="O40" s="81">
        <f>'LT 2F'!R168</f>
        <v>1298</v>
      </c>
      <c r="P40" s="55">
        <f t="shared" si="24"/>
        <v>3791</v>
      </c>
      <c r="Q40" s="55">
        <f>Overtime!AF45</f>
        <v>0</v>
      </c>
      <c r="R40" s="55">
        <f>Overtime!AN45</f>
        <v>0</v>
      </c>
      <c r="S40" s="46">
        <f t="shared" si="22"/>
        <v>7797</v>
      </c>
      <c r="T40" s="53">
        <f t="shared" si="25"/>
        <v>0.28392187250790007</v>
      </c>
      <c r="U40" s="101" t="s">
        <v>119</v>
      </c>
      <c r="V40" s="38"/>
      <c r="W40" s="38">
        <f>'LT-Wshng'!U168-W37-W38-W39-W41-W42-W43</f>
        <v>4060</v>
      </c>
      <c r="X40" s="37">
        <f t="shared" si="26"/>
        <v>4060</v>
      </c>
      <c r="Y40" s="53">
        <f>X40/$X$44</f>
        <v>0.25064822817631804</v>
      </c>
      <c r="Z40" s="97"/>
      <c r="AA40" s="98"/>
    </row>
    <row r="41" spans="2:27" x14ac:dyDescent="0.3">
      <c r="B41" s="118"/>
      <c r="C41" s="54" t="s">
        <v>120</v>
      </c>
      <c r="D41" s="81">
        <f>'LT GF'!N168</f>
        <v>74</v>
      </c>
      <c r="E41" s="81">
        <f>'LT GF'!X168</f>
        <v>75</v>
      </c>
      <c r="F41" s="77">
        <f t="shared" si="21"/>
        <v>149</v>
      </c>
      <c r="G41" s="55"/>
      <c r="H41" s="55"/>
      <c r="I41" s="81">
        <f>'LT FF'!N168</f>
        <v>337</v>
      </c>
      <c r="J41" s="81">
        <f>'LT FF'!X168</f>
        <v>180</v>
      </c>
      <c r="K41" s="55">
        <f t="shared" si="23"/>
        <v>517</v>
      </c>
      <c r="L41" s="55"/>
      <c r="M41" s="55"/>
      <c r="N41" s="81">
        <f>'LT 2F'!N168</f>
        <v>492</v>
      </c>
      <c r="O41" s="81">
        <f>'LT 2F'!X168</f>
        <v>180</v>
      </c>
      <c r="P41" s="55">
        <f t="shared" si="24"/>
        <v>672</v>
      </c>
      <c r="Q41" s="55"/>
      <c r="R41" s="55"/>
      <c r="S41" s="46">
        <f t="shared" si="22"/>
        <v>1338</v>
      </c>
      <c r="T41" s="53">
        <f t="shared" si="25"/>
        <v>4.8722260538100588E-2</v>
      </c>
      <c r="U41" s="101" t="s">
        <v>120</v>
      </c>
      <c r="V41" s="38"/>
      <c r="W41" s="38"/>
      <c r="X41" s="37">
        <f t="shared" si="26"/>
        <v>0</v>
      </c>
      <c r="Y41" s="53">
        <f t="shared" si="27"/>
        <v>0</v>
      </c>
      <c r="Z41" s="97"/>
      <c r="AA41" s="98"/>
    </row>
    <row r="42" spans="2:27" x14ac:dyDescent="0.3">
      <c r="B42" s="118"/>
      <c r="C42" s="54" t="s">
        <v>196</v>
      </c>
      <c r="D42" s="81">
        <v>1031.78</v>
      </c>
      <c r="E42" s="81"/>
      <c r="F42" s="55">
        <f t="shared" si="21"/>
        <v>1031.78</v>
      </c>
      <c r="G42" s="55"/>
      <c r="H42" s="55"/>
      <c r="I42" s="81"/>
      <c r="J42" s="81"/>
      <c r="K42" s="55">
        <f t="shared" si="23"/>
        <v>0</v>
      </c>
      <c r="L42" s="55"/>
      <c r="M42" s="55"/>
      <c r="N42" s="81"/>
      <c r="O42" s="81"/>
      <c r="P42" s="55">
        <f t="shared" si="24"/>
        <v>0</v>
      </c>
      <c r="Q42" s="55"/>
      <c r="R42" s="55"/>
      <c r="S42" s="46">
        <f t="shared" si="22"/>
        <v>1031.78</v>
      </c>
      <c r="T42" s="53">
        <f t="shared" si="25"/>
        <v>3.7571490267564595E-2</v>
      </c>
      <c r="U42" s="101" t="s">
        <v>122</v>
      </c>
      <c r="V42" s="38"/>
      <c r="W42" s="38">
        <f>'LT-Wshng'!AC168</f>
        <v>1736</v>
      </c>
      <c r="X42" s="37">
        <f t="shared" si="26"/>
        <v>1736</v>
      </c>
      <c r="Y42" s="53">
        <f t="shared" si="27"/>
        <v>0.10717372515125324</v>
      </c>
      <c r="Z42" s="97"/>
      <c r="AA42" s="98"/>
    </row>
    <row r="43" spans="2:27" x14ac:dyDescent="0.3">
      <c r="B43" s="118"/>
      <c r="C43" s="57" t="s">
        <v>185</v>
      </c>
      <c r="D43" s="82"/>
      <c r="E43" s="82"/>
      <c r="F43" s="58">
        <f t="shared" si="21"/>
        <v>0</v>
      </c>
      <c r="G43" s="55">
        <f>Overtime!D45</f>
        <v>82</v>
      </c>
      <c r="H43" s="55">
        <f>Overtime!J45</f>
        <v>31</v>
      </c>
      <c r="I43" s="82"/>
      <c r="J43" s="82"/>
      <c r="K43" s="58">
        <f t="shared" si="23"/>
        <v>0</v>
      </c>
      <c r="L43" s="55">
        <f>Overtime!P45</f>
        <v>0</v>
      </c>
      <c r="M43" s="55">
        <f>Overtime!X45</f>
        <v>7</v>
      </c>
      <c r="N43" s="82"/>
      <c r="O43" s="82"/>
      <c r="P43" s="58">
        <f t="shared" si="24"/>
        <v>0</v>
      </c>
      <c r="Q43" s="55">
        <f>Overtime!AD45</f>
        <v>0</v>
      </c>
      <c r="R43" s="55">
        <f>Overtime!AL45</f>
        <v>0</v>
      </c>
      <c r="S43" s="48">
        <f t="shared" si="22"/>
        <v>0</v>
      </c>
      <c r="T43" s="53">
        <f t="shared" si="25"/>
        <v>0</v>
      </c>
      <c r="U43" s="102" t="s">
        <v>123</v>
      </c>
      <c r="V43" s="38"/>
      <c r="W43" s="38">
        <f>'LT-Wshng'!AE168</f>
        <v>1792</v>
      </c>
      <c r="X43" s="37">
        <f t="shared" si="26"/>
        <v>1792</v>
      </c>
      <c r="Y43" s="53">
        <f t="shared" si="27"/>
        <v>0.11063094209161625</v>
      </c>
      <c r="Z43" s="97">
        <f>Overtime!AR45</f>
        <v>0</v>
      </c>
      <c r="AA43" s="98">
        <f>Overtime!BB45</f>
        <v>0</v>
      </c>
    </row>
    <row r="44" spans="2:27" x14ac:dyDescent="0.3">
      <c r="B44" s="119"/>
      <c r="C44" s="60" t="s">
        <v>128</v>
      </c>
      <c r="D44" s="83"/>
      <c r="E44" s="83"/>
      <c r="F44" s="61">
        <f>SUM(F37:F43)</f>
        <v>10847.78</v>
      </c>
      <c r="G44" s="108">
        <f>G43+H43</f>
        <v>113</v>
      </c>
      <c r="H44" s="120"/>
      <c r="I44" s="83"/>
      <c r="J44" s="83"/>
      <c r="K44" s="61">
        <f>SUM(K37:K43)</f>
        <v>6074</v>
      </c>
      <c r="L44" s="108">
        <f>L43+M43</f>
        <v>7</v>
      </c>
      <c r="M44" s="120"/>
      <c r="N44" s="83"/>
      <c r="O44" s="83"/>
      <c r="P44" s="61">
        <f>SUM(P37:P43)</f>
        <v>10540</v>
      </c>
      <c r="Q44" s="108">
        <f>Q43+R43</f>
        <v>0</v>
      </c>
      <c r="R44" s="120"/>
      <c r="S44" s="62">
        <f t="shared" si="22"/>
        <v>27461.78</v>
      </c>
      <c r="T44" s="100">
        <f>SUM(T37:T43)</f>
        <v>1</v>
      </c>
      <c r="U44" s="103"/>
      <c r="V44" s="61">
        <f>SUM(V37:V43)</f>
        <v>6295</v>
      </c>
      <c r="W44" s="61">
        <f>SUM(W37:W43)</f>
        <v>9903</v>
      </c>
      <c r="X44" s="62">
        <f>V44+W44</f>
        <v>16198</v>
      </c>
      <c r="Y44" s="63"/>
      <c r="Z44" s="108">
        <f>Z43+AA43</f>
        <v>0</v>
      </c>
      <c r="AA44" s="109"/>
    </row>
    <row r="45" spans="2:27" x14ac:dyDescent="0.3">
      <c r="D45" s="81"/>
    </row>
    <row r="46" spans="2:27" x14ac:dyDescent="0.3">
      <c r="S46" s="106"/>
    </row>
    <row r="56" spans="1:27" x14ac:dyDescent="0.3">
      <c r="A56" s="64"/>
      <c r="AA56" s="64"/>
    </row>
  </sheetData>
  <autoFilter ref="B3:C36" xr:uid="{FDC69A1D-9F66-4335-9A0F-DF7AF9A1B5F1}"/>
  <mergeCells count="29">
    <mergeCell ref="Z44:AA44"/>
    <mergeCell ref="N3:P3"/>
    <mergeCell ref="S3:S4"/>
    <mergeCell ref="T3:T4"/>
    <mergeCell ref="B37:B44"/>
    <mergeCell ref="G44:H44"/>
    <mergeCell ref="L44:M44"/>
    <mergeCell ref="Q44:R44"/>
    <mergeCell ref="B5:B12"/>
    <mergeCell ref="B13:B20"/>
    <mergeCell ref="C3:C4"/>
    <mergeCell ref="D3:F3"/>
    <mergeCell ref="I3:K3"/>
    <mergeCell ref="Z4:AA4"/>
    <mergeCell ref="L36:M36"/>
    <mergeCell ref="Q36:R36"/>
    <mergeCell ref="Z36:AA36"/>
    <mergeCell ref="U2:AA2"/>
    <mergeCell ref="Y3:Y4"/>
    <mergeCell ref="U3:U4"/>
    <mergeCell ref="B2:T2"/>
    <mergeCell ref="B21:B28"/>
    <mergeCell ref="B29:B36"/>
    <mergeCell ref="G36:H36"/>
    <mergeCell ref="V3:X3"/>
    <mergeCell ref="B3:B4"/>
    <mergeCell ref="G4:H4"/>
    <mergeCell ref="L4:M4"/>
    <mergeCell ref="Q4:R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K172"/>
  <sheetViews>
    <sheetView showGridLines="0" zoomScale="60" zoomScaleNormal="60" workbookViewId="0">
      <pane ySplit="5" topLeftCell="A152" activePane="bottomLeft" state="frozen"/>
      <selection pane="bottomLeft" activeCell="G170" activeCellId="1" sqref="Y170 G170"/>
    </sheetView>
  </sheetViews>
  <sheetFormatPr defaultRowHeight="14.4" x14ac:dyDescent="0.3"/>
  <cols>
    <col min="1" max="1" width="2.6640625" customWidth="1"/>
    <col min="2" max="2" width="6.44140625" bestFit="1" customWidth="1"/>
    <col min="3" max="3" width="16.33203125" customWidth="1"/>
    <col min="4" max="4" width="10.6640625" style="3" customWidth="1"/>
    <col min="5" max="5" width="20.33203125" style="3" bestFit="1" customWidth="1"/>
    <col min="6" max="6" width="10.109375" style="3" customWidth="1"/>
    <col min="7" max="7" width="18.44140625" style="3" bestFit="1" customWidth="1"/>
    <col min="8" max="8" width="11.109375" style="3" bestFit="1" customWidth="1"/>
    <col min="9" max="9" width="18.44140625" style="3" bestFit="1" customWidth="1"/>
    <col min="10" max="10" width="8.6640625" style="2" customWidth="1"/>
    <col min="11" max="11" width="18.44140625" style="2" bestFit="1" customWidth="1"/>
    <col min="12" max="12" width="9" style="2" bestFit="1" customWidth="1"/>
    <col min="13" max="13" width="16.6640625" style="2" bestFit="1" customWidth="1"/>
    <col min="14" max="14" width="8.5546875" style="2" customWidth="1"/>
    <col min="15" max="15" width="16.6640625" style="2" bestFit="1" customWidth="1"/>
    <col min="16" max="16" width="10.5546875" style="2" bestFit="1" customWidth="1"/>
    <col min="17" max="17" width="16.6640625" style="2" bestFit="1" customWidth="1"/>
    <col min="18" max="18" width="9" style="2" customWidth="1"/>
    <col min="19" max="19" width="16.6640625" style="2" bestFit="1" customWidth="1"/>
    <col min="20" max="20" width="9" style="2" customWidth="1"/>
    <col min="21" max="21" width="11.88671875" style="2" customWidth="1"/>
    <col min="22" max="22" width="9.44140625" style="2" customWidth="1"/>
    <col min="23" max="23" width="12" style="2" customWidth="1"/>
    <col min="24" max="24" width="11" style="2" customWidth="1"/>
    <col min="25" max="25" width="16.6640625" bestFit="1" customWidth="1"/>
    <col min="26" max="26" width="9.44140625" style="3" customWidth="1"/>
    <col min="27" max="27" width="8.6640625" style="3" bestFit="1" customWidth="1"/>
    <col min="28" max="28" width="9.88671875" style="3" customWidth="1"/>
    <col min="29" max="29" width="16.6640625" style="3" bestFit="1" customWidth="1"/>
    <col min="30" max="30" width="12.109375" style="3" bestFit="1" customWidth="1"/>
    <col min="31" max="31" width="9.88671875" style="3" customWidth="1"/>
    <col min="32" max="32" width="10.109375" style="3" customWidth="1"/>
    <col min="33" max="33" width="9.33203125" style="3" customWidth="1"/>
    <col min="34" max="34" width="13" style="3" customWidth="1"/>
    <col min="35" max="35" width="18.44140625" style="3" bestFit="1" customWidth="1"/>
    <col min="36" max="36" width="18" bestFit="1" customWidth="1"/>
    <col min="37" max="37" width="12.44140625" bestFit="1" customWidth="1"/>
  </cols>
  <sheetData>
    <row r="1" spans="2:37" ht="61.2" x14ac:dyDescent="0.3">
      <c r="B1" s="150" t="s">
        <v>40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</row>
    <row r="2" spans="2:37" s="1" customFormat="1" ht="64.95" customHeight="1" x14ac:dyDescent="0.3">
      <c r="B2" s="154" t="s">
        <v>74</v>
      </c>
      <c r="C2" s="160" t="s">
        <v>0</v>
      </c>
      <c r="D2" s="140" t="s">
        <v>98</v>
      </c>
      <c r="E2" s="141"/>
      <c r="F2" s="140" t="s">
        <v>93</v>
      </c>
      <c r="G2" s="141"/>
      <c r="H2" s="140" t="s">
        <v>96</v>
      </c>
      <c r="I2" s="141"/>
      <c r="J2" s="146" t="s">
        <v>58</v>
      </c>
      <c r="K2" s="140"/>
      <c r="L2" s="140"/>
      <c r="M2" s="147"/>
      <c r="N2" s="146" t="s">
        <v>59</v>
      </c>
      <c r="O2" s="140"/>
      <c r="P2" s="140"/>
      <c r="Q2" s="147"/>
      <c r="R2" s="146" t="s">
        <v>60</v>
      </c>
      <c r="S2" s="140"/>
      <c r="T2" s="140"/>
      <c r="U2" s="147"/>
      <c r="V2" s="144" t="s">
        <v>94</v>
      </c>
      <c r="W2" s="145"/>
      <c r="X2" s="142" t="s">
        <v>61</v>
      </c>
      <c r="Y2" s="143"/>
      <c r="Z2" s="140" t="s">
        <v>99</v>
      </c>
      <c r="AA2" s="141"/>
      <c r="AB2" s="145" t="s">
        <v>101</v>
      </c>
      <c r="AC2" s="142"/>
      <c r="AD2" s="140" t="s">
        <v>99</v>
      </c>
      <c r="AE2" s="141"/>
      <c r="AF2" s="140" t="s">
        <v>99</v>
      </c>
      <c r="AG2" s="141"/>
      <c r="AH2" s="140" t="s">
        <v>100</v>
      </c>
      <c r="AI2" s="141"/>
      <c r="AJ2" s="154" t="s">
        <v>42</v>
      </c>
      <c r="AK2" s="154" t="s">
        <v>75</v>
      </c>
    </row>
    <row r="3" spans="2:37" ht="15.6" customHeight="1" x14ac:dyDescent="0.3">
      <c r="B3" s="155"/>
      <c r="C3" s="161"/>
      <c r="D3" s="148">
        <v>0</v>
      </c>
      <c r="E3" s="149"/>
      <c r="F3" s="148">
        <v>1</v>
      </c>
      <c r="G3" s="149"/>
      <c r="H3" s="148">
        <v>2</v>
      </c>
      <c r="I3" s="149"/>
      <c r="J3" s="139">
        <v>3</v>
      </c>
      <c r="K3" s="136"/>
      <c r="L3" s="136">
        <v>4</v>
      </c>
      <c r="M3" s="137"/>
      <c r="N3" s="139">
        <v>5</v>
      </c>
      <c r="O3" s="136"/>
      <c r="P3" s="136">
        <v>6</v>
      </c>
      <c r="Q3" s="137"/>
      <c r="R3" s="139">
        <v>7</v>
      </c>
      <c r="S3" s="136"/>
      <c r="T3" s="136">
        <v>8</v>
      </c>
      <c r="U3" s="137"/>
      <c r="V3" s="139">
        <v>9</v>
      </c>
      <c r="W3" s="136"/>
      <c r="X3" s="136">
        <v>10</v>
      </c>
      <c r="Y3" s="138">
        <v>9</v>
      </c>
      <c r="Z3" s="139">
        <v>11</v>
      </c>
      <c r="AA3" s="136"/>
      <c r="AB3" s="136">
        <v>12</v>
      </c>
      <c r="AC3" s="136"/>
      <c r="AD3" s="136">
        <v>13</v>
      </c>
      <c r="AE3" s="136"/>
      <c r="AF3" s="136">
        <v>14</v>
      </c>
      <c r="AG3" s="136"/>
      <c r="AH3" s="136">
        <v>15</v>
      </c>
      <c r="AI3" s="136"/>
      <c r="AJ3" s="155"/>
      <c r="AK3" s="155"/>
    </row>
    <row r="4" spans="2:37" s="20" customFormat="1" ht="50.4" customHeight="1" x14ac:dyDescent="0.3">
      <c r="B4" s="155"/>
      <c r="C4" s="161"/>
      <c r="D4" s="136" t="s">
        <v>36</v>
      </c>
      <c r="E4" s="138"/>
      <c r="F4" s="136" t="s">
        <v>95</v>
      </c>
      <c r="G4" s="138"/>
      <c r="H4" s="136" t="s">
        <v>97</v>
      </c>
      <c r="I4" s="138"/>
      <c r="J4" s="139" t="s">
        <v>2</v>
      </c>
      <c r="K4" s="136"/>
      <c r="L4" s="136" t="s">
        <v>7</v>
      </c>
      <c r="M4" s="137"/>
      <c r="N4" s="139" t="s">
        <v>105</v>
      </c>
      <c r="O4" s="136"/>
      <c r="P4" s="136" t="s">
        <v>106</v>
      </c>
      <c r="Q4" s="137"/>
      <c r="R4" s="139" t="s">
        <v>107</v>
      </c>
      <c r="S4" s="136"/>
      <c r="T4" s="136" t="s">
        <v>108</v>
      </c>
      <c r="U4" s="137"/>
      <c r="V4" s="139" t="s">
        <v>57</v>
      </c>
      <c r="W4" s="136"/>
      <c r="X4" s="138" t="s">
        <v>35</v>
      </c>
      <c r="Y4" s="157"/>
      <c r="Z4" s="136" t="s">
        <v>79</v>
      </c>
      <c r="AA4" s="138"/>
      <c r="AB4" s="136" t="s">
        <v>104</v>
      </c>
      <c r="AC4" s="138"/>
      <c r="AD4" s="136" t="s">
        <v>80</v>
      </c>
      <c r="AE4" s="138"/>
      <c r="AF4" s="136" t="s">
        <v>81</v>
      </c>
      <c r="AG4" s="138"/>
      <c r="AH4" s="136" t="s">
        <v>84</v>
      </c>
      <c r="AI4" s="138"/>
      <c r="AJ4" s="155"/>
      <c r="AK4" s="155"/>
    </row>
    <row r="5" spans="2:37" ht="43.2" x14ac:dyDescent="0.3">
      <c r="B5" s="156"/>
      <c r="C5" s="162"/>
      <c r="D5" s="5" t="s">
        <v>37</v>
      </c>
      <c r="E5" s="16" t="s">
        <v>38</v>
      </c>
      <c r="F5" s="5" t="s">
        <v>37</v>
      </c>
      <c r="G5" s="16" t="s">
        <v>38</v>
      </c>
      <c r="H5" s="5" t="s">
        <v>37</v>
      </c>
      <c r="I5" s="16" t="s">
        <v>38</v>
      </c>
      <c r="J5" s="13" t="s">
        <v>37</v>
      </c>
      <c r="K5" s="6" t="s">
        <v>38</v>
      </c>
      <c r="L5" s="5" t="s">
        <v>37</v>
      </c>
      <c r="M5" s="12" t="s">
        <v>38</v>
      </c>
      <c r="N5" s="13" t="s">
        <v>37</v>
      </c>
      <c r="O5" s="6" t="s">
        <v>38</v>
      </c>
      <c r="P5" s="5" t="s">
        <v>37</v>
      </c>
      <c r="Q5" s="12" t="s">
        <v>38</v>
      </c>
      <c r="R5" s="13" t="s">
        <v>39</v>
      </c>
      <c r="S5" s="6" t="s">
        <v>38</v>
      </c>
      <c r="T5" s="5" t="s">
        <v>37</v>
      </c>
      <c r="U5" s="12" t="s">
        <v>38</v>
      </c>
      <c r="V5" s="13" t="s">
        <v>37</v>
      </c>
      <c r="W5" s="6" t="s">
        <v>38</v>
      </c>
      <c r="X5" s="5" t="s">
        <v>37</v>
      </c>
      <c r="Y5" s="12" t="s">
        <v>38</v>
      </c>
      <c r="Z5" s="5" t="s">
        <v>37</v>
      </c>
      <c r="AA5" s="16" t="s">
        <v>38</v>
      </c>
      <c r="AB5" s="5" t="s">
        <v>37</v>
      </c>
      <c r="AC5" s="16" t="s">
        <v>38</v>
      </c>
      <c r="AD5" s="5" t="s">
        <v>37</v>
      </c>
      <c r="AE5" s="16" t="s">
        <v>38</v>
      </c>
      <c r="AF5" s="5" t="s">
        <v>37</v>
      </c>
      <c r="AG5" s="16" t="s">
        <v>38</v>
      </c>
      <c r="AH5" s="5" t="s">
        <v>37</v>
      </c>
      <c r="AI5" s="16" t="s">
        <v>38</v>
      </c>
      <c r="AJ5" s="156"/>
      <c r="AK5" s="156"/>
    </row>
    <row r="6" spans="2:37" ht="15.75" hidden="1" customHeight="1" x14ac:dyDescent="0.3">
      <c r="B6" s="9" t="s">
        <v>66</v>
      </c>
      <c r="C6" s="10">
        <v>45839</v>
      </c>
      <c r="D6" s="5">
        <v>29352</v>
      </c>
      <c r="E6" s="16">
        <f t="shared" ref="E6:E30" si="0">IF(D7&lt;&gt;"",D7-D6,"")</f>
        <v>2010</v>
      </c>
      <c r="F6" s="5"/>
      <c r="G6" s="16"/>
      <c r="H6" s="5"/>
      <c r="I6" s="16"/>
      <c r="J6" s="13">
        <v>5321</v>
      </c>
      <c r="K6" s="6">
        <f t="shared" ref="K6:K35" si="1">IF(J7&lt;&gt;"",J7-J6,"")</f>
        <v>363</v>
      </c>
      <c r="L6" s="5"/>
      <c r="M6" s="12" t="str">
        <f t="shared" ref="M6:M35" si="2">IF(L7&lt;&gt;"",L7-L6,"")</f>
        <v/>
      </c>
      <c r="N6" s="13"/>
      <c r="O6" s="6" t="str">
        <f t="shared" ref="O6:O38" si="3">IF(N7&lt;&gt;"",N7-N6,"")</f>
        <v/>
      </c>
      <c r="P6" s="5"/>
      <c r="Q6" s="12" t="str">
        <f t="shared" ref="Q6:Q40" si="4">IF(P7&lt;&gt;"",P7-P6,"")</f>
        <v/>
      </c>
      <c r="R6" s="13">
        <v>14413</v>
      </c>
      <c r="S6" s="6">
        <f t="shared" ref="S6:S38" si="5">IF(R7&lt;&gt;"",R7-R6,"")</f>
        <v>395</v>
      </c>
      <c r="T6" s="5"/>
      <c r="U6" s="12" t="str">
        <f t="shared" ref="U6:U38" si="6">IF(T7&lt;&gt;"",T7-T6,"")</f>
        <v/>
      </c>
      <c r="V6" s="13">
        <v>17011</v>
      </c>
      <c r="W6" s="6">
        <f t="shared" ref="W6:W35" si="7">IF(V7&lt;&gt;"",V7-V6,"")</f>
        <v>1001</v>
      </c>
      <c r="X6" s="5">
        <v>625</v>
      </c>
      <c r="Y6" s="12">
        <f t="shared" ref="Y6:Y35" si="8">IF(X7&lt;&gt;"",X7-X6,"")</f>
        <v>310</v>
      </c>
      <c r="Z6" s="5"/>
      <c r="AA6" s="16"/>
      <c r="AB6" s="5"/>
      <c r="AC6" s="16"/>
      <c r="AD6" s="5"/>
      <c r="AE6" s="16"/>
      <c r="AF6" s="5"/>
      <c r="AG6" s="16"/>
      <c r="AH6" s="5"/>
      <c r="AI6" s="16"/>
      <c r="AJ6" s="18">
        <f t="shared" ref="AJ6:AJ36" si="9">SUM(G6,K6,M6,O6,Q6,S6,U6,W6,Y6,AA6,AC6,AE6,AG6,AI6)</f>
        <v>2069</v>
      </c>
      <c r="AK6" s="19">
        <f t="shared" ref="AK6:AK36" si="10">(E6+I6)-AJ6</f>
        <v>-59</v>
      </c>
    </row>
    <row r="7" spans="2:37" ht="15.9" hidden="1" customHeight="1" x14ac:dyDescent="0.3">
      <c r="B7" s="9" t="s">
        <v>67</v>
      </c>
      <c r="C7" s="10">
        <v>45840</v>
      </c>
      <c r="D7" s="5">
        <v>31362</v>
      </c>
      <c r="E7" s="16">
        <f t="shared" si="0"/>
        <v>2964</v>
      </c>
      <c r="F7" s="5"/>
      <c r="G7" s="16"/>
      <c r="H7" s="5"/>
      <c r="I7" s="16"/>
      <c r="J7" s="13">
        <v>5684</v>
      </c>
      <c r="K7" s="6">
        <f t="shared" si="1"/>
        <v>304</v>
      </c>
      <c r="L7" s="5"/>
      <c r="M7" s="12" t="str">
        <f t="shared" si="2"/>
        <v/>
      </c>
      <c r="N7" s="13"/>
      <c r="O7" s="6" t="str">
        <f t="shared" si="3"/>
        <v/>
      </c>
      <c r="P7" s="5"/>
      <c r="Q7" s="12" t="str">
        <f t="shared" si="4"/>
        <v/>
      </c>
      <c r="R7" s="13">
        <v>14808</v>
      </c>
      <c r="S7" s="6">
        <f t="shared" si="5"/>
        <v>480</v>
      </c>
      <c r="T7" s="5"/>
      <c r="U7" s="12" t="str">
        <f t="shared" si="6"/>
        <v/>
      </c>
      <c r="V7" s="13">
        <v>18012</v>
      </c>
      <c r="W7" s="6">
        <f t="shared" si="7"/>
        <v>1052</v>
      </c>
      <c r="X7" s="5">
        <v>935</v>
      </c>
      <c r="Y7" s="12">
        <f t="shared" si="8"/>
        <v>246</v>
      </c>
      <c r="Z7" s="5"/>
      <c r="AA7" s="16"/>
      <c r="AB7" s="5"/>
      <c r="AC7" s="16"/>
      <c r="AD7" s="5"/>
      <c r="AE7" s="16"/>
      <c r="AF7" s="5"/>
      <c r="AG7" s="16"/>
      <c r="AH7" s="5"/>
      <c r="AI7" s="16"/>
      <c r="AJ7" s="18">
        <f t="shared" si="9"/>
        <v>2082</v>
      </c>
      <c r="AK7" s="19">
        <f t="shared" si="10"/>
        <v>882</v>
      </c>
    </row>
    <row r="8" spans="2:37" ht="15.9" hidden="1" customHeight="1" x14ac:dyDescent="0.3">
      <c r="B8" s="9" t="s">
        <v>68</v>
      </c>
      <c r="C8" s="10">
        <v>45841</v>
      </c>
      <c r="D8" s="5">
        <v>34326</v>
      </c>
      <c r="E8" s="16">
        <f t="shared" si="0"/>
        <v>1533</v>
      </c>
      <c r="F8" s="5"/>
      <c r="G8" s="16"/>
      <c r="H8" s="5"/>
      <c r="I8" s="16"/>
      <c r="J8" s="13">
        <v>5988</v>
      </c>
      <c r="K8" s="6">
        <f t="shared" si="1"/>
        <v>376</v>
      </c>
      <c r="L8" s="5"/>
      <c r="M8" s="12" t="str">
        <f t="shared" si="2"/>
        <v/>
      </c>
      <c r="N8" s="13"/>
      <c r="O8" s="6" t="str">
        <f t="shared" si="3"/>
        <v/>
      </c>
      <c r="P8" s="5"/>
      <c r="Q8" s="12" t="str">
        <f t="shared" si="4"/>
        <v/>
      </c>
      <c r="R8" s="13">
        <v>15288</v>
      </c>
      <c r="S8" s="6">
        <f t="shared" si="5"/>
        <v>565</v>
      </c>
      <c r="T8" s="5"/>
      <c r="U8" s="12" t="str">
        <f t="shared" si="6"/>
        <v/>
      </c>
      <c r="V8" s="13">
        <v>19064</v>
      </c>
      <c r="W8" s="6">
        <f t="shared" si="7"/>
        <v>954</v>
      </c>
      <c r="X8" s="5">
        <v>1181</v>
      </c>
      <c r="Y8" s="12">
        <f t="shared" si="8"/>
        <v>372</v>
      </c>
      <c r="Z8" s="5"/>
      <c r="AA8" s="16"/>
      <c r="AB8" s="5"/>
      <c r="AC8" s="16"/>
      <c r="AD8" s="5"/>
      <c r="AE8" s="16"/>
      <c r="AF8" s="5"/>
      <c r="AG8" s="16"/>
      <c r="AH8" s="5"/>
      <c r="AI8" s="16"/>
      <c r="AJ8" s="18">
        <f t="shared" si="9"/>
        <v>2267</v>
      </c>
      <c r="AK8" s="19">
        <f t="shared" si="10"/>
        <v>-734</v>
      </c>
    </row>
    <row r="9" spans="2:37" ht="15.9" hidden="1" customHeight="1" x14ac:dyDescent="0.3">
      <c r="B9" s="9" t="s">
        <v>69</v>
      </c>
      <c r="C9" s="10">
        <v>45842</v>
      </c>
      <c r="D9" s="5">
        <v>35859</v>
      </c>
      <c r="E9" s="16">
        <f t="shared" si="0"/>
        <v>1099</v>
      </c>
      <c r="F9" s="5"/>
      <c r="G9" s="16"/>
      <c r="H9" s="5"/>
      <c r="I9" s="16"/>
      <c r="J9" s="13">
        <v>6364</v>
      </c>
      <c r="K9" s="6">
        <f t="shared" si="1"/>
        <v>195</v>
      </c>
      <c r="L9" s="5"/>
      <c r="M9" s="12" t="str">
        <f t="shared" si="2"/>
        <v/>
      </c>
      <c r="N9" s="13"/>
      <c r="O9" s="6" t="str">
        <f t="shared" si="3"/>
        <v/>
      </c>
      <c r="P9" s="5"/>
      <c r="Q9" s="12" t="str">
        <f t="shared" si="4"/>
        <v/>
      </c>
      <c r="R9" s="13">
        <v>15853</v>
      </c>
      <c r="S9" s="6">
        <f t="shared" si="5"/>
        <v>357</v>
      </c>
      <c r="T9" s="5"/>
      <c r="U9" s="12" t="str">
        <f t="shared" si="6"/>
        <v/>
      </c>
      <c r="V9" s="13">
        <v>20018</v>
      </c>
      <c r="W9" s="6">
        <f t="shared" si="7"/>
        <v>894</v>
      </c>
      <c r="X9" s="5">
        <v>1553</v>
      </c>
      <c r="Y9" s="12">
        <f t="shared" si="8"/>
        <v>251</v>
      </c>
      <c r="Z9" s="5"/>
      <c r="AA9" s="16"/>
      <c r="AB9" s="5"/>
      <c r="AC9" s="16"/>
      <c r="AD9" s="5"/>
      <c r="AE9" s="16"/>
      <c r="AF9" s="5"/>
      <c r="AG9" s="16"/>
      <c r="AH9" s="5"/>
      <c r="AI9" s="16"/>
      <c r="AJ9" s="18">
        <f t="shared" si="9"/>
        <v>1697</v>
      </c>
      <c r="AK9" s="19">
        <f t="shared" si="10"/>
        <v>-598</v>
      </c>
    </row>
    <row r="10" spans="2:37" ht="15.9" hidden="1" customHeight="1" x14ac:dyDescent="0.3">
      <c r="B10" s="9" t="s">
        <v>70</v>
      </c>
      <c r="C10" s="10">
        <v>45843</v>
      </c>
      <c r="D10" s="5">
        <v>36958</v>
      </c>
      <c r="E10" s="16">
        <f t="shared" si="0"/>
        <v>1021</v>
      </c>
      <c r="F10" s="5"/>
      <c r="G10" s="16"/>
      <c r="H10" s="5"/>
      <c r="I10" s="16"/>
      <c r="J10" s="13">
        <v>6559</v>
      </c>
      <c r="K10" s="6">
        <f t="shared" si="1"/>
        <v>225</v>
      </c>
      <c r="L10" s="5"/>
      <c r="M10" s="12" t="str">
        <f t="shared" si="2"/>
        <v/>
      </c>
      <c r="N10" s="13"/>
      <c r="O10" s="6" t="str">
        <f t="shared" si="3"/>
        <v/>
      </c>
      <c r="P10" s="5"/>
      <c r="Q10" s="12" t="str">
        <f t="shared" si="4"/>
        <v/>
      </c>
      <c r="R10" s="13">
        <v>16210</v>
      </c>
      <c r="S10" s="6">
        <f t="shared" si="5"/>
        <v>313</v>
      </c>
      <c r="T10" s="5"/>
      <c r="U10" s="12" t="str">
        <f t="shared" si="6"/>
        <v/>
      </c>
      <c r="V10" s="13">
        <v>20912</v>
      </c>
      <c r="W10" s="6">
        <f t="shared" si="7"/>
        <v>555</v>
      </c>
      <c r="X10" s="5">
        <v>1804</v>
      </c>
      <c r="Y10" s="12">
        <f t="shared" si="8"/>
        <v>192</v>
      </c>
      <c r="Z10" s="5"/>
      <c r="AA10" s="16"/>
      <c r="AB10" s="5"/>
      <c r="AC10" s="16"/>
      <c r="AD10" s="5"/>
      <c r="AE10" s="16"/>
      <c r="AF10" s="5"/>
      <c r="AG10" s="16"/>
      <c r="AH10" s="5"/>
      <c r="AI10" s="16"/>
      <c r="AJ10" s="18">
        <f t="shared" si="9"/>
        <v>1285</v>
      </c>
      <c r="AK10" s="19">
        <f t="shared" si="10"/>
        <v>-264</v>
      </c>
    </row>
    <row r="11" spans="2:37" ht="15.9" hidden="1" customHeight="1" x14ac:dyDescent="0.3">
      <c r="B11" s="9" t="s">
        <v>71</v>
      </c>
      <c r="C11" s="10">
        <v>45844</v>
      </c>
      <c r="D11" s="5">
        <v>37979</v>
      </c>
      <c r="E11" s="16">
        <f t="shared" si="0"/>
        <v>0</v>
      </c>
      <c r="F11" s="5"/>
      <c r="G11" s="16"/>
      <c r="H11" s="5"/>
      <c r="I11" s="16"/>
      <c r="J11" s="13">
        <v>6784</v>
      </c>
      <c r="K11" s="6">
        <f t="shared" si="1"/>
        <v>0</v>
      </c>
      <c r="L11" s="5"/>
      <c r="M11" s="12" t="str">
        <f t="shared" si="2"/>
        <v/>
      </c>
      <c r="N11" s="13"/>
      <c r="O11" s="6" t="str">
        <f t="shared" si="3"/>
        <v/>
      </c>
      <c r="P11" s="5"/>
      <c r="Q11" s="12" t="str">
        <f t="shared" si="4"/>
        <v/>
      </c>
      <c r="R11" s="13">
        <v>16523</v>
      </c>
      <c r="S11" s="6">
        <f t="shared" si="5"/>
        <v>0</v>
      </c>
      <c r="T11" s="5"/>
      <c r="U11" s="12" t="str">
        <f t="shared" si="6"/>
        <v/>
      </c>
      <c r="V11" s="13">
        <v>21467</v>
      </c>
      <c r="W11" s="6">
        <f t="shared" si="7"/>
        <v>0</v>
      </c>
      <c r="X11" s="5">
        <v>1996</v>
      </c>
      <c r="Y11" s="12">
        <f t="shared" si="8"/>
        <v>0</v>
      </c>
      <c r="Z11" s="5"/>
      <c r="AA11" s="16"/>
      <c r="AB11" s="5"/>
      <c r="AC11" s="16"/>
      <c r="AD11" s="5"/>
      <c r="AE11" s="16"/>
      <c r="AF11" s="5"/>
      <c r="AG11" s="16"/>
      <c r="AH11" s="5"/>
      <c r="AI11" s="16"/>
      <c r="AJ11" s="18">
        <f t="shared" si="9"/>
        <v>0</v>
      </c>
      <c r="AK11" s="19">
        <f t="shared" si="10"/>
        <v>0</v>
      </c>
    </row>
    <row r="12" spans="2:37" ht="15.9" hidden="1" customHeight="1" x14ac:dyDescent="0.3">
      <c r="B12" s="9" t="s">
        <v>72</v>
      </c>
      <c r="C12" s="10">
        <v>45845</v>
      </c>
      <c r="D12" s="5">
        <v>37979</v>
      </c>
      <c r="E12" s="16">
        <f t="shared" si="0"/>
        <v>2656</v>
      </c>
      <c r="F12" s="5"/>
      <c r="G12" s="16"/>
      <c r="H12" s="5"/>
      <c r="I12" s="16"/>
      <c r="J12" s="13">
        <v>6784</v>
      </c>
      <c r="K12" s="6">
        <f t="shared" si="1"/>
        <v>422</v>
      </c>
      <c r="L12" s="5"/>
      <c r="M12" s="12" t="str">
        <f t="shared" si="2"/>
        <v/>
      </c>
      <c r="N12" s="13"/>
      <c r="O12" s="6" t="str">
        <f t="shared" si="3"/>
        <v/>
      </c>
      <c r="P12" s="5"/>
      <c r="Q12" s="12" t="str">
        <f t="shared" si="4"/>
        <v/>
      </c>
      <c r="R12" s="13">
        <v>16523</v>
      </c>
      <c r="S12" s="6">
        <f t="shared" si="5"/>
        <v>640</v>
      </c>
      <c r="T12" s="5"/>
      <c r="U12" s="12" t="str">
        <f t="shared" si="6"/>
        <v/>
      </c>
      <c r="V12" s="13">
        <v>21467</v>
      </c>
      <c r="W12" s="6">
        <f t="shared" si="7"/>
        <v>1345</v>
      </c>
      <c r="X12" s="5">
        <v>1996</v>
      </c>
      <c r="Y12" s="12">
        <f t="shared" si="8"/>
        <v>422</v>
      </c>
      <c r="Z12" s="5"/>
      <c r="AA12" s="16"/>
      <c r="AB12" s="5"/>
      <c r="AC12" s="16"/>
      <c r="AD12" s="5"/>
      <c r="AE12" s="16"/>
      <c r="AF12" s="5"/>
      <c r="AG12" s="16"/>
      <c r="AH12" s="5"/>
      <c r="AI12" s="16"/>
      <c r="AJ12" s="18">
        <f t="shared" si="9"/>
        <v>2829</v>
      </c>
      <c r="AK12" s="19">
        <f t="shared" si="10"/>
        <v>-173</v>
      </c>
    </row>
    <row r="13" spans="2:37" ht="15.9" hidden="1" customHeight="1" x14ac:dyDescent="0.3">
      <c r="B13" s="9" t="s">
        <v>66</v>
      </c>
      <c r="C13" s="10">
        <v>45846</v>
      </c>
      <c r="D13" s="5">
        <v>40635</v>
      </c>
      <c r="E13" s="16">
        <f t="shared" si="0"/>
        <v>2071</v>
      </c>
      <c r="F13" s="5"/>
      <c r="G13" s="16"/>
      <c r="H13" s="5"/>
      <c r="I13" s="16"/>
      <c r="J13" s="13">
        <v>7206</v>
      </c>
      <c r="K13" s="6">
        <f t="shared" si="1"/>
        <v>367</v>
      </c>
      <c r="L13" s="5"/>
      <c r="M13" s="12" t="str">
        <f t="shared" si="2"/>
        <v/>
      </c>
      <c r="N13" s="13"/>
      <c r="O13" s="6" t="str">
        <f t="shared" si="3"/>
        <v/>
      </c>
      <c r="P13" s="5"/>
      <c r="Q13" s="12" t="str">
        <f t="shared" si="4"/>
        <v/>
      </c>
      <c r="R13" s="13">
        <v>17163</v>
      </c>
      <c r="S13" s="6">
        <f t="shared" si="5"/>
        <v>598</v>
      </c>
      <c r="T13" s="5"/>
      <c r="U13" s="12" t="str">
        <f t="shared" si="6"/>
        <v/>
      </c>
      <c r="V13" s="13">
        <v>22812</v>
      </c>
      <c r="W13" s="6">
        <f t="shared" si="7"/>
        <v>1320</v>
      </c>
      <c r="X13" s="5">
        <v>2418</v>
      </c>
      <c r="Y13" s="12">
        <f t="shared" si="8"/>
        <v>398</v>
      </c>
      <c r="Z13" s="5"/>
      <c r="AA13" s="16"/>
      <c r="AB13" s="5"/>
      <c r="AC13" s="16"/>
      <c r="AD13" s="5"/>
      <c r="AE13" s="16"/>
      <c r="AF13" s="5"/>
      <c r="AG13" s="16"/>
      <c r="AH13" s="5"/>
      <c r="AI13" s="16"/>
      <c r="AJ13" s="18">
        <f t="shared" si="9"/>
        <v>2683</v>
      </c>
      <c r="AK13" s="19">
        <f t="shared" si="10"/>
        <v>-612</v>
      </c>
    </row>
    <row r="14" spans="2:37" ht="15.9" hidden="1" customHeight="1" x14ac:dyDescent="0.3">
      <c r="B14" s="9" t="s">
        <v>67</v>
      </c>
      <c r="C14" s="10">
        <v>45847</v>
      </c>
      <c r="D14" s="5">
        <v>42706</v>
      </c>
      <c r="E14" s="16">
        <f t="shared" si="0"/>
        <v>2567</v>
      </c>
      <c r="F14" s="5"/>
      <c r="G14" s="16"/>
      <c r="H14" s="5"/>
      <c r="I14" s="16"/>
      <c r="J14" s="13">
        <v>7573</v>
      </c>
      <c r="K14" s="6">
        <f t="shared" si="1"/>
        <v>402</v>
      </c>
      <c r="L14" s="5"/>
      <c r="M14" s="12" t="str">
        <f t="shared" si="2"/>
        <v/>
      </c>
      <c r="N14" s="13"/>
      <c r="O14" s="6" t="str">
        <f t="shared" si="3"/>
        <v/>
      </c>
      <c r="P14" s="5"/>
      <c r="Q14" s="12" t="str">
        <f t="shared" si="4"/>
        <v/>
      </c>
      <c r="R14" s="13">
        <v>17761</v>
      </c>
      <c r="S14" s="6">
        <f t="shared" si="5"/>
        <v>699</v>
      </c>
      <c r="T14" s="5"/>
      <c r="U14" s="12" t="str">
        <f t="shared" si="6"/>
        <v/>
      </c>
      <c r="V14" s="13">
        <v>24132</v>
      </c>
      <c r="W14" s="6">
        <f t="shared" si="7"/>
        <v>1159</v>
      </c>
      <c r="X14" s="5">
        <v>2816</v>
      </c>
      <c r="Y14" s="12">
        <f t="shared" si="8"/>
        <v>320</v>
      </c>
      <c r="Z14" s="5"/>
      <c r="AA14" s="16"/>
      <c r="AB14" s="5"/>
      <c r="AC14" s="16"/>
      <c r="AD14" s="5"/>
      <c r="AE14" s="16"/>
      <c r="AF14" s="5"/>
      <c r="AG14" s="16"/>
      <c r="AH14" s="5"/>
      <c r="AI14" s="16"/>
      <c r="AJ14" s="18">
        <f t="shared" si="9"/>
        <v>2580</v>
      </c>
      <c r="AK14" s="19">
        <f t="shared" si="10"/>
        <v>-13</v>
      </c>
    </row>
    <row r="15" spans="2:37" ht="15.9" hidden="1" customHeight="1" x14ac:dyDescent="0.3">
      <c r="B15" s="9" t="s">
        <v>68</v>
      </c>
      <c r="C15" s="10">
        <v>45848</v>
      </c>
      <c r="D15" s="5">
        <v>45273</v>
      </c>
      <c r="E15" s="16">
        <f t="shared" si="0"/>
        <v>2403</v>
      </c>
      <c r="F15" s="5"/>
      <c r="G15" s="16"/>
      <c r="H15" s="5"/>
      <c r="I15" s="16"/>
      <c r="J15" s="13">
        <v>7975</v>
      </c>
      <c r="K15" s="6">
        <f t="shared" si="1"/>
        <v>316</v>
      </c>
      <c r="L15" s="5"/>
      <c r="M15" s="12" t="str">
        <f t="shared" si="2"/>
        <v/>
      </c>
      <c r="N15" s="13"/>
      <c r="O15" s="6" t="str">
        <f t="shared" si="3"/>
        <v/>
      </c>
      <c r="P15" s="5"/>
      <c r="Q15" s="12" t="str">
        <f t="shared" si="4"/>
        <v/>
      </c>
      <c r="R15" s="13">
        <v>18460</v>
      </c>
      <c r="S15" s="6">
        <f t="shared" si="5"/>
        <v>630</v>
      </c>
      <c r="T15" s="5"/>
      <c r="U15" s="12" t="str">
        <f t="shared" si="6"/>
        <v/>
      </c>
      <c r="V15" s="13">
        <v>25291</v>
      </c>
      <c r="W15" s="6">
        <f t="shared" si="7"/>
        <v>1212</v>
      </c>
      <c r="X15" s="5">
        <v>3136</v>
      </c>
      <c r="Y15" s="12">
        <f t="shared" si="8"/>
        <v>408</v>
      </c>
      <c r="Z15" s="5"/>
      <c r="AA15" s="16"/>
      <c r="AB15" s="5"/>
      <c r="AC15" s="16"/>
      <c r="AD15" s="5"/>
      <c r="AE15" s="16"/>
      <c r="AF15" s="5"/>
      <c r="AG15" s="16"/>
      <c r="AH15" s="5"/>
      <c r="AI15" s="16"/>
      <c r="AJ15" s="18">
        <f t="shared" si="9"/>
        <v>2566</v>
      </c>
      <c r="AK15" s="19">
        <f t="shared" si="10"/>
        <v>-163</v>
      </c>
    </row>
    <row r="16" spans="2:37" ht="15.9" hidden="1" customHeight="1" x14ac:dyDescent="0.3">
      <c r="B16" s="9" t="s">
        <v>69</v>
      </c>
      <c r="C16" s="10">
        <v>45849</v>
      </c>
      <c r="D16" s="5">
        <v>47676</v>
      </c>
      <c r="E16" s="16">
        <f t="shared" si="0"/>
        <v>2135</v>
      </c>
      <c r="F16" s="5"/>
      <c r="G16" s="16"/>
      <c r="H16" s="5"/>
      <c r="I16" s="16"/>
      <c r="J16" s="13">
        <v>8291</v>
      </c>
      <c r="K16" s="6">
        <f t="shared" si="1"/>
        <v>412</v>
      </c>
      <c r="L16" s="5"/>
      <c r="M16" s="12" t="str">
        <f t="shared" si="2"/>
        <v/>
      </c>
      <c r="N16" s="13"/>
      <c r="O16" s="6" t="str">
        <f t="shared" si="3"/>
        <v/>
      </c>
      <c r="P16" s="5"/>
      <c r="Q16" s="12" t="str">
        <f t="shared" si="4"/>
        <v/>
      </c>
      <c r="R16" s="13">
        <v>19090</v>
      </c>
      <c r="S16" s="6">
        <f t="shared" si="5"/>
        <v>757</v>
      </c>
      <c r="T16" s="5"/>
      <c r="U16" s="12" t="str">
        <f t="shared" si="6"/>
        <v/>
      </c>
      <c r="V16" s="13">
        <v>26503</v>
      </c>
      <c r="W16" s="6">
        <f t="shared" si="7"/>
        <v>1358</v>
      </c>
      <c r="X16" s="5">
        <v>3544</v>
      </c>
      <c r="Y16" s="12">
        <f t="shared" si="8"/>
        <v>418</v>
      </c>
      <c r="Z16" s="5"/>
      <c r="AA16" s="16"/>
      <c r="AB16" s="5"/>
      <c r="AC16" s="16"/>
      <c r="AD16" s="5"/>
      <c r="AE16" s="16"/>
      <c r="AF16" s="5"/>
      <c r="AG16" s="16"/>
      <c r="AH16" s="5"/>
      <c r="AI16" s="16"/>
      <c r="AJ16" s="18">
        <f t="shared" si="9"/>
        <v>2945</v>
      </c>
      <c r="AK16" s="19">
        <f t="shared" si="10"/>
        <v>-810</v>
      </c>
    </row>
    <row r="17" spans="2:37" ht="15.9" hidden="1" customHeight="1" x14ac:dyDescent="0.3">
      <c r="B17" s="9" t="s">
        <v>70</v>
      </c>
      <c r="C17" s="10">
        <v>45850</v>
      </c>
      <c r="D17" s="5">
        <v>49811</v>
      </c>
      <c r="E17" s="16">
        <f t="shared" si="0"/>
        <v>2866</v>
      </c>
      <c r="F17" s="5"/>
      <c r="G17" s="16"/>
      <c r="H17" s="5"/>
      <c r="I17" s="16"/>
      <c r="J17" s="13">
        <v>8703</v>
      </c>
      <c r="K17" s="6">
        <f t="shared" si="1"/>
        <v>489</v>
      </c>
      <c r="L17" s="5"/>
      <c r="M17" s="12" t="str">
        <f t="shared" si="2"/>
        <v/>
      </c>
      <c r="N17" s="13"/>
      <c r="O17" s="6" t="str">
        <f t="shared" si="3"/>
        <v/>
      </c>
      <c r="P17" s="5"/>
      <c r="Q17" s="12" t="str">
        <f t="shared" si="4"/>
        <v/>
      </c>
      <c r="R17" s="13">
        <v>19847</v>
      </c>
      <c r="S17" s="6">
        <f t="shared" si="5"/>
        <v>862</v>
      </c>
      <c r="T17" s="5"/>
      <c r="U17" s="12" t="str">
        <f t="shared" si="6"/>
        <v/>
      </c>
      <c r="V17" s="13">
        <v>27861</v>
      </c>
      <c r="W17" s="6">
        <f t="shared" si="7"/>
        <v>1653</v>
      </c>
      <c r="X17" s="5">
        <v>3962</v>
      </c>
      <c r="Y17" s="12">
        <f t="shared" si="8"/>
        <v>649</v>
      </c>
      <c r="Z17" s="5"/>
      <c r="AA17" s="16"/>
      <c r="AB17" s="5"/>
      <c r="AC17" s="16"/>
      <c r="AD17" s="5"/>
      <c r="AE17" s="16"/>
      <c r="AF17" s="5"/>
      <c r="AG17" s="16"/>
      <c r="AH17" s="5"/>
      <c r="AI17" s="16"/>
      <c r="AJ17" s="18">
        <f t="shared" si="9"/>
        <v>3653</v>
      </c>
      <c r="AK17" s="19">
        <f t="shared" si="10"/>
        <v>-787</v>
      </c>
    </row>
    <row r="18" spans="2:37" ht="15.9" hidden="1" customHeight="1" x14ac:dyDescent="0.3">
      <c r="B18" s="9" t="s">
        <v>71</v>
      </c>
      <c r="C18" s="10">
        <v>45851</v>
      </c>
      <c r="D18" s="5">
        <v>52677</v>
      </c>
      <c r="E18" s="16">
        <f t="shared" si="0"/>
        <v>0</v>
      </c>
      <c r="F18" s="5"/>
      <c r="G18" s="16"/>
      <c r="H18" s="5"/>
      <c r="I18" s="16"/>
      <c r="J18" s="13">
        <v>9192</v>
      </c>
      <c r="K18" s="6">
        <f t="shared" si="1"/>
        <v>0</v>
      </c>
      <c r="L18" s="5"/>
      <c r="M18" s="12" t="str">
        <f t="shared" si="2"/>
        <v/>
      </c>
      <c r="N18" s="13"/>
      <c r="O18" s="6" t="str">
        <f t="shared" si="3"/>
        <v/>
      </c>
      <c r="P18" s="5"/>
      <c r="Q18" s="12" t="str">
        <f t="shared" si="4"/>
        <v/>
      </c>
      <c r="R18" s="13">
        <v>20709</v>
      </c>
      <c r="S18" s="6">
        <f t="shared" si="5"/>
        <v>0</v>
      </c>
      <c r="T18" s="5"/>
      <c r="U18" s="12" t="str">
        <f t="shared" si="6"/>
        <v/>
      </c>
      <c r="V18" s="13">
        <v>29514</v>
      </c>
      <c r="W18" s="6">
        <f t="shared" si="7"/>
        <v>0</v>
      </c>
      <c r="X18" s="5">
        <v>4611</v>
      </c>
      <c r="Y18" s="12">
        <f t="shared" si="8"/>
        <v>0</v>
      </c>
      <c r="Z18" s="5"/>
      <c r="AA18" s="16"/>
      <c r="AB18" s="5"/>
      <c r="AC18" s="16"/>
      <c r="AD18" s="5"/>
      <c r="AE18" s="16"/>
      <c r="AF18" s="5"/>
      <c r="AG18" s="16"/>
      <c r="AH18" s="5"/>
      <c r="AI18" s="16"/>
      <c r="AJ18" s="18">
        <f t="shared" si="9"/>
        <v>0</v>
      </c>
      <c r="AK18" s="19">
        <f t="shared" si="10"/>
        <v>0</v>
      </c>
    </row>
    <row r="19" spans="2:37" ht="15.9" hidden="1" customHeight="1" x14ac:dyDescent="0.3">
      <c r="B19" s="9" t="s">
        <v>72</v>
      </c>
      <c r="C19" s="10">
        <v>45852</v>
      </c>
      <c r="D19" s="5">
        <v>52677</v>
      </c>
      <c r="E19" s="16">
        <f t="shared" si="0"/>
        <v>3054</v>
      </c>
      <c r="F19" s="5"/>
      <c r="G19" s="16"/>
      <c r="H19" s="5"/>
      <c r="I19" s="16"/>
      <c r="J19" s="13">
        <v>9192</v>
      </c>
      <c r="K19" s="6">
        <f t="shared" si="1"/>
        <v>316</v>
      </c>
      <c r="L19" s="5"/>
      <c r="M19" s="12" t="str">
        <f t="shared" si="2"/>
        <v/>
      </c>
      <c r="N19" s="13"/>
      <c r="O19" s="6" t="str">
        <f t="shared" si="3"/>
        <v/>
      </c>
      <c r="P19" s="5"/>
      <c r="Q19" s="12" t="str">
        <f t="shared" si="4"/>
        <v/>
      </c>
      <c r="R19" s="13">
        <v>20709</v>
      </c>
      <c r="S19" s="6">
        <f t="shared" si="5"/>
        <v>616</v>
      </c>
      <c r="T19" s="5"/>
      <c r="U19" s="12" t="str">
        <f t="shared" si="6"/>
        <v/>
      </c>
      <c r="V19" s="13">
        <v>29514</v>
      </c>
      <c r="W19" s="6">
        <f t="shared" si="7"/>
        <v>1237</v>
      </c>
      <c r="X19" s="5">
        <v>4611</v>
      </c>
      <c r="Y19" s="12">
        <f t="shared" si="8"/>
        <v>335</v>
      </c>
      <c r="Z19" s="5"/>
      <c r="AA19" s="16"/>
      <c r="AB19" s="5"/>
      <c r="AC19" s="16"/>
      <c r="AD19" s="5"/>
      <c r="AE19" s="16"/>
      <c r="AF19" s="5"/>
      <c r="AG19" s="16"/>
      <c r="AH19" s="5"/>
      <c r="AI19" s="16"/>
      <c r="AJ19" s="18">
        <f t="shared" si="9"/>
        <v>2504</v>
      </c>
      <c r="AK19" s="19">
        <f t="shared" si="10"/>
        <v>550</v>
      </c>
    </row>
    <row r="20" spans="2:37" ht="15.9" hidden="1" customHeight="1" x14ac:dyDescent="0.3">
      <c r="B20" s="9" t="s">
        <v>66</v>
      </c>
      <c r="C20" s="10">
        <v>45853</v>
      </c>
      <c r="D20" s="5">
        <v>55731</v>
      </c>
      <c r="E20" s="16">
        <f t="shared" si="0"/>
        <v>3955</v>
      </c>
      <c r="F20" s="5"/>
      <c r="G20" s="16"/>
      <c r="H20" s="5"/>
      <c r="I20" s="16"/>
      <c r="J20" s="13">
        <v>9508</v>
      </c>
      <c r="K20" s="6">
        <f t="shared" si="1"/>
        <v>378</v>
      </c>
      <c r="L20" s="5"/>
      <c r="M20" s="12" t="str">
        <f t="shared" si="2"/>
        <v/>
      </c>
      <c r="N20" s="13"/>
      <c r="O20" s="6" t="str">
        <f t="shared" si="3"/>
        <v/>
      </c>
      <c r="P20" s="5"/>
      <c r="Q20" s="12" t="str">
        <f t="shared" si="4"/>
        <v/>
      </c>
      <c r="R20" s="13">
        <v>21325</v>
      </c>
      <c r="S20" s="6">
        <f t="shared" si="5"/>
        <v>708</v>
      </c>
      <c r="T20" s="5"/>
      <c r="U20" s="12" t="str">
        <f t="shared" si="6"/>
        <v/>
      </c>
      <c r="V20" s="13">
        <v>30751</v>
      </c>
      <c r="W20" s="6">
        <f t="shared" si="7"/>
        <v>1236</v>
      </c>
      <c r="X20" s="5">
        <v>4946</v>
      </c>
      <c r="Y20" s="12">
        <f t="shared" si="8"/>
        <v>428</v>
      </c>
      <c r="Z20" s="5"/>
      <c r="AA20" s="16"/>
      <c r="AB20" s="5"/>
      <c r="AC20" s="16"/>
      <c r="AD20" s="5"/>
      <c r="AE20" s="16"/>
      <c r="AF20" s="5"/>
      <c r="AG20" s="16"/>
      <c r="AH20" s="5"/>
      <c r="AI20" s="16"/>
      <c r="AJ20" s="18">
        <f t="shared" si="9"/>
        <v>2750</v>
      </c>
      <c r="AK20" s="19">
        <f t="shared" si="10"/>
        <v>1205</v>
      </c>
    </row>
    <row r="21" spans="2:37" ht="15.9" hidden="1" customHeight="1" x14ac:dyDescent="0.3">
      <c r="B21" s="9" t="s">
        <v>67</v>
      </c>
      <c r="C21" s="10">
        <v>45854</v>
      </c>
      <c r="D21" s="5">
        <v>59686</v>
      </c>
      <c r="E21" s="16">
        <f t="shared" si="0"/>
        <v>3910</v>
      </c>
      <c r="F21" s="5"/>
      <c r="G21" s="16"/>
      <c r="H21" s="5"/>
      <c r="I21" s="16"/>
      <c r="J21" s="13">
        <v>9886</v>
      </c>
      <c r="K21" s="6">
        <f t="shared" si="1"/>
        <v>387</v>
      </c>
      <c r="L21" s="5"/>
      <c r="M21" s="12" t="str">
        <f t="shared" si="2"/>
        <v/>
      </c>
      <c r="N21" s="13"/>
      <c r="O21" s="6" t="str">
        <f t="shared" si="3"/>
        <v/>
      </c>
      <c r="P21" s="5"/>
      <c r="Q21" s="12" t="str">
        <f t="shared" si="4"/>
        <v/>
      </c>
      <c r="R21" s="13">
        <v>22033</v>
      </c>
      <c r="S21" s="6">
        <f t="shared" si="5"/>
        <v>607</v>
      </c>
      <c r="T21" s="5"/>
      <c r="U21" s="12" t="str">
        <f t="shared" si="6"/>
        <v/>
      </c>
      <c r="V21" s="13">
        <v>31987</v>
      </c>
      <c r="W21" s="6">
        <f t="shared" si="7"/>
        <v>1673</v>
      </c>
      <c r="X21" s="5">
        <v>5374</v>
      </c>
      <c r="Y21" s="12">
        <f t="shared" si="8"/>
        <v>541</v>
      </c>
      <c r="Z21" s="5"/>
      <c r="AA21" s="16"/>
      <c r="AB21" s="5"/>
      <c r="AC21" s="16"/>
      <c r="AD21" s="5"/>
      <c r="AE21" s="16"/>
      <c r="AF21" s="5"/>
      <c r="AG21" s="16"/>
      <c r="AH21" s="5"/>
      <c r="AI21" s="16"/>
      <c r="AJ21" s="18">
        <f t="shared" si="9"/>
        <v>3208</v>
      </c>
      <c r="AK21" s="19">
        <f t="shared" si="10"/>
        <v>702</v>
      </c>
    </row>
    <row r="22" spans="2:37" ht="15.9" hidden="1" customHeight="1" x14ac:dyDescent="0.3">
      <c r="B22" s="9" t="s">
        <v>68</v>
      </c>
      <c r="C22" s="10">
        <v>45855</v>
      </c>
      <c r="D22" s="5">
        <v>63596</v>
      </c>
      <c r="E22" s="16">
        <f t="shared" si="0"/>
        <v>3517</v>
      </c>
      <c r="F22" s="5"/>
      <c r="G22" s="16"/>
      <c r="H22" s="5"/>
      <c r="I22" s="16"/>
      <c r="J22" s="13">
        <v>10273</v>
      </c>
      <c r="K22" s="6">
        <f t="shared" si="1"/>
        <v>455</v>
      </c>
      <c r="L22" s="5"/>
      <c r="M22" s="12" t="str">
        <f t="shared" si="2"/>
        <v/>
      </c>
      <c r="N22" s="13"/>
      <c r="O22" s="6" t="str">
        <f t="shared" si="3"/>
        <v/>
      </c>
      <c r="P22" s="5"/>
      <c r="Q22" s="12" t="str">
        <f t="shared" si="4"/>
        <v/>
      </c>
      <c r="R22" s="13">
        <v>22640</v>
      </c>
      <c r="S22" s="6">
        <f t="shared" si="5"/>
        <v>677</v>
      </c>
      <c r="T22" s="5"/>
      <c r="U22" s="12" t="str">
        <f t="shared" si="6"/>
        <v/>
      </c>
      <c r="V22" s="13">
        <v>33660</v>
      </c>
      <c r="W22" s="6">
        <f t="shared" si="7"/>
        <v>1420</v>
      </c>
      <c r="X22" s="5">
        <v>5915</v>
      </c>
      <c r="Y22" s="12">
        <f t="shared" si="8"/>
        <v>584</v>
      </c>
      <c r="Z22" s="5"/>
      <c r="AA22" s="16"/>
      <c r="AB22" s="5"/>
      <c r="AC22" s="16"/>
      <c r="AD22" s="5"/>
      <c r="AE22" s="16"/>
      <c r="AF22" s="5"/>
      <c r="AG22" s="16"/>
      <c r="AH22" s="5"/>
      <c r="AI22" s="16"/>
      <c r="AJ22" s="18">
        <f t="shared" si="9"/>
        <v>3136</v>
      </c>
      <c r="AK22" s="19">
        <f t="shared" si="10"/>
        <v>381</v>
      </c>
    </row>
    <row r="23" spans="2:37" ht="15.9" hidden="1" customHeight="1" x14ac:dyDescent="0.3">
      <c r="B23" s="9" t="s">
        <v>69</v>
      </c>
      <c r="C23" s="10">
        <v>45856</v>
      </c>
      <c r="D23" s="5">
        <v>67113</v>
      </c>
      <c r="E23" s="16">
        <f t="shared" si="0"/>
        <v>3255</v>
      </c>
      <c r="F23" s="5"/>
      <c r="G23" s="16"/>
      <c r="H23" s="5"/>
      <c r="I23" s="16"/>
      <c r="J23" s="13">
        <v>10728</v>
      </c>
      <c r="K23" s="6">
        <f t="shared" si="1"/>
        <v>407</v>
      </c>
      <c r="L23" s="5"/>
      <c r="M23" s="12" t="str">
        <f t="shared" si="2"/>
        <v/>
      </c>
      <c r="N23" s="13"/>
      <c r="O23" s="6" t="str">
        <f t="shared" si="3"/>
        <v/>
      </c>
      <c r="P23" s="5"/>
      <c r="Q23" s="12" t="str">
        <f t="shared" si="4"/>
        <v/>
      </c>
      <c r="R23" s="13">
        <v>23317</v>
      </c>
      <c r="S23" s="6">
        <f t="shared" si="5"/>
        <v>507</v>
      </c>
      <c r="T23" s="5"/>
      <c r="U23" s="12" t="str">
        <f t="shared" si="6"/>
        <v/>
      </c>
      <c r="V23" s="13">
        <v>35080</v>
      </c>
      <c r="W23" s="6">
        <f t="shared" si="7"/>
        <v>1331</v>
      </c>
      <c r="X23" s="5">
        <v>6499</v>
      </c>
      <c r="Y23" s="12">
        <f t="shared" si="8"/>
        <v>479</v>
      </c>
      <c r="Z23" s="5"/>
      <c r="AA23" s="16"/>
      <c r="AB23" s="5"/>
      <c r="AC23" s="16"/>
      <c r="AD23" s="5"/>
      <c r="AE23" s="16"/>
      <c r="AF23" s="5"/>
      <c r="AG23" s="16"/>
      <c r="AH23" s="5"/>
      <c r="AI23" s="16"/>
      <c r="AJ23" s="18">
        <f t="shared" si="9"/>
        <v>2724</v>
      </c>
      <c r="AK23" s="19">
        <f t="shared" si="10"/>
        <v>531</v>
      </c>
    </row>
    <row r="24" spans="2:37" ht="15.9" hidden="1" customHeight="1" x14ac:dyDescent="0.3">
      <c r="B24" s="9" t="s">
        <v>70</v>
      </c>
      <c r="C24" s="10">
        <v>45857</v>
      </c>
      <c r="D24" s="5">
        <v>70368</v>
      </c>
      <c r="E24" s="16">
        <f t="shared" si="0"/>
        <v>2422</v>
      </c>
      <c r="F24" s="5"/>
      <c r="G24" s="16"/>
      <c r="H24" s="5"/>
      <c r="I24" s="16"/>
      <c r="J24" s="13">
        <v>11135</v>
      </c>
      <c r="K24" s="6">
        <f t="shared" si="1"/>
        <v>472</v>
      </c>
      <c r="L24" s="5"/>
      <c r="M24" s="12" t="str">
        <f t="shared" si="2"/>
        <v/>
      </c>
      <c r="N24" s="13"/>
      <c r="O24" s="6" t="str">
        <f t="shared" si="3"/>
        <v/>
      </c>
      <c r="P24" s="5"/>
      <c r="Q24" s="12" t="str">
        <f t="shared" si="4"/>
        <v/>
      </c>
      <c r="R24" s="13">
        <v>23824</v>
      </c>
      <c r="S24" s="6">
        <f t="shared" si="5"/>
        <v>702</v>
      </c>
      <c r="T24" s="5"/>
      <c r="U24" s="12" t="str">
        <f t="shared" si="6"/>
        <v/>
      </c>
      <c r="V24" s="13">
        <v>36411</v>
      </c>
      <c r="W24" s="6">
        <f t="shared" si="7"/>
        <v>1579</v>
      </c>
      <c r="X24" s="5">
        <v>6978</v>
      </c>
      <c r="Y24" s="12">
        <f t="shared" si="8"/>
        <v>790</v>
      </c>
      <c r="Z24" s="5"/>
      <c r="AA24" s="16"/>
      <c r="AB24" s="5"/>
      <c r="AC24" s="16"/>
      <c r="AD24" s="5"/>
      <c r="AE24" s="16"/>
      <c r="AF24" s="5"/>
      <c r="AG24" s="16"/>
      <c r="AH24" s="5"/>
      <c r="AI24" s="16"/>
      <c r="AJ24" s="18">
        <f t="shared" si="9"/>
        <v>3543</v>
      </c>
      <c r="AK24" s="19">
        <f t="shared" si="10"/>
        <v>-1121</v>
      </c>
    </row>
    <row r="25" spans="2:37" ht="15.9" hidden="1" customHeight="1" x14ac:dyDescent="0.3">
      <c r="B25" s="9" t="s">
        <v>71</v>
      </c>
      <c r="C25" s="10">
        <v>45858</v>
      </c>
      <c r="D25" s="5">
        <v>72790</v>
      </c>
      <c r="E25" s="16">
        <f t="shared" si="0"/>
        <v>0</v>
      </c>
      <c r="F25" s="5"/>
      <c r="G25" s="16"/>
      <c r="H25" s="5"/>
      <c r="I25" s="16"/>
      <c r="J25" s="13">
        <v>11607</v>
      </c>
      <c r="K25" s="6">
        <f t="shared" si="1"/>
        <v>0</v>
      </c>
      <c r="L25" s="5"/>
      <c r="M25" s="12" t="str">
        <f t="shared" si="2"/>
        <v/>
      </c>
      <c r="N25" s="13"/>
      <c r="O25" s="6" t="str">
        <f t="shared" si="3"/>
        <v/>
      </c>
      <c r="P25" s="5"/>
      <c r="Q25" s="12" t="str">
        <f t="shared" si="4"/>
        <v/>
      </c>
      <c r="R25" s="13">
        <v>24526</v>
      </c>
      <c r="S25" s="6">
        <f t="shared" si="5"/>
        <v>0</v>
      </c>
      <c r="T25" s="5"/>
      <c r="U25" s="12" t="str">
        <f t="shared" si="6"/>
        <v/>
      </c>
      <c r="V25" s="13">
        <v>37990</v>
      </c>
      <c r="W25" s="6">
        <f t="shared" si="7"/>
        <v>0</v>
      </c>
      <c r="X25" s="5">
        <v>7768</v>
      </c>
      <c r="Y25" s="12">
        <f t="shared" si="8"/>
        <v>0</v>
      </c>
      <c r="Z25" s="5"/>
      <c r="AA25" s="16"/>
      <c r="AB25" s="5"/>
      <c r="AC25" s="16"/>
      <c r="AD25" s="5"/>
      <c r="AE25" s="16"/>
      <c r="AF25" s="5"/>
      <c r="AG25" s="16"/>
      <c r="AH25" s="5"/>
      <c r="AI25" s="16"/>
      <c r="AJ25" s="18">
        <f t="shared" si="9"/>
        <v>0</v>
      </c>
      <c r="AK25" s="19">
        <f t="shared" si="10"/>
        <v>0</v>
      </c>
    </row>
    <row r="26" spans="2:37" ht="15.9" hidden="1" customHeight="1" x14ac:dyDescent="0.3">
      <c r="B26" s="9" t="s">
        <v>72</v>
      </c>
      <c r="C26" s="10">
        <v>45859</v>
      </c>
      <c r="D26" s="5">
        <v>72790</v>
      </c>
      <c r="E26" s="16">
        <f t="shared" si="0"/>
        <v>3788</v>
      </c>
      <c r="F26" s="5"/>
      <c r="G26" s="16"/>
      <c r="H26" s="5"/>
      <c r="I26" s="16"/>
      <c r="J26" s="13">
        <v>11607</v>
      </c>
      <c r="K26" s="6">
        <f t="shared" si="1"/>
        <v>480</v>
      </c>
      <c r="L26" s="5"/>
      <c r="M26" s="12" t="str">
        <f t="shared" si="2"/>
        <v/>
      </c>
      <c r="N26" s="13"/>
      <c r="O26" s="6" t="str">
        <f t="shared" si="3"/>
        <v/>
      </c>
      <c r="P26" s="5"/>
      <c r="Q26" s="12" t="str">
        <f t="shared" si="4"/>
        <v/>
      </c>
      <c r="R26" s="13">
        <v>24526</v>
      </c>
      <c r="S26" s="6">
        <f t="shared" si="5"/>
        <v>799</v>
      </c>
      <c r="T26" s="5"/>
      <c r="U26" s="12" t="str">
        <f t="shared" si="6"/>
        <v/>
      </c>
      <c r="V26" s="13">
        <v>37990</v>
      </c>
      <c r="W26" s="6">
        <f t="shared" si="7"/>
        <v>1464</v>
      </c>
      <c r="X26" s="5">
        <v>7768</v>
      </c>
      <c r="Y26" s="12">
        <f t="shared" si="8"/>
        <v>694</v>
      </c>
      <c r="Z26" s="5"/>
      <c r="AA26" s="16"/>
      <c r="AB26" s="5"/>
      <c r="AC26" s="16"/>
      <c r="AD26" s="5"/>
      <c r="AE26" s="16"/>
      <c r="AF26" s="5"/>
      <c r="AG26" s="16"/>
      <c r="AH26" s="5"/>
      <c r="AI26" s="16"/>
      <c r="AJ26" s="18">
        <f t="shared" si="9"/>
        <v>3437</v>
      </c>
      <c r="AK26" s="19">
        <f t="shared" si="10"/>
        <v>351</v>
      </c>
    </row>
    <row r="27" spans="2:37" ht="15.9" hidden="1" customHeight="1" x14ac:dyDescent="0.3">
      <c r="B27" s="9" t="s">
        <v>66</v>
      </c>
      <c r="C27" s="10">
        <v>45860</v>
      </c>
      <c r="D27" s="5">
        <v>76578</v>
      </c>
      <c r="E27" s="16">
        <f t="shared" si="0"/>
        <v>3394</v>
      </c>
      <c r="F27" s="5"/>
      <c r="G27" s="16"/>
      <c r="H27" s="5"/>
      <c r="I27" s="16"/>
      <c r="J27" s="13">
        <v>12087</v>
      </c>
      <c r="K27" s="6">
        <f t="shared" si="1"/>
        <v>418</v>
      </c>
      <c r="L27" s="5"/>
      <c r="M27" s="12" t="str">
        <f t="shared" si="2"/>
        <v/>
      </c>
      <c r="N27" s="13"/>
      <c r="O27" s="6" t="str">
        <f t="shared" si="3"/>
        <v/>
      </c>
      <c r="P27" s="5"/>
      <c r="Q27" s="12" t="str">
        <f t="shared" si="4"/>
        <v/>
      </c>
      <c r="R27" s="13">
        <v>25325</v>
      </c>
      <c r="S27" s="6">
        <f t="shared" si="5"/>
        <v>771</v>
      </c>
      <c r="T27" s="5"/>
      <c r="U27" s="12" t="str">
        <f t="shared" si="6"/>
        <v/>
      </c>
      <c r="V27" s="13">
        <v>39454</v>
      </c>
      <c r="W27" s="6">
        <f t="shared" si="7"/>
        <v>1438</v>
      </c>
      <c r="X27" s="5">
        <v>8462</v>
      </c>
      <c r="Y27" s="12">
        <f t="shared" si="8"/>
        <v>649</v>
      </c>
      <c r="Z27" s="5"/>
      <c r="AA27" s="16"/>
      <c r="AB27" s="5"/>
      <c r="AC27" s="16"/>
      <c r="AD27" s="5"/>
      <c r="AE27" s="16"/>
      <c r="AF27" s="5"/>
      <c r="AG27" s="16"/>
      <c r="AH27" s="5"/>
      <c r="AI27" s="16"/>
      <c r="AJ27" s="18">
        <f t="shared" si="9"/>
        <v>3276</v>
      </c>
      <c r="AK27" s="19">
        <f t="shared" si="10"/>
        <v>118</v>
      </c>
    </row>
    <row r="28" spans="2:37" ht="15.9" hidden="1" customHeight="1" x14ac:dyDescent="0.3">
      <c r="B28" s="9" t="s">
        <v>67</v>
      </c>
      <c r="C28" s="10">
        <v>45861</v>
      </c>
      <c r="D28" s="5">
        <v>79972</v>
      </c>
      <c r="E28" s="16">
        <f t="shared" si="0"/>
        <v>2656</v>
      </c>
      <c r="F28" s="5"/>
      <c r="G28" s="16"/>
      <c r="H28" s="5"/>
      <c r="I28" s="16"/>
      <c r="J28" s="13">
        <v>12505</v>
      </c>
      <c r="K28" s="6">
        <f t="shared" si="1"/>
        <v>470</v>
      </c>
      <c r="L28" s="5"/>
      <c r="M28" s="12" t="str">
        <f t="shared" si="2"/>
        <v/>
      </c>
      <c r="N28" s="13"/>
      <c r="O28" s="6" t="str">
        <f t="shared" si="3"/>
        <v/>
      </c>
      <c r="P28" s="5"/>
      <c r="Q28" s="12" t="str">
        <f t="shared" si="4"/>
        <v/>
      </c>
      <c r="R28" s="13">
        <v>26096</v>
      </c>
      <c r="S28" s="6">
        <f t="shared" si="5"/>
        <v>603</v>
      </c>
      <c r="T28" s="5"/>
      <c r="U28" s="12" t="str">
        <f t="shared" si="6"/>
        <v/>
      </c>
      <c r="V28" s="13">
        <v>40892</v>
      </c>
      <c r="W28" s="6">
        <f t="shared" si="7"/>
        <v>1141</v>
      </c>
      <c r="X28" s="5">
        <v>9111</v>
      </c>
      <c r="Y28" s="12">
        <f t="shared" si="8"/>
        <v>601</v>
      </c>
      <c r="Z28" s="5"/>
      <c r="AA28" s="16"/>
      <c r="AB28" s="5"/>
      <c r="AC28" s="16"/>
      <c r="AD28" s="5"/>
      <c r="AE28" s="16"/>
      <c r="AF28" s="5"/>
      <c r="AG28" s="16"/>
      <c r="AH28" s="5"/>
      <c r="AI28" s="16"/>
      <c r="AJ28" s="18">
        <f t="shared" si="9"/>
        <v>2815</v>
      </c>
      <c r="AK28" s="19">
        <f t="shared" si="10"/>
        <v>-159</v>
      </c>
    </row>
    <row r="29" spans="2:37" ht="15.9" hidden="1" customHeight="1" x14ac:dyDescent="0.3">
      <c r="B29" s="9" t="s">
        <v>68</v>
      </c>
      <c r="C29" s="10">
        <v>45862</v>
      </c>
      <c r="D29" s="5">
        <v>82628</v>
      </c>
      <c r="E29" s="16">
        <f t="shared" si="0"/>
        <v>3076</v>
      </c>
      <c r="F29" s="5"/>
      <c r="G29" s="16"/>
      <c r="H29" s="5"/>
      <c r="I29" s="16"/>
      <c r="J29" s="13">
        <v>12975</v>
      </c>
      <c r="K29" s="6">
        <f t="shared" si="1"/>
        <v>479</v>
      </c>
      <c r="L29" s="5"/>
      <c r="M29" s="12" t="str">
        <f t="shared" si="2"/>
        <v/>
      </c>
      <c r="N29" s="13"/>
      <c r="O29" s="6" t="str">
        <f t="shared" si="3"/>
        <v/>
      </c>
      <c r="P29" s="5"/>
      <c r="Q29" s="12" t="str">
        <f t="shared" si="4"/>
        <v/>
      </c>
      <c r="R29" s="13">
        <v>26699</v>
      </c>
      <c r="S29" s="6">
        <f t="shared" si="5"/>
        <v>740</v>
      </c>
      <c r="T29" s="5"/>
      <c r="U29" s="12" t="str">
        <f t="shared" si="6"/>
        <v/>
      </c>
      <c r="V29" s="13">
        <v>42033</v>
      </c>
      <c r="W29" s="6">
        <f t="shared" si="7"/>
        <v>1335</v>
      </c>
      <c r="X29" s="5">
        <v>9712</v>
      </c>
      <c r="Y29" s="12">
        <f t="shared" si="8"/>
        <v>647</v>
      </c>
      <c r="Z29" s="5"/>
      <c r="AA29" s="16"/>
      <c r="AB29" s="5"/>
      <c r="AC29" s="16"/>
      <c r="AD29" s="5"/>
      <c r="AE29" s="16"/>
      <c r="AF29" s="5"/>
      <c r="AG29" s="16"/>
      <c r="AH29" s="5"/>
      <c r="AI29" s="16"/>
      <c r="AJ29" s="18">
        <f t="shared" si="9"/>
        <v>3201</v>
      </c>
      <c r="AK29" s="19">
        <f t="shared" si="10"/>
        <v>-125</v>
      </c>
    </row>
    <row r="30" spans="2:37" ht="15.9" hidden="1" customHeight="1" x14ac:dyDescent="0.3">
      <c r="B30" s="9" t="s">
        <v>69</v>
      </c>
      <c r="C30" s="10">
        <v>45863</v>
      </c>
      <c r="D30" s="5">
        <v>85704</v>
      </c>
      <c r="E30" s="16">
        <f t="shared" si="0"/>
        <v>3413</v>
      </c>
      <c r="F30" s="5"/>
      <c r="G30" s="16"/>
      <c r="H30" s="5"/>
      <c r="I30" s="16"/>
      <c r="J30" s="13">
        <v>13454</v>
      </c>
      <c r="K30" s="6">
        <f t="shared" si="1"/>
        <v>645</v>
      </c>
      <c r="L30" s="5"/>
      <c r="M30" s="12" t="str">
        <f t="shared" si="2"/>
        <v/>
      </c>
      <c r="N30" s="13"/>
      <c r="O30" s="6" t="str">
        <f t="shared" si="3"/>
        <v/>
      </c>
      <c r="P30" s="5"/>
      <c r="Q30" s="12" t="str">
        <f t="shared" si="4"/>
        <v/>
      </c>
      <c r="R30" s="13">
        <v>27439</v>
      </c>
      <c r="S30" s="6">
        <f t="shared" si="5"/>
        <v>859</v>
      </c>
      <c r="T30" s="5"/>
      <c r="U30" s="12" t="str">
        <f t="shared" si="6"/>
        <v/>
      </c>
      <c r="V30" s="13">
        <v>43368</v>
      </c>
      <c r="W30" s="6">
        <f t="shared" si="7"/>
        <v>1012</v>
      </c>
      <c r="X30" s="5">
        <v>10359</v>
      </c>
      <c r="Y30" s="12">
        <f t="shared" si="8"/>
        <v>647</v>
      </c>
      <c r="Z30" s="5"/>
      <c r="AA30" s="16"/>
      <c r="AB30" s="5"/>
      <c r="AC30" s="16"/>
      <c r="AD30" s="5"/>
      <c r="AE30" s="16"/>
      <c r="AF30" s="5"/>
      <c r="AG30" s="16"/>
      <c r="AH30" s="5"/>
      <c r="AI30" s="16"/>
      <c r="AJ30" s="18">
        <f t="shared" si="9"/>
        <v>3163</v>
      </c>
      <c r="AK30" s="19">
        <f t="shared" si="10"/>
        <v>250</v>
      </c>
    </row>
    <row r="31" spans="2:37" ht="15.9" hidden="1" customHeight="1" x14ac:dyDescent="0.3">
      <c r="B31" s="9" t="s">
        <v>70</v>
      </c>
      <c r="C31" s="10">
        <v>45864</v>
      </c>
      <c r="D31" s="5">
        <v>89117</v>
      </c>
      <c r="E31" s="16">
        <f t="shared" ref="E31:E40" si="11">IF(D32&lt;&gt;"",D32-D31,"")</f>
        <v>4108</v>
      </c>
      <c r="F31" s="5"/>
      <c r="G31" s="16"/>
      <c r="H31" s="5"/>
      <c r="I31" s="16"/>
      <c r="J31" s="13">
        <v>14099</v>
      </c>
      <c r="K31" s="6">
        <f t="shared" si="1"/>
        <v>497</v>
      </c>
      <c r="L31" s="5"/>
      <c r="M31" s="12" t="str">
        <f t="shared" si="2"/>
        <v/>
      </c>
      <c r="N31" s="13"/>
      <c r="O31" s="6" t="str">
        <f t="shared" si="3"/>
        <v/>
      </c>
      <c r="P31" s="5"/>
      <c r="Q31" s="12" t="str">
        <f t="shared" si="4"/>
        <v/>
      </c>
      <c r="R31" s="13">
        <v>28298</v>
      </c>
      <c r="S31" s="6">
        <f t="shared" si="5"/>
        <v>712</v>
      </c>
      <c r="T31" s="5"/>
      <c r="U31" s="12" t="str">
        <f t="shared" si="6"/>
        <v/>
      </c>
      <c r="V31" s="13">
        <v>44380</v>
      </c>
      <c r="W31" s="6">
        <f t="shared" si="7"/>
        <v>1107</v>
      </c>
      <c r="X31" s="5">
        <v>11006</v>
      </c>
      <c r="Y31" s="12">
        <f t="shared" si="8"/>
        <v>981</v>
      </c>
      <c r="Z31" s="5"/>
      <c r="AA31" s="16"/>
      <c r="AB31" s="5"/>
      <c r="AC31" s="16"/>
      <c r="AD31" s="5"/>
      <c r="AE31" s="16"/>
      <c r="AF31" s="5"/>
      <c r="AG31" s="16"/>
      <c r="AH31" s="5"/>
      <c r="AI31" s="16"/>
      <c r="AJ31" s="18">
        <f t="shared" si="9"/>
        <v>3297</v>
      </c>
      <c r="AK31" s="19">
        <f t="shared" si="10"/>
        <v>811</v>
      </c>
    </row>
    <row r="32" spans="2:37" ht="15.9" hidden="1" customHeight="1" x14ac:dyDescent="0.3">
      <c r="B32" s="9" t="s">
        <v>71</v>
      </c>
      <c r="C32" s="10">
        <v>45865</v>
      </c>
      <c r="D32" s="5">
        <v>93225</v>
      </c>
      <c r="E32" s="16">
        <f t="shared" si="11"/>
        <v>0</v>
      </c>
      <c r="F32" s="5"/>
      <c r="G32" s="16"/>
      <c r="H32" s="5"/>
      <c r="I32" s="16"/>
      <c r="J32" s="13">
        <v>14596</v>
      </c>
      <c r="K32" s="6">
        <f t="shared" si="1"/>
        <v>0</v>
      </c>
      <c r="L32" s="5"/>
      <c r="M32" s="12" t="str">
        <f t="shared" si="2"/>
        <v/>
      </c>
      <c r="N32" s="13"/>
      <c r="O32" s="6" t="str">
        <f t="shared" si="3"/>
        <v/>
      </c>
      <c r="P32" s="5"/>
      <c r="Q32" s="12" t="str">
        <f t="shared" si="4"/>
        <v/>
      </c>
      <c r="R32" s="13">
        <v>29010</v>
      </c>
      <c r="S32" s="6">
        <f t="shared" si="5"/>
        <v>0</v>
      </c>
      <c r="T32" s="5"/>
      <c r="U32" s="12" t="str">
        <f t="shared" si="6"/>
        <v/>
      </c>
      <c r="V32" s="13">
        <v>45487</v>
      </c>
      <c r="W32" s="6">
        <f t="shared" si="7"/>
        <v>0</v>
      </c>
      <c r="X32" s="5">
        <v>11987</v>
      </c>
      <c r="Y32" s="12">
        <f t="shared" si="8"/>
        <v>0</v>
      </c>
      <c r="Z32" s="5"/>
      <c r="AA32" s="16"/>
      <c r="AB32" s="5"/>
      <c r="AC32" s="16"/>
      <c r="AD32" s="5"/>
      <c r="AE32" s="16"/>
      <c r="AF32" s="5"/>
      <c r="AG32" s="16"/>
      <c r="AH32" s="5"/>
      <c r="AI32" s="16"/>
      <c r="AJ32" s="18">
        <f t="shared" si="9"/>
        <v>0</v>
      </c>
      <c r="AK32" s="19">
        <f t="shared" si="10"/>
        <v>0</v>
      </c>
    </row>
    <row r="33" spans="2:37" ht="15.9" hidden="1" customHeight="1" x14ac:dyDescent="0.3">
      <c r="B33" s="9" t="s">
        <v>72</v>
      </c>
      <c r="C33" s="10">
        <v>45866</v>
      </c>
      <c r="D33" s="5">
        <v>93225</v>
      </c>
      <c r="E33" s="16">
        <f t="shared" si="11"/>
        <v>3388</v>
      </c>
      <c r="F33" s="5"/>
      <c r="G33" s="16"/>
      <c r="H33" s="5"/>
      <c r="I33" s="16"/>
      <c r="J33" s="13">
        <v>14596</v>
      </c>
      <c r="K33" s="6">
        <f t="shared" si="1"/>
        <v>773</v>
      </c>
      <c r="L33" s="5"/>
      <c r="M33" s="12" t="str">
        <f t="shared" si="2"/>
        <v/>
      </c>
      <c r="N33" s="13"/>
      <c r="O33" s="6" t="str">
        <f t="shared" si="3"/>
        <v/>
      </c>
      <c r="P33" s="5"/>
      <c r="Q33" s="12" t="str">
        <f t="shared" si="4"/>
        <v/>
      </c>
      <c r="R33" s="13">
        <v>29010</v>
      </c>
      <c r="S33" s="6">
        <f t="shared" si="5"/>
        <v>682</v>
      </c>
      <c r="T33" s="5"/>
      <c r="U33" s="12" t="str">
        <f t="shared" si="6"/>
        <v/>
      </c>
      <c r="V33" s="13">
        <v>45487</v>
      </c>
      <c r="W33" s="6">
        <f t="shared" si="7"/>
        <v>594</v>
      </c>
      <c r="X33" s="5">
        <v>11987</v>
      </c>
      <c r="Y33" s="12">
        <f t="shared" si="8"/>
        <v>389</v>
      </c>
      <c r="Z33" s="5"/>
      <c r="AA33" s="16"/>
      <c r="AB33" s="5"/>
      <c r="AC33" s="16"/>
      <c r="AD33" s="5"/>
      <c r="AE33" s="16"/>
      <c r="AF33" s="5"/>
      <c r="AG33" s="16"/>
      <c r="AH33" s="5"/>
      <c r="AI33" s="16"/>
      <c r="AJ33" s="18">
        <f t="shared" si="9"/>
        <v>2438</v>
      </c>
      <c r="AK33" s="19">
        <f t="shared" si="10"/>
        <v>950</v>
      </c>
    </row>
    <row r="34" spans="2:37" ht="15.9" hidden="1" customHeight="1" x14ac:dyDescent="0.3">
      <c r="B34" s="9" t="s">
        <v>66</v>
      </c>
      <c r="C34" s="10">
        <v>45867</v>
      </c>
      <c r="D34" s="5">
        <v>96613</v>
      </c>
      <c r="E34" s="16">
        <f t="shared" si="11"/>
        <v>2973</v>
      </c>
      <c r="F34" s="5"/>
      <c r="G34" s="16"/>
      <c r="H34" s="5"/>
      <c r="I34" s="16"/>
      <c r="J34" s="13">
        <v>15369</v>
      </c>
      <c r="K34" s="6">
        <f t="shared" si="1"/>
        <v>587</v>
      </c>
      <c r="L34" s="5"/>
      <c r="M34" s="12" t="str">
        <f t="shared" si="2"/>
        <v/>
      </c>
      <c r="N34" s="13"/>
      <c r="O34" s="6" t="str">
        <f t="shared" si="3"/>
        <v/>
      </c>
      <c r="P34" s="5"/>
      <c r="Q34" s="12" t="str">
        <f t="shared" si="4"/>
        <v/>
      </c>
      <c r="R34" s="13">
        <v>29692</v>
      </c>
      <c r="S34" s="6">
        <f t="shared" si="5"/>
        <v>725</v>
      </c>
      <c r="T34" s="5"/>
      <c r="U34" s="12" t="str">
        <f t="shared" si="6"/>
        <v/>
      </c>
      <c r="V34" s="13">
        <v>46081</v>
      </c>
      <c r="W34" s="6">
        <f t="shared" si="7"/>
        <v>600</v>
      </c>
      <c r="X34" s="5">
        <v>12376</v>
      </c>
      <c r="Y34" s="12">
        <f t="shared" si="8"/>
        <v>715</v>
      </c>
      <c r="Z34" s="5"/>
      <c r="AA34" s="16"/>
      <c r="AB34" s="5"/>
      <c r="AC34" s="16"/>
      <c r="AD34" s="5"/>
      <c r="AE34" s="16"/>
      <c r="AF34" s="5"/>
      <c r="AG34" s="16"/>
      <c r="AH34" s="5"/>
      <c r="AI34" s="16"/>
      <c r="AJ34" s="18">
        <f t="shared" si="9"/>
        <v>2627</v>
      </c>
      <c r="AK34" s="19">
        <f t="shared" si="10"/>
        <v>346</v>
      </c>
    </row>
    <row r="35" spans="2:37" ht="15.9" hidden="1" customHeight="1" x14ac:dyDescent="0.3">
      <c r="B35" s="9" t="s">
        <v>67</v>
      </c>
      <c r="C35" s="10">
        <v>45868</v>
      </c>
      <c r="D35" s="5">
        <v>99586</v>
      </c>
      <c r="E35" s="16">
        <f t="shared" si="11"/>
        <v>3417</v>
      </c>
      <c r="F35" s="5"/>
      <c r="G35" s="16"/>
      <c r="H35" s="5"/>
      <c r="I35" s="16"/>
      <c r="J35" s="13">
        <v>15956</v>
      </c>
      <c r="K35" s="6">
        <f t="shared" si="1"/>
        <v>608</v>
      </c>
      <c r="L35" s="5"/>
      <c r="M35" s="12" t="str">
        <f t="shared" si="2"/>
        <v/>
      </c>
      <c r="N35" s="13"/>
      <c r="O35" s="6" t="str">
        <f t="shared" si="3"/>
        <v/>
      </c>
      <c r="P35" s="5"/>
      <c r="Q35" s="12" t="str">
        <f t="shared" si="4"/>
        <v/>
      </c>
      <c r="R35" s="13">
        <v>30417</v>
      </c>
      <c r="S35" s="6">
        <f t="shared" si="5"/>
        <v>832</v>
      </c>
      <c r="T35" s="5"/>
      <c r="U35" s="12" t="str">
        <f t="shared" si="6"/>
        <v/>
      </c>
      <c r="V35" s="13">
        <v>46681</v>
      </c>
      <c r="W35" s="6">
        <f t="shared" si="7"/>
        <v>862</v>
      </c>
      <c r="X35" s="5">
        <v>13091</v>
      </c>
      <c r="Y35" s="12">
        <f t="shared" si="8"/>
        <v>629</v>
      </c>
      <c r="Z35" s="5"/>
      <c r="AA35" s="16"/>
      <c r="AB35" s="5"/>
      <c r="AC35" s="16"/>
      <c r="AD35" s="5"/>
      <c r="AE35" s="16"/>
      <c r="AF35" s="5"/>
      <c r="AG35" s="16"/>
      <c r="AH35" s="5"/>
      <c r="AI35" s="16"/>
      <c r="AJ35" s="18">
        <f t="shared" si="9"/>
        <v>2931</v>
      </c>
      <c r="AK35" s="19">
        <f t="shared" si="10"/>
        <v>486</v>
      </c>
    </row>
    <row r="36" spans="2:37" ht="15.75" hidden="1" customHeight="1" x14ac:dyDescent="0.3">
      <c r="B36" s="9" t="s">
        <v>68</v>
      </c>
      <c r="C36" s="10">
        <v>45869</v>
      </c>
      <c r="D36" s="5">
        <v>103003</v>
      </c>
      <c r="E36" s="16">
        <f>IF(D38&lt;&gt;"",D38-D36,"")</f>
        <v>5178</v>
      </c>
      <c r="F36" s="5"/>
      <c r="G36" s="16"/>
      <c r="H36" s="5"/>
      <c r="I36" s="16"/>
      <c r="J36" s="13">
        <v>16564</v>
      </c>
      <c r="K36" s="6">
        <f>IF(J38&lt;&gt;"",J38-J36,"")</f>
        <v>659</v>
      </c>
      <c r="L36" s="5"/>
      <c r="M36" s="12" t="str">
        <f>IF(L38&lt;&gt;"",L38-L36,"")</f>
        <v/>
      </c>
      <c r="N36" s="13"/>
      <c r="O36" s="6" t="str">
        <f>IF(N38&lt;&gt;"",N38-N36,"")</f>
        <v/>
      </c>
      <c r="P36" s="5"/>
      <c r="Q36" s="12" t="str">
        <f>IF(P38&lt;&gt;"",P38-P36,"")</f>
        <v/>
      </c>
      <c r="R36" s="13">
        <v>31249</v>
      </c>
      <c r="S36" s="6">
        <f>IF(R38&lt;&gt;"",R38-R36,"")</f>
        <v>793</v>
      </c>
      <c r="T36" s="5"/>
      <c r="U36" s="12" t="str">
        <f>IF(T38&lt;&gt;"",T38-T36,"")</f>
        <v/>
      </c>
      <c r="V36" s="13">
        <v>47543</v>
      </c>
      <c r="W36" s="6">
        <f>IF(V38&lt;&gt;"",V38-V36,"")</f>
        <v>949</v>
      </c>
      <c r="X36" s="5">
        <v>13720</v>
      </c>
      <c r="Y36" s="12">
        <f>IF(X38&lt;&gt;"",X38-X36,"")</f>
        <v>603</v>
      </c>
      <c r="Z36" s="5"/>
      <c r="AA36" s="16"/>
      <c r="AB36" s="5"/>
      <c r="AC36" s="16"/>
      <c r="AD36" s="5"/>
      <c r="AE36" s="16"/>
      <c r="AF36" s="5"/>
      <c r="AG36" s="16"/>
      <c r="AH36" s="5"/>
      <c r="AI36" s="16"/>
      <c r="AJ36" s="18">
        <f t="shared" si="9"/>
        <v>3004</v>
      </c>
      <c r="AK36" s="19">
        <f t="shared" si="10"/>
        <v>2174</v>
      </c>
    </row>
    <row r="37" spans="2:37" ht="45" hidden="1" customHeight="1" x14ac:dyDescent="0.3">
      <c r="B37" s="152" t="s">
        <v>73</v>
      </c>
      <c r="C37" s="153"/>
      <c r="D37" s="8"/>
      <c r="E37" s="11">
        <f>SUM(E4:E35)</f>
        <v>73651</v>
      </c>
      <c r="F37" s="5"/>
      <c r="G37" s="16"/>
      <c r="H37" s="5"/>
      <c r="I37" s="16"/>
      <c r="J37" s="8"/>
      <c r="K37" s="11">
        <f>SUM(K4:K35)</f>
        <v>11243</v>
      </c>
      <c r="L37" s="8"/>
      <c r="M37" s="11">
        <f>SUM(M4:M35)</f>
        <v>0</v>
      </c>
      <c r="N37" s="8"/>
      <c r="O37" s="11">
        <f>SUM(O4:O35)</f>
        <v>0</v>
      </c>
      <c r="P37" s="8"/>
      <c r="Q37" s="11">
        <f>SUM(Q4:Q35)</f>
        <v>0</v>
      </c>
      <c r="R37" s="8"/>
      <c r="S37" s="11">
        <f>SUM(S4:S35)</f>
        <v>16836</v>
      </c>
      <c r="T37" s="8"/>
      <c r="U37" s="11">
        <f>SUM(U4:U35)</f>
        <v>0</v>
      </c>
      <c r="V37" s="8"/>
      <c r="W37" s="11">
        <f>SUM(W4:W35)</f>
        <v>30532</v>
      </c>
      <c r="X37" s="8"/>
      <c r="Y37" s="11">
        <f>SUM(Y4:Y35)</f>
        <v>13095</v>
      </c>
      <c r="Z37" s="5"/>
      <c r="AA37" s="16"/>
      <c r="AB37" s="5"/>
      <c r="AC37" s="16"/>
      <c r="AD37" s="5"/>
      <c r="AE37" s="16"/>
      <c r="AF37" s="5"/>
      <c r="AG37" s="16"/>
      <c r="AH37" s="5"/>
      <c r="AI37" s="16"/>
      <c r="AJ37" s="32">
        <f>SUM(U37,W37,Y37,AA37,AC37,AE37,AG37,AI37)</f>
        <v>43627</v>
      </c>
      <c r="AK37" s="32">
        <f>AJ37-S37</f>
        <v>26791</v>
      </c>
    </row>
    <row r="38" spans="2:37" ht="15.9" hidden="1" customHeight="1" x14ac:dyDescent="0.3">
      <c r="B38" s="9" t="s">
        <v>69</v>
      </c>
      <c r="C38" s="34">
        <v>45870</v>
      </c>
      <c r="D38" s="5">
        <v>108181</v>
      </c>
      <c r="E38" s="16">
        <f t="shared" si="11"/>
        <v>3075</v>
      </c>
      <c r="F38" s="5">
        <v>4880</v>
      </c>
      <c r="G38" s="16">
        <f t="shared" ref="G38:G68" si="12">IF(F39&lt;&gt;"",F39-F38,"")</f>
        <v>810</v>
      </c>
      <c r="H38" s="5">
        <v>79</v>
      </c>
      <c r="I38" s="16">
        <f t="shared" ref="I38:I68" si="13">IF(H39&lt;&gt;"",H39-H38,"")</f>
        <v>0</v>
      </c>
      <c r="J38" s="13">
        <v>17223</v>
      </c>
      <c r="K38" s="6">
        <f t="shared" ref="K38:K46" si="14">IF(J39&lt;&gt;"",J39-J38,"")</f>
        <v>594</v>
      </c>
      <c r="L38" s="5"/>
      <c r="M38" s="12"/>
      <c r="N38" s="13"/>
      <c r="O38" s="6">
        <f t="shared" si="3"/>
        <v>16291</v>
      </c>
      <c r="P38" s="5"/>
      <c r="Q38" s="12">
        <f t="shared" si="4"/>
        <v>4147</v>
      </c>
      <c r="R38" s="13">
        <v>32042</v>
      </c>
      <c r="S38" s="6">
        <f t="shared" si="5"/>
        <v>945</v>
      </c>
      <c r="T38" s="5"/>
      <c r="U38" s="12">
        <f t="shared" si="6"/>
        <v>5741</v>
      </c>
      <c r="V38" s="13">
        <v>48492</v>
      </c>
      <c r="W38" s="6">
        <f t="shared" ref="W38:W68" si="15">IF(V39&lt;&gt;"",V39-V38,"")</f>
        <v>131</v>
      </c>
      <c r="X38" s="5">
        <v>14323</v>
      </c>
      <c r="Y38" s="12">
        <f t="shared" ref="Y38:Y68" si="16">IF(X39&lt;&gt;"",X39-X38,"")</f>
        <v>6087</v>
      </c>
      <c r="Z38" s="5">
        <v>78</v>
      </c>
      <c r="AA38" s="16">
        <f t="shared" ref="AA38:AA68" si="17">IF(Z39&lt;&gt;"",Z39-Z38,"")</f>
        <v>0</v>
      </c>
      <c r="AB38" s="5">
        <v>6850</v>
      </c>
      <c r="AC38" s="16">
        <f t="shared" ref="AC38:AC68" si="18">IF(AB39&lt;&gt;"",AB39-AB38,"")</f>
        <v>136</v>
      </c>
      <c r="AD38" s="5">
        <v>6754</v>
      </c>
      <c r="AE38" s="16">
        <f t="shared" ref="AE38:AE68" si="19">IF(AD39&lt;&gt;"",AD39-AD38,"")</f>
        <v>0</v>
      </c>
      <c r="AF38" s="5">
        <v>11429</v>
      </c>
      <c r="AG38" s="16">
        <f t="shared" ref="AG38:AG68" si="20">IF(AF39&lt;&gt;"",AF39-AF38,"")</f>
        <v>0</v>
      </c>
      <c r="AH38" s="5">
        <v>0</v>
      </c>
      <c r="AI38" s="16">
        <f t="shared" ref="AI38:AI68" si="21">IF(AH39&lt;&gt;"",AH39-AH38,"")</f>
        <v>571</v>
      </c>
      <c r="AJ38" s="18">
        <f t="shared" ref="AJ38:AJ70" si="22">SUM(G38,K38,M38,O38,Q38,S38,U38,W38,Y38,AA38,AC38,AE38,AG38,AI38)</f>
        <v>35453</v>
      </c>
      <c r="AK38" s="19">
        <f t="shared" ref="AK38:AK70" si="23">(E38+I38)-AJ38</f>
        <v>-32378</v>
      </c>
    </row>
    <row r="39" spans="2:37" ht="21" hidden="1" x14ac:dyDescent="0.3">
      <c r="B39" s="9" t="s">
        <v>70</v>
      </c>
      <c r="C39" s="34">
        <v>45871</v>
      </c>
      <c r="D39" s="5">
        <v>111256</v>
      </c>
      <c r="E39" s="16">
        <f t="shared" si="11"/>
        <v>1659</v>
      </c>
      <c r="F39" s="5">
        <v>5690</v>
      </c>
      <c r="G39" s="16">
        <f t="shared" si="12"/>
        <v>934</v>
      </c>
      <c r="H39" s="5">
        <v>79</v>
      </c>
      <c r="I39" s="16">
        <f t="shared" si="13"/>
        <v>1</v>
      </c>
      <c r="J39" s="13">
        <v>17817</v>
      </c>
      <c r="K39" s="6">
        <f t="shared" si="14"/>
        <v>441</v>
      </c>
      <c r="L39" s="5">
        <v>2645</v>
      </c>
      <c r="M39" s="12">
        <f t="shared" ref="M39:M68" si="24">IF(L40&lt;&gt;"",L40-L39,"")</f>
        <v>62</v>
      </c>
      <c r="N39" s="13">
        <v>16291</v>
      </c>
      <c r="O39" s="6">
        <f t="shared" ref="O39:O66" si="25">IF(N40&lt;&gt;"",N40-N39,"")</f>
        <v>369</v>
      </c>
      <c r="P39" s="5">
        <v>4147</v>
      </c>
      <c r="Q39" s="12">
        <f t="shared" si="4"/>
        <v>119</v>
      </c>
      <c r="R39" s="13">
        <v>32987</v>
      </c>
      <c r="S39" s="6">
        <f t="shared" ref="S39:S68" si="26">IF(R40&lt;&gt;"",R40-R39,"")</f>
        <v>703</v>
      </c>
      <c r="T39" s="5">
        <v>5741</v>
      </c>
      <c r="U39" s="12">
        <f t="shared" ref="U39:U68" si="27">IF(T40&lt;&gt;"",T40-T39,"")</f>
        <v>111</v>
      </c>
      <c r="V39" s="13">
        <v>48623</v>
      </c>
      <c r="W39" s="6">
        <f t="shared" si="15"/>
        <v>11</v>
      </c>
      <c r="X39" s="5">
        <v>20410</v>
      </c>
      <c r="Y39" s="12">
        <f t="shared" si="16"/>
        <v>617</v>
      </c>
      <c r="Z39" s="5">
        <v>78</v>
      </c>
      <c r="AA39" s="16">
        <f t="shared" si="17"/>
        <v>0</v>
      </c>
      <c r="AB39" s="5">
        <v>6986</v>
      </c>
      <c r="AC39" s="16">
        <f t="shared" si="18"/>
        <v>554</v>
      </c>
      <c r="AD39" s="5">
        <v>6754</v>
      </c>
      <c r="AE39" s="16">
        <f t="shared" si="19"/>
        <v>0</v>
      </c>
      <c r="AF39" s="5">
        <v>11429</v>
      </c>
      <c r="AG39" s="16">
        <f t="shared" si="20"/>
        <v>0</v>
      </c>
      <c r="AH39" s="5">
        <v>571</v>
      </c>
      <c r="AI39" s="16">
        <f t="shared" si="21"/>
        <v>673</v>
      </c>
      <c r="AJ39" s="18">
        <f t="shared" si="22"/>
        <v>4594</v>
      </c>
      <c r="AK39" s="19">
        <f t="shared" si="23"/>
        <v>-2934</v>
      </c>
    </row>
    <row r="40" spans="2:37" ht="21" hidden="1" x14ac:dyDescent="0.3">
      <c r="B40" s="9" t="s">
        <v>71</v>
      </c>
      <c r="C40" s="34">
        <v>45872</v>
      </c>
      <c r="D40" s="5">
        <v>112915</v>
      </c>
      <c r="E40" s="16">
        <f t="shared" si="11"/>
        <v>0</v>
      </c>
      <c r="F40" s="5">
        <v>6624</v>
      </c>
      <c r="G40" s="16">
        <f t="shared" si="12"/>
        <v>0</v>
      </c>
      <c r="H40" s="5">
        <v>80</v>
      </c>
      <c r="I40" s="16">
        <f t="shared" si="13"/>
        <v>0</v>
      </c>
      <c r="J40" s="13">
        <v>18258</v>
      </c>
      <c r="K40" s="6">
        <f t="shared" si="14"/>
        <v>0</v>
      </c>
      <c r="L40" s="5">
        <v>2707</v>
      </c>
      <c r="M40" s="12">
        <f t="shared" si="24"/>
        <v>0</v>
      </c>
      <c r="N40" s="13">
        <v>16660</v>
      </c>
      <c r="O40" s="6">
        <f t="shared" si="25"/>
        <v>0</v>
      </c>
      <c r="P40" s="5">
        <v>4266</v>
      </c>
      <c r="Q40" s="12">
        <f t="shared" si="4"/>
        <v>0</v>
      </c>
      <c r="R40" s="13">
        <v>33690</v>
      </c>
      <c r="S40" s="6">
        <f t="shared" si="26"/>
        <v>0</v>
      </c>
      <c r="T40" s="5">
        <v>5852</v>
      </c>
      <c r="U40" s="12">
        <f t="shared" si="27"/>
        <v>0</v>
      </c>
      <c r="V40" s="13">
        <v>48634</v>
      </c>
      <c r="W40" s="6">
        <f t="shared" si="15"/>
        <v>0</v>
      </c>
      <c r="X40" s="5">
        <v>21027</v>
      </c>
      <c r="Y40" s="12">
        <f t="shared" si="16"/>
        <v>0</v>
      </c>
      <c r="Z40" s="5">
        <v>78</v>
      </c>
      <c r="AA40" s="16">
        <f t="shared" si="17"/>
        <v>0</v>
      </c>
      <c r="AB40" s="5">
        <v>7540</v>
      </c>
      <c r="AC40" s="16">
        <f t="shared" si="18"/>
        <v>0</v>
      </c>
      <c r="AD40" s="5">
        <v>6754</v>
      </c>
      <c r="AE40" s="16">
        <f t="shared" si="19"/>
        <v>0</v>
      </c>
      <c r="AF40" s="5">
        <v>11429</v>
      </c>
      <c r="AG40" s="16">
        <f t="shared" si="20"/>
        <v>0</v>
      </c>
      <c r="AH40" s="5">
        <v>1244</v>
      </c>
      <c r="AI40" s="16">
        <f t="shared" si="21"/>
        <v>0</v>
      </c>
      <c r="AJ40" s="18">
        <f t="shared" si="22"/>
        <v>0</v>
      </c>
      <c r="AK40" s="19">
        <f t="shared" si="23"/>
        <v>0</v>
      </c>
    </row>
    <row r="41" spans="2:37" ht="21" hidden="1" x14ac:dyDescent="0.3">
      <c r="B41" s="9" t="s">
        <v>72</v>
      </c>
      <c r="C41" s="34">
        <v>45873</v>
      </c>
      <c r="D41" s="5">
        <v>112915</v>
      </c>
      <c r="E41" s="16">
        <f>IF(D42&lt;&gt;"",D42-D41,"")</f>
        <v>2748</v>
      </c>
      <c r="F41" s="5">
        <v>6624</v>
      </c>
      <c r="G41" s="16">
        <f t="shared" si="12"/>
        <v>1047</v>
      </c>
      <c r="H41" s="5">
        <v>80</v>
      </c>
      <c r="I41" s="16">
        <f t="shared" si="13"/>
        <v>0</v>
      </c>
      <c r="J41" s="13">
        <v>18258</v>
      </c>
      <c r="K41" s="6">
        <f t="shared" si="14"/>
        <v>524</v>
      </c>
      <c r="L41" s="5">
        <v>2707</v>
      </c>
      <c r="M41" s="12">
        <f t="shared" si="24"/>
        <v>69</v>
      </c>
      <c r="N41" s="13">
        <v>16660</v>
      </c>
      <c r="O41" s="6">
        <f t="shared" si="25"/>
        <v>463</v>
      </c>
      <c r="P41" s="5">
        <v>4266</v>
      </c>
      <c r="Q41" s="12">
        <f t="shared" ref="Q41:Q66" si="28">IF(P42&lt;&gt;"",P42-P41,"")</f>
        <v>135</v>
      </c>
      <c r="R41" s="13">
        <v>33690</v>
      </c>
      <c r="S41" s="6">
        <f t="shared" si="26"/>
        <v>757</v>
      </c>
      <c r="T41" s="5">
        <v>5852</v>
      </c>
      <c r="U41" s="12">
        <f t="shared" si="27"/>
        <v>126</v>
      </c>
      <c r="V41" s="13">
        <v>48634</v>
      </c>
      <c r="W41" s="6">
        <f t="shared" si="15"/>
        <v>2</v>
      </c>
      <c r="X41" s="5">
        <v>21027</v>
      </c>
      <c r="Y41" s="12">
        <f t="shared" si="16"/>
        <v>696</v>
      </c>
      <c r="Z41" s="5">
        <v>78</v>
      </c>
      <c r="AA41" s="16">
        <f t="shared" si="17"/>
        <v>0</v>
      </c>
      <c r="AB41" s="5">
        <v>7540</v>
      </c>
      <c r="AC41" s="16">
        <f t="shared" si="18"/>
        <v>3</v>
      </c>
      <c r="AD41" s="5">
        <v>6754</v>
      </c>
      <c r="AE41" s="16">
        <f t="shared" si="19"/>
        <v>0</v>
      </c>
      <c r="AF41" s="5">
        <v>11429</v>
      </c>
      <c r="AG41" s="16">
        <f t="shared" si="20"/>
        <v>0</v>
      </c>
      <c r="AH41" s="5">
        <v>1244</v>
      </c>
      <c r="AI41" s="16">
        <f t="shared" si="21"/>
        <v>730</v>
      </c>
      <c r="AJ41" s="18">
        <f t="shared" si="22"/>
        <v>4552</v>
      </c>
      <c r="AK41" s="19">
        <f t="shared" si="23"/>
        <v>-1804</v>
      </c>
    </row>
    <row r="42" spans="2:37" ht="21" hidden="1" x14ac:dyDescent="0.3">
      <c r="B42" s="9" t="s">
        <v>66</v>
      </c>
      <c r="C42" s="34">
        <v>45874</v>
      </c>
      <c r="D42" s="5">
        <v>115663</v>
      </c>
      <c r="E42" s="16">
        <f>IF(D43&lt;&gt;"",D43-D42,"")</f>
        <v>2036</v>
      </c>
      <c r="F42" s="5">
        <v>7671</v>
      </c>
      <c r="G42" s="16">
        <f t="shared" si="12"/>
        <v>1163</v>
      </c>
      <c r="H42" s="5">
        <v>80</v>
      </c>
      <c r="I42" s="16">
        <f t="shared" si="13"/>
        <v>0</v>
      </c>
      <c r="J42" s="13">
        <v>18782</v>
      </c>
      <c r="K42" s="6">
        <f t="shared" si="14"/>
        <v>556</v>
      </c>
      <c r="L42" s="5">
        <v>2776</v>
      </c>
      <c r="M42" s="12">
        <f t="shared" si="24"/>
        <v>67</v>
      </c>
      <c r="N42" s="13">
        <v>17123</v>
      </c>
      <c r="O42" s="6">
        <f t="shared" si="25"/>
        <v>496</v>
      </c>
      <c r="P42" s="5">
        <v>4401</v>
      </c>
      <c r="Q42" s="12">
        <f t="shared" si="28"/>
        <v>139</v>
      </c>
      <c r="R42" s="13">
        <v>34447</v>
      </c>
      <c r="S42" s="6">
        <f t="shared" si="26"/>
        <v>672</v>
      </c>
      <c r="T42" s="5">
        <v>5978</v>
      </c>
      <c r="U42" s="12">
        <f t="shared" si="27"/>
        <v>126</v>
      </c>
      <c r="V42" s="13">
        <v>48636</v>
      </c>
      <c r="W42" s="6">
        <f t="shared" si="15"/>
        <v>2</v>
      </c>
      <c r="X42" s="5">
        <v>21723</v>
      </c>
      <c r="Y42" s="12">
        <f t="shared" si="16"/>
        <v>707</v>
      </c>
      <c r="Z42" s="5">
        <v>78</v>
      </c>
      <c r="AA42" s="16">
        <f t="shared" si="17"/>
        <v>0</v>
      </c>
      <c r="AB42" s="5">
        <v>7543</v>
      </c>
      <c r="AC42" s="16">
        <f t="shared" si="18"/>
        <v>204</v>
      </c>
      <c r="AD42" s="5">
        <v>6754</v>
      </c>
      <c r="AE42" s="16">
        <f t="shared" si="19"/>
        <v>0</v>
      </c>
      <c r="AF42" s="5">
        <v>11429</v>
      </c>
      <c r="AG42" s="16">
        <f t="shared" si="20"/>
        <v>0</v>
      </c>
      <c r="AH42" s="5">
        <v>1974</v>
      </c>
      <c r="AI42" s="16">
        <f t="shared" si="21"/>
        <v>835</v>
      </c>
      <c r="AJ42" s="18">
        <f t="shared" si="22"/>
        <v>4967</v>
      </c>
      <c r="AK42" s="19">
        <f t="shared" si="23"/>
        <v>-2931</v>
      </c>
    </row>
    <row r="43" spans="2:37" ht="21" hidden="1" x14ac:dyDescent="0.3">
      <c r="B43" s="9" t="s">
        <v>67</v>
      </c>
      <c r="C43" s="34">
        <v>45875</v>
      </c>
      <c r="D43" s="5">
        <v>117699</v>
      </c>
      <c r="E43" s="16">
        <f>IF(D44&lt;&gt;"",D44-D43,"")</f>
        <v>2323</v>
      </c>
      <c r="F43" s="5">
        <v>8834</v>
      </c>
      <c r="G43" s="16">
        <f t="shared" si="12"/>
        <v>1315</v>
      </c>
      <c r="H43" s="5">
        <v>80</v>
      </c>
      <c r="I43" s="16">
        <f t="shared" si="13"/>
        <v>1</v>
      </c>
      <c r="J43" s="13">
        <v>19338</v>
      </c>
      <c r="K43" s="6">
        <f t="shared" si="14"/>
        <v>568</v>
      </c>
      <c r="L43" s="5">
        <v>2843</v>
      </c>
      <c r="M43" s="12">
        <f t="shared" si="24"/>
        <v>54</v>
      </c>
      <c r="N43" s="13">
        <v>17619</v>
      </c>
      <c r="O43" s="6">
        <f t="shared" si="25"/>
        <v>450</v>
      </c>
      <c r="P43" s="5">
        <v>4540</v>
      </c>
      <c r="Q43" s="12">
        <f t="shared" si="28"/>
        <v>134</v>
      </c>
      <c r="R43" s="13">
        <v>35119</v>
      </c>
      <c r="S43" s="6">
        <f t="shared" si="26"/>
        <v>789</v>
      </c>
      <c r="T43" s="5">
        <v>6104</v>
      </c>
      <c r="U43" s="12">
        <f t="shared" si="27"/>
        <v>117</v>
      </c>
      <c r="V43" s="13">
        <v>48638</v>
      </c>
      <c r="W43" s="6">
        <f t="shared" si="15"/>
        <v>1</v>
      </c>
      <c r="X43" s="5">
        <v>22430</v>
      </c>
      <c r="Y43" s="12">
        <f t="shared" si="16"/>
        <v>652</v>
      </c>
      <c r="Z43" s="5">
        <v>78</v>
      </c>
      <c r="AA43" s="16">
        <f t="shared" si="17"/>
        <v>0</v>
      </c>
      <c r="AB43" s="5">
        <v>7747</v>
      </c>
      <c r="AC43" s="16">
        <f t="shared" si="18"/>
        <v>198</v>
      </c>
      <c r="AD43" s="5">
        <v>6754</v>
      </c>
      <c r="AE43" s="16">
        <f t="shared" si="19"/>
        <v>0</v>
      </c>
      <c r="AF43" s="5">
        <v>11429</v>
      </c>
      <c r="AG43" s="16">
        <f t="shared" si="20"/>
        <v>0</v>
      </c>
      <c r="AH43" s="5">
        <v>2809</v>
      </c>
      <c r="AI43" s="16">
        <f t="shared" si="21"/>
        <v>805</v>
      </c>
      <c r="AJ43" s="18">
        <f t="shared" si="22"/>
        <v>5083</v>
      </c>
      <c r="AK43" s="19">
        <f t="shared" si="23"/>
        <v>-2759</v>
      </c>
    </row>
    <row r="44" spans="2:37" ht="21" hidden="1" x14ac:dyDescent="0.3">
      <c r="B44" s="9" t="s">
        <v>68</v>
      </c>
      <c r="C44" s="34">
        <v>45876</v>
      </c>
      <c r="D44" s="5">
        <v>120022</v>
      </c>
      <c r="E44" s="16">
        <f>IF(D45&lt;&gt;"",D45-D44,"")</f>
        <v>2689</v>
      </c>
      <c r="F44" s="5">
        <v>10149</v>
      </c>
      <c r="G44" s="16">
        <f t="shared" si="12"/>
        <v>1313</v>
      </c>
      <c r="H44" s="5">
        <v>81</v>
      </c>
      <c r="I44" s="16">
        <f t="shared" si="13"/>
        <v>0</v>
      </c>
      <c r="J44" s="13">
        <v>19906</v>
      </c>
      <c r="K44" s="6">
        <f t="shared" si="14"/>
        <v>636</v>
      </c>
      <c r="L44" s="5">
        <v>2897</v>
      </c>
      <c r="M44" s="12">
        <f t="shared" si="24"/>
        <v>65</v>
      </c>
      <c r="N44" s="13">
        <v>18069</v>
      </c>
      <c r="O44" s="6">
        <f t="shared" si="25"/>
        <v>513</v>
      </c>
      <c r="P44" s="5">
        <v>4674</v>
      </c>
      <c r="Q44" s="12">
        <f t="shared" si="28"/>
        <v>150</v>
      </c>
      <c r="R44" s="13">
        <v>35908</v>
      </c>
      <c r="S44" s="6">
        <f t="shared" si="26"/>
        <v>821</v>
      </c>
      <c r="T44" s="5">
        <v>6221</v>
      </c>
      <c r="U44" s="12">
        <f t="shared" si="27"/>
        <v>129</v>
      </c>
      <c r="V44" s="13">
        <v>48639</v>
      </c>
      <c r="W44" s="6">
        <f t="shared" si="15"/>
        <v>0</v>
      </c>
      <c r="X44" s="5">
        <v>23082</v>
      </c>
      <c r="Y44" s="12">
        <f t="shared" si="16"/>
        <v>751</v>
      </c>
      <c r="Z44" s="5">
        <v>78</v>
      </c>
      <c r="AA44" s="16">
        <f t="shared" si="17"/>
        <v>0</v>
      </c>
      <c r="AB44" s="5">
        <v>7945</v>
      </c>
      <c r="AC44" s="16">
        <f t="shared" si="18"/>
        <v>221</v>
      </c>
      <c r="AD44" s="5">
        <v>6754</v>
      </c>
      <c r="AE44" s="16">
        <f t="shared" si="19"/>
        <v>0</v>
      </c>
      <c r="AF44" s="5">
        <v>11429</v>
      </c>
      <c r="AG44" s="16">
        <f t="shared" si="20"/>
        <v>0</v>
      </c>
      <c r="AH44" s="5">
        <v>3614</v>
      </c>
      <c r="AI44" s="16">
        <f t="shared" si="21"/>
        <v>918</v>
      </c>
      <c r="AJ44" s="18">
        <f t="shared" si="22"/>
        <v>5517</v>
      </c>
      <c r="AK44" s="19">
        <f t="shared" si="23"/>
        <v>-2828</v>
      </c>
    </row>
    <row r="45" spans="2:37" ht="21" hidden="1" x14ac:dyDescent="0.3">
      <c r="B45" s="9" t="s">
        <v>69</v>
      </c>
      <c r="C45" s="34">
        <v>45877</v>
      </c>
      <c r="D45" s="5">
        <v>122711</v>
      </c>
      <c r="E45" s="16">
        <f>IF(D46&lt;&gt;"",D46-D45,"")</f>
        <v>2081</v>
      </c>
      <c r="F45" s="5">
        <v>11462</v>
      </c>
      <c r="G45" s="16">
        <f t="shared" si="12"/>
        <v>1102</v>
      </c>
      <c r="H45" s="5">
        <v>81</v>
      </c>
      <c r="I45" s="16">
        <f t="shared" si="13"/>
        <v>0</v>
      </c>
      <c r="J45" s="13">
        <v>20542</v>
      </c>
      <c r="K45" s="6">
        <f t="shared" si="14"/>
        <v>524</v>
      </c>
      <c r="L45" s="5">
        <v>2962</v>
      </c>
      <c r="M45" s="12">
        <f t="shared" si="24"/>
        <v>64</v>
      </c>
      <c r="N45" s="13">
        <v>18582</v>
      </c>
      <c r="O45" s="6">
        <f t="shared" si="25"/>
        <v>420</v>
      </c>
      <c r="P45" s="5">
        <v>4824</v>
      </c>
      <c r="Q45" s="12">
        <f t="shared" si="28"/>
        <v>103</v>
      </c>
      <c r="R45" s="13">
        <v>36729</v>
      </c>
      <c r="S45" s="6">
        <f t="shared" si="26"/>
        <v>691</v>
      </c>
      <c r="T45" s="5">
        <v>6350</v>
      </c>
      <c r="U45" s="12">
        <f t="shared" si="27"/>
        <v>107</v>
      </c>
      <c r="V45" s="13">
        <v>48639</v>
      </c>
      <c r="W45" s="6">
        <f t="shared" si="15"/>
        <v>0</v>
      </c>
      <c r="X45" s="5">
        <v>23833</v>
      </c>
      <c r="Y45" s="12">
        <f t="shared" si="16"/>
        <v>600</v>
      </c>
      <c r="Z45" s="5">
        <v>78</v>
      </c>
      <c r="AA45" s="16">
        <f t="shared" si="17"/>
        <v>0</v>
      </c>
      <c r="AB45" s="5">
        <v>8166</v>
      </c>
      <c r="AC45" s="16">
        <f t="shared" si="18"/>
        <v>199</v>
      </c>
      <c r="AD45" s="5">
        <v>6754</v>
      </c>
      <c r="AE45" s="16">
        <f t="shared" si="19"/>
        <v>0</v>
      </c>
      <c r="AF45" s="5">
        <v>11429</v>
      </c>
      <c r="AG45" s="16">
        <f t="shared" si="20"/>
        <v>0</v>
      </c>
      <c r="AH45" s="5">
        <v>4532</v>
      </c>
      <c r="AI45" s="16">
        <f t="shared" si="21"/>
        <v>726</v>
      </c>
      <c r="AJ45" s="18">
        <f t="shared" si="22"/>
        <v>4536</v>
      </c>
      <c r="AK45" s="19">
        <f t="shared" si="23"/>
        <v>-2455</v>
      </c>
    </row>
    <row r="46" spans="2:37" ht="21" hidden="1" x14ac:dyDescent="0.3">
      <c r="B46" s="9" t="s">
        <v>70</v>
      </c>
      <c r="C46" s="34">
        <v>45878</v>
      </c>
      <c r="D46" s="5">
        <v>124792</v>
      </c>
      <c r="E46" s="16">
        <f t="shared" ref="E46:E68" si="29">IF(D47&lt;&gt;"",D47-D46,"")</f>
        <v>2096</v>
      </c>
      <c r="F46" s="5">
        <v>12564</v>
      </c>
      <c r="G46" s="16">
        <f t="shared" si="12"/>
        <v>1131</v>
      </c>
      <c r="H46" s="5">
        <v>81</v>
      </c>
      <c r="I46" s="16">
        <f t="shared" si="13"/>
        <v>0</v>
      </c>
      <c r="J46" s="13">
        <v>21066</v>
      </c>
      <c r="K46" s="6">
        <f t="shared" si="14"/>
        <v>443</v>
      </c>
      <c r="L46" s="5">
        <v>3026</v>
      </c>
      <c r="M46" s="12">
        <f t="shared" si="24"/>
        <v>48</v>
      </c>
      <c r="N46" s="13">
        <v>19002</v>
      </c>
      <c r="O46" s="6">
        <f t="shared" si="25"/>
        <v>407</v>
      </c>
      <c r="P46" s="5">
        <v>4927</v>
      </c>
      <c r="Q46" s="12">
        <f t="shared" si="28"/>
        <v>86</v>
      </c>
      <c r="R46" s="13">
        <v>37420</v>
      </c>
      <c r="S46" s="6">
        <f t="shared" si="26"/>
        <v>723</v>
      </c>
      <c r="T46" s="5">
        <v>6457</v>
      </c>
      <c r="U46" s="12">
        <f t="shared" si="27"/>
        <v>107</v>
      </c>
      <c r="V46" s="13">
        <v>48639</v>
      </c>
      <c r="W46" s="6">
        <f t="shared" si="15"/>
        <v>0</v>
      </c>
      <c r="X46" s="5">
        <v>24433</v>
      </c>
      <c r="Y46" s="12">
        <f t="shared" si="16"/>
        <v>625</v>
      </c>
      <c r="Z46" s="5">
        <v>78</v>
      </c>
      <c r="AA46" s="16">
        <f t="shared" si="17"/>
        <v>0</v>
      </c>
      <c r="AB46" s="5">
        <v>8365</v>
      </c>
      <c r="AC46" s="16">
        <f t="shared" si="18"/>
        <v>157</v>
      </c>
      <c r="AD46" s="5">
        <v>6754</v>
      </c>
      <c r="AE46" s="16">
        <f t="shared" si="19"/>
        <v>0</v>
      </c>
      <c r="AF46" s="5">
        <v>11429</v>
      </c>
      <c r="AG46" s="16">
        <f t="shared" si="20"/>
        <v>0</v>
      </c>
      <c r="AH46" s="5">
        <v>5258</v>
      </c>
      <c r="AI46" s="16">
        <f t="shared" si="21"/>
        <v>813</v>
      </c>
      <c r="AJ46" s="18">
        <f t="shared" si="22"/>
        <v>4540</v>
      </c>
      <c r="AK46" s="19">
        <f t="shared" si="23"/>
        <v>-2444</v>
      </c>
    </row>
    <row r="47" spans="2:37" ht="21" hidden="1" x14ac:dyDescent="0.3">
      <c r="B47" s="9" t="s">
        <v>71</v>
      </c>
      <c r="C47" s="34">
        <v>45879</v>
      </c>
      <c r="D47" s="5">
        <v>126888</v>
      </c>
      <c r="E47" s="16">
        <f t="shared" si="29"/>
        <v>262</v>
      </c>
      <c r="F47" s="5">
        <v>13695</v>
      </c>
      <c r="G47" s="16">
        <f t="shared" si="12"/>
        <v>58</v>
      </c>
      <c r="H47" s="5">
        <v>81</v>
      </c>
      <c r="I47" s="16">
        <f t="shared" si="13"/>
        <v>1</v>
      </c>
      <c r="J47" s="13">
        <v>21509</v>
      </c>
      <c r="K47" s="6">
        <f t="shared" ref="K47:K67" si="30">IF(J48&lt;&gt;"",J48-J47,"")</f>
        <v>115</v>
      </c>
      <c r="L47" s="5">
        <v>3074</v>
      </c>
      <c r="M47" s="12">
        <f t="shared" si="24"/>
        <v>13</v>
      </c>
      <c r="N47" s="13">
        <v>19409</v>
      </c>
      <c r="O47" s="6">
        <f t="shared" si="25"/>
        <v>37</v>
      </c>
      <c r="P47" s="5">
        <v>5013</v>
      </c>
      <c r="Q47" s="12">
        <f t="shared" si="28"/>
        <v>18</v>
      </c>
      <c r="R47" s="13">
        <v>38143</v>
      </c>
      <c r="S47" s="6">
        <f t="shared" si="26"/>
        <v>37</v>
      </c>
      <c r="T47" s="5">
        <v>6564</v>
      </c>
      <c r="U47" s="12">
        <f t="shared" si="27"/>
        <v>14</v>
      </c>
      <c r="V47" s="13">
        <v>48639</v>
      </c>
      <c r="W47" s="6">
        <f t="shared" si="15"/>
        <v>0</v>
      </c>
      <c r="X47" s="5">
        <v>25058</v>
      </c>
      <c r="Y47" s="12">
        <f t="shared" si="16"/>
        <v>28</v>
      </c>
      <c r="Z47" s="5">
        <v>78</v>
      </c>
      <c r="AA47" s="16">
        <f t="shared" si="17"/>
        <v>0</v>
      </c>
      <c r="AB47" s="5">
        <v>8522</v>
      </c>
      <c r="AC47" s="16">
        <f t="shared" si="18"/>
        <v>239</v>
      </c>
      <c r="AD47" s="5">
        <v>6754</v>
      </c>
      <c r="AE47" s="16">
        <f t="shared" si="19"/>
        <v>0</v>
      </c>
      <c r="AF47" s="5">
        <v>11429</v>
      </c>
      <c r="AG47" s="16">
        <f t="shared" si="20"/>
        <v>0</v>
      </c>
      <c r="AH47" s="5">
        <v>6071</v>
      </c>
      <c r="AI47" s="16">
        <f t="shared" si="21"/>
        <v>0</v>
      </c>
      <c r="AJ47" s="18">
        <f t="shared" si="22"/>
        <v>559</v>
      </c>
      <c r="AK47" s="19">
        <f t="shared" si="23"/>
        <v>-296</v>
      </c>
    </row>
    <row r="48" spans="2:37" ht="21" hidden="1" x14ac:dyDescent="0.3">
      <c r="B48" s="9" t="s">
        <v>72</v>
      </c>
      <c r="C48" s="34">
        <v>45880</v>
      </c>
      <c r="D48" s="5">
        <v>127150</v>
      </c>
      <c r="E48" s="16">
        <f t="shared" si="29"/>
        <v>2415</v>
      </c>
      <c r="F48" s="5">
        <v>13753</v>
      </c>
      <c r="G48" s="16">
        <f t="shared" si="12"/>
        <v>1409</v>
      </c>
      <c r="H48" s="5">
        <v>82</v>
      </c>
      <c r="I48" s="16">
        <f t="shared" si="13"/>
        <v>0</v>
      </c>
      <c r="J48" s="13">
        <v>21624</v>
      </c>
      <c r="K48" s="6">
        <f t="shared" si="30"/>
        <v>548</v>
      </c>
      <c r="L48" s="5">
        <v>3087</v>
      </c>
      <c r="M48" s="12">
        <f t="shared" si="24"/>
        <v>69</v>
      </c>
      <c r="N48" s="13">
        <v>19446</v>
      </c>
      <c r="O48" s="6">
        <f t="shared" si="25"/>
        <v>474</v>
      </c>
      <c r="P48" s="5">
        <v>5031</v>
      </c>
      <c r="Q48" s="12">
        <f t="shared" si="28"/>
        <v>115</v>
      </c>
      <c r="R48" s="13">
        <v>38180</v>
      </c>
      <c r="S48" s="6">
        <f t="shared" si="26"/>
        <v>713</v>
      </c>
      <c r="T48" s="5">
        <v>6578</v>
      </c>
      <c r="U48" s="12">
        <f t="shared" si="27"/>
        <v>140</v>
      </c>
      <c r="V48" s="13">
        <v>48639</v>
      </c>
      <c r="W48" s="6">
        <f t="shared" si="15"/>
        <v>0</v>
      </c>
      <c r="X48" s="5">
        <v>25086</v>
      </c>
      <c r="Y48" s="12">
        <f t="shared" si="16"/>
        <v>673</v>
      </c>
      <c r="Z48" s="5">
        <v>78</v>
      </c>
      <c r="AA48" s="16">
        <f t="shared" si="17"/>
        <v>0</v>
      </c>
      <c r="AB48" s="5">
        <v>8761</v>
      </c>
      <c r="AC48" s="16">
        <f t="shared" si="18"/>
        <v>211</v>
      </c>
      <c r="AD48" s="5">
        <v>6754</v>
      </c>
      <c r="AE48" s="16">
        <f t="shared" si="19"/>
        <v>0</v>
      </c>
      <c r="AF48" s="5">
        <v>11429</v>
      </c>
      <c r="AG48" s="16">
        <f t="shared" si="20"/>
        <v>0</v>
      </c>
      <c r="AH48" s="5">
        <v>6071</v>
      </c>
      <c r="AI48" s="16">
        <f t="shared" si="21"/>
        <v>954</v>
      </c>
      <c r="AJ48" s="18">
        <f t="shared" si="22"/>
        <v>5306</v>
      </c>
      <c r="AK48" s="19">
        <f t="shared" si="23"/>
        <v>-2891</v>
      </c>
    </row>
    <row r="49" spans="2:37" ht="21" hidden="1" x14ac:dyDescent="0.3">
      <c r="B49" s="9" t="s">
        <v>66</v>
      </c>
      <c r="C49" s="34">
        <v>45881</v>
      </c>
      <c r="D49" s="5">
        <v>129565</v>
      </c>
      <c r="E49" s="16">
        <f t="shared" si="29"/>
        <v>2097</v>
      </c>
      <c r="F49" s="5">
        <v>15162</v>
      </c>
      <c r="G49" s="16">
        <f t="shared" si="12"/>
        <v>1517</v>
      </c>
      <c r="H49" s="5">
        <v>82</v>
      </c>
      <c r="I49" s="16">
        <f t="shared" si="13"/>
        <v>0</v>
      </c>
      <c r="J49" s="13">
        <v>22172</v>
      </c>
      <c r="K49" s="6">
        <f t="shared" si="30"/>
        <v>535</v>
      </c>
      <c r="L49" s="5">
        <v>3156</v>
      </c>
      <c r="M49" s="12">
        <f t="shared" si="24"/>
        <v>61</v>
      </c>
      <c r="N49" s="13">
        <v>19920</v>
      </c>
      <c r="O49" s="6">
        <f t="shared" si="25"/>
        <v>448</v>
      </c>
      <c r="P49" s="5">
        <v>5146</v>
      </c>
      <c r="Q49" s="12">
        <f t="shared" si="28"/>
        <v>133</v>
      </c>
      <c r="R49" s="13">
        <v>38893</v>
      </c>
      <c r="S49" s="6">
        <f t="shared" si="26"/>
        <v>679</v>
      </c>
      <c r="T49" s="5">
        <v>6718</v>
      </c>
      <c r="U49" s="12">
        <f t="shared" si="27"/>
        <v>102</v>
      </c>
      <c r="V49" s="13">
        <v>48639</v>
      </c>
      <c r="W49" s="6">
        <f t="shared" si="15"/>
        <v>0</v>
      </c>
      <c r="X49" s="5">
        <v>25759</v>
      </c>
      <c r="Y49" s="12">
        <f t="shared" si="16"/>
        <v>634</v>
      </c>
      <c r="Z49" s="5">
        <v>78</v>
      </c>
      <c r="AA49" s="16">
        <f t="shared" si="17"/>
        <v>1</v>
      </c>
      <c r="AB49" s="5">
        <v>8972</v>
      </c>
      <c r="AC49" s="16">
        <f t="shared" si="18"/>
        <v>191</v>
      </c>
      <c r="AD49" s="5">
        <v>6754</v>
      </c>
      <c r="AE49" s="16">
        <f t="shared" si="19"/>
        <v>0</v>
      </c>
      <c r="AF49" s="5">
        <v>11429</v>
      </c>
      <c r="AG49" s="16">
        <f t="shared" si="20"/>
        <v>0</v>
      </c>
      <c r="AH49" s="5">
        <v>7025</v>
      </c>
      <c r="AI49" s="16">
        <f t="shared" si="21"/>
        <v>816</v>
      </c>
      <c r="AJ49" s="18">
        <f t="shared" si="22"/>
        <v>5117</v>
      </c>
      <c r="AK49" s="19">
        <f t="shared" si="23"/>
        <v>-3020</v>
      </c>
    </row>
    <row r="50" spans="2:37" ht="21" hidden="1" x14ac:dyDescent="0.3">
      <c r="B50" s="9" t="s">
        <v>67</v>
      </c>
      <c r="C50" s="34">
        <v>45882</v>
      </c>
      <c r="D50" s="5">
        <v>131662</v>
      </c>
      <c r="E50" s="16">
        <f t="shared" si="29"/>
        <v>5885</v>
      </c>
      <c r="F50" s="5">
        <v>16679</v>
      </c>
      <c r="G50" s="16">
        <f t="shared" si="12"/>
        <v>1562</v>
      </c>
      <c r="H50" s="5">
        <v>82</v>
      </c>
      <c r="I50" s="16">
        <f t="shared" si="13"/>
        <v>1</v>
      </c>
      <c r="J50" s="13">
        <v>22707</v>
      </c>
      <c r="K50" s="6">
        <f t="shared" si="30"/>
        <v>620</v>
      </c>
      <c r="L50" s="5">
        <v>3217</v>
      </c>
      <c r="M50" s="12">
        <f t="shared" si="24"/>
        <v>86</v>
      </c>
      <c r="N50" s="13">
        <v>20368</v>
      </c>
      <c r="O50" s="6">
        <f t="shared" si="25"/>
        <v>592</v>
      </c>
      <c r="P50" s="5">
        <v>5279</v>
      </c>
      <c r="Q50" s="12">
        <f t="shared" si="28"/>
        <v>154</v>
      </c>
      <c r="R50" s="13">
        <v>39572</v>
      </c>
      <c r="S50" s="6">
        <f t="shared" si="26"/>
        <v>729</v>
      </c>
      <c r="T50" s="5">
        <v>6820</v>
      </c>
      <c r="U50" s="12">
        <f t="shared" si="27"/>
        <v>126</v>
      </c>
      <c r="V50" s="13">
        <v>48639</v>
      </c>
      <c r="W50" s="6">
        <f t="shared" si="15"/>
        <v>0</v>
      </c>
      <c r="X50" s="5">
        <v>26393</v>
      </c>
      <c r="Y50" s="12">
        <f t="shared" si="16"/>
        <v>816</v>
      </c>
      <c r="Z50" s="5">
        <v>79</v>
      </c>
      <c r="AA50" s="16">
        <f t="shared" si="17"/>
        <v>0</v>
      </c>
      <c r="AB50" s="5">
        <v>9163</v>
      </c>
      <c r="AC50" s="16">
        <f t="shared" si="18"/>
        <v>142</v>
      </c>
      <c r="AD50" s="5">
        <v>6754</v>
      </c>
      <c r="AE50" s="16">
        <f t="shared" si="19"/>
        <v>0</v>
      </c>
      <c r="AF50" s="5">
        <v>11429</v>
      </c>
      <c r="AG50" s="16">
        <f t="shared" si="20"/>
        <v>0</v>
      </c>
      <c r="AH50" s="5">
        <v>7841</v>
      </c>
      <c r="AI50" s="16">
        <f t="shared" si="21"/>
        <v>781</v>
      </c>
      <c r="AJ50" s="18">
        <f t="shared" si="22"/>
        <v>5608</v>
      </c>
      <c r="AK50" s="19">
        <f t="shared" si="23"/>
        <v>278</v>
      </c>
    </row>
    <row r="51" spans="2:37" ht="21" hidden="1" x14ac:dyDescent="0.3">
      <c r="B51" s="9" t="s">
        <v>68</v>
      </c>
      <c r="C51" s="34">
        <v>45883</v>
      </c>
      <c r="D51" s="5">
        <v>137547</v>
      </c>
      <c r="E51" s="16">
        <f t="shared" si="29"/>
        <v>240</v>
      </c>
      <c r="F51" s="5">
        <v>18241</v>
      </c>
      <c r="G51" s="16">
        <f t="shared" si="12"/>
        <v>0</v>
      </c>
      <c r="H51" s="5">
        <v>83</v>
      </c>
      <c r="I51" s="16">
        <f t="shared" si="13"/>
        <v>0</v>
      </c>
      <c r="J51" s="13">
        <v>23327</v>
      </c>
      <c r="K51" s="6">
        <f t="shared" si="30"/>
        <v>0</v>
      </c>
      <c r="L51" s="5">
        <v>3303</v>
      </c>
      <c r="M51" s="12">
        <f t="shared" si="24"/>
        <v>0</v>
      </c>
      <c r="N51" s="13">
        <v>20960</v>
      </c>
      <c r="O51" s="6">
        <f t="shared" si="25"/>
        <v>0</v>
      </c>
      <c r="P51" s="5">
        <v>5433</v>
      </c>
      <c r="Q51" s="12">
        <f t="shared" si="28"/>
        <v>0</v>
      </c>
      <c r="R51" s="13">
        <v>40301</v>
      </c>
      <c r="S51" s="6">
        <f t="shared" si="26"/>
        <v>0</v>
      </c>
      <c r="T51" s="5">
        <v>6946</v>
      </c>
      <c r="U51" s="12">
        <f t="shared" si="27"/>
        <v>0</v>
      </c>
      <c r="V51" s="13">
        <v>48639</v>
      </c>
      <c r="W51" s="6">
        <f t="shared" si="15"/>
        <v>0</v>
      </c>
      <c r="X51" s="5">
        <v>27209</v>
      </c>
      <c r="Y51" s="12">
        <f t="shared" si="16"/>
        <v>0</v>
      </c>
      <c r="Z51" s="5">
        <v>79</v>
      </c>
      <c r="AA51" s="16">
        <f t="shared" si="17"/>
        <v>0</v>
      </c>
      <c r="AB51" s="5">
        <v>9305</v>
      </c>
      <c r="AC51" s="16">
        <f t="shared" si="18"/>
        <v>239</v>
      </c>
      <c r="AD51" s="5">
        <v>6754</v>
      </c>
      <c r="AE51" s="16">
        <f t="shared" si="19"/>
        <v>0</v>
      </c>
      <c r="AF51" s="5">
        <v>11429</v>
      </c>
      <c r="AG51" s="16">
        <f t="shared" si="20"/>
        <v>0</v>
      </c>
      <c r="AH51" s="5">
        <v>8622</v>
      </c>
      <c r="AI51" s="16">
        <f t="shared" si="21"/>
        <v>0</v>
      </c>
      <c r="AJ51" s="18">
        <f t="shared" si="22"/>
        <v>239</v>
      </c>
      <c r="AK51" s="19">
        <f t="shared" si="23"/>
        <v>1</v>
      </c>
    </row>
    <row r="52" spans="2:37" ht="21" hidden="1" x14ac:dyDescent="0.3">
      <c r="B52" s="9" t="s">
        <v>69</v>
      </c>
      <c r="C52" s="34">
        <v>45884</v>
      </c>
      <c r="D52" s="5">
        <v>137787</v>
      </c>
      <c r="E52" s="16">
        <f t="shared" si="29"/>
        <v>3835</v>
      </c>
      <c r="F52" s="5">
        <v>18241</v>
      </c>
      <c r="G52" s="16">
        <f t="shared" si="12"/>
        <v>1790</v>
      </c>
      <c r="H52" s="5">
        <v>83</v>
      </c>
      <c r="I52" s="16">
        <f t="shared" si="13"/>
        <v>1577</v>
      </c>
      <c r="J52" s="13">
        <v>23327</v>
      </c>
      <c r="K52" s="6">
        <f t="shared" si="30"/>
        <v>677</v>
      </c>
      <c r="L52" s="5">
        <v>3303</v>
      </c>
      <c r="M52" s="12">
        <f t="shared" si="24"/>
        <v>83</v>
      </c>
      <c r="N52" s="13">
        <v>20960</v>
      </c>
      <c r="O52" s="6">
        <f t="shared" si="25"/>
        <v>410</v>
      </c>
      <c r="P52" s="5">
        <v>5433</v>
      </c>
      <c r="Q52" s="12">
        <f t="shared" si="28"/>
        <v>152</v>
      </c>
      <c r="R52" s="13">
        <v>40301</v>
      </c>
      <c r="S52" s="6">
        <f t="shared" si="26"/>
        <v>785</v>
      </c>
      <c r="T52" s="5">
        <v>6946</v>
      </c>
      <c r="U52" s="12">
        <f t="shared" si="27"/>
        <v>114</v>
      </c>
      <c r="V52" s="13">
        <v>48639</v>
      </c>
      <c r="W52" s="6">
        <f t="shared" si="15"/>
        <v>0</v>
      </c>
      <c r="X52" s="5">
        <v>27209</v>
      </c>
      <c r="Y52" s="12">
        <f t="shared" si="16"/>
        <v>804</v>
      </c>
      <c r="Z52" s="5">
        <v>79</v>
      </c>
      <c r="AA52" s="16">
        <f t="shared" si="17"/>
        <v>0</v>
      </c>
      <c r="AB52" s="5">
        <v>9544</v>
      </c>
      <c r="AC52" s="16">
        <f t="shared" si="18"/>
        <v>210</v>
      </c>
      <c r="AD52" s="5">
        <v>6754</v>
      </c>
      <c r="AE52" s="16">
        <f t="shared" si="19"/>
        <v>0</v>
      </c>
      <c r="AF52" s="5">
        <v>11429</v>
      </c>
      <c r="AG52" s="16">
        <f t="shared" si="20"/>
        <v>0</v>
      </c>
      <c r="AH52" s="5">
        <v>8622</v>
      </c>
      <c r="AI52" s="16">
        <f t="shared" si="21"/>
        <v>890</v>
      </c>
      <c r="AJ52" s="18">
        <f t="shared" si="22"/>
        <v>5915</v>
      </c>
      <c r="AK52" s="19">
        <f t="shared" si="23"/>
        <v>-503</v>
      </c>
    </row>
    <row r="53" spans="2:37" ht="21" hidden="1" x14ac:dyDescent="0.3">
      <c r="B53" s="9" t="s">
        <v>70</v>
      </c>
      <c r="C53" s="34">
        <v>45885</v>
      </c>
      <c r="D53" s="5">
        <v>141622</v>
      </c>
      <c r="E53" s="16">
        <f t="shared" si="29"/>
        <v>2333</v>
      </c>
      <c r="F53" s="5">
        <v>20031</v>
      </c>
      <c r="G53" s="16">
        <f t="shared" si="12"/>
        <v>1497</v>
      </c>
      <c r="H53" s="5">
        <v>1660</v>
      </c>
      <c r="I53" s="16">
        <f t="shared" si="13"/>
        <v>1043</v>
      </c>
      <c r="J53" s="13">
        <v>24004</v>
      </c>
      <c r="K53" s="6">
        <f t="shared" si="30"/>
        <v>468</v>
      </c>
      <c r="L53" s="5">
        <v>3386</v>
      </c>
      <c r="M53" s="12">
        <f t="shared" si="24"/>
        <v>73</v>
      </c>
      <c r="N53" s="13">
        <v>21370</v>
      </c>
      <c r="O53" s="6">
        <f t="shared" si="25"/>
        <v>342</v>
      </c>
      <c r="P53" s="5">
        <v>5585</v>
      </c>
      <c r="Q53" s="12">
        <f t="shared" si="28"/>
        <v>119</v>
      </c>
      <c r="R53" s="13">
        <v>41086</v>
      </c>
      <c r="S53" s="6">
        <f t="shared" si="26"/>
        <v>587</v>
      </c>
      <c r="T53" s="5">
        <v>7060</v>
      </c>
      <c r="U53" s="12">
        <f t="shared" si="27"/>
        <v>92</v>
      </c>
      <c r="V53" s="13">
        <v>48639</v>
      </c>
      <c r="W53" s="6">
        <f t="shared" si="15"/>
        <v>0</v>
      </c>
      <c r="X53" s="5">
        <v>28013</v>
      </c>
      <c r="Y53" s="12">
        <f t="shared" si="16"/>
        <v>530</v>
      </c>
      <c r="Z53" s="5">
        <v>79</v>
      </c>
      <c r="AA53" s="16">
        <f t="shared" si="17"/>
        <v>0</v>
      </c>
      <c r="AB53" s="5">
        <v>9754</v>
      </c>
      <c r="AC53" s="16">
        <f t="shared" si="18"/>
        <v>120</v>
      </c>
      <c r="AD53" s="5">
        <v>6754</v>
      </c>
      <c r="AE53" s="16">
        <f t="shared" si="19"/>
        <v>0</v>
      </c>
      <c r="AF53" s="5">
        <v>11429</v>
      </c>
      <c r="AG53" s="16">
        <f t="shared" si="20"/>
        <v>0</v>
      </c>
      <c r="AH53" s="5">
        <v>9512</v>
      </c>
      <c r="AI53" s="16">
        <f t="shared" si="21"/>
        <v>646</v>
      </c>
      <c r="AJ53" s="18">
        <f t="shared" si="22"/>
        <v>4474</v>
      </c>
      <c r="AK53" s="19">
        <f t="shared" si="23"/>
        <v>-1098</v>
      </c>
    </row>
    <row r="54" spans="2:37" ht="21" hidden="1" x14ac:dyDescent="0.3">
      <c r="B54" s="9" t="s">
        <v>71</v>
      </c>
      <c r="C54" s="34">
        <v>45886</v>
      </c>
      <c r="D54" s="5">
        <v>143955</v>
      </c>
      <c r="E54" s="16">
        <f t="shared" si="29"/>
        <v>478</v>
      </c>
      <c r="F54" s="5">
        <v>21528</v>
      </c>
      <c r="G54" s="16">
        <f t="shared" si="12"/>
        <v>95</v>
      </c>
      <c r="H54" s="5">
        <v>2703</v>
      </c>
      <c r="I54" s="16">
        <f t="shared" si="13"/>
        <v>702</v>
      </c>
      <c r="J54" s="13">
        <v>24472</v>
      </c>
      <c r="K54" s="6">
        <f t="shared" si="30"/>
        <v>57</v>
      </c>
      <c r="L54" s="5">
        <v>3459</v>
      </c>
      <c r="M54" s="12">
        <f t="shared" si="24"/>
        <v>15</v>
      </c>
      <c r="N54" s="13">
        <v>21712</v>
      </c>
      <c r="O54" s="6">
        <f t="shared" si="25"/>
        <v>53</v>
      </c>
      <c r="P54" s="5">
        <v>5704</v>
      </c>
      <c r="Q54" s="12">
        <f t="shared" si="28"/>
        <v>26</v>
      </c>
      <c r="R54" s="13">
        <v>41673</v>
      </c>
      <c r="S54" s="6">
        <f t="shared" si="26"/>
        <v>61</v>
      </c>
      <c r="T54" s="5">
        <v>7152</v>
      </c>
      <c r="U54" s="12">
        <f t="shared" si="27"/>
        <v>21</v>
      </c>
      <c r="V54" s="13">
        <v>48639</v>
      </c>
      <c r="W54" s="6">
        <f t="shared" si="15"/>
        <v>0</v>
      </c>
      <c r="X54" s="5">
        <v>28543</v>
      </c>
      <c r="Y54" s="12">
        <f t="shared" si="16"/>
        <v>44</v>
      </c>
      <c r="Z54" s="5">
        <v>79</v>
      </c>
      <c r="AA54" s="16">
        <f t="shared" si="17"/>
        <v>0</v>
      </c>
      <c r="AB54" s="5">
        <v>9874</v>
      </c>
      <c r="AC54" s="16">
        <f t="shared" si="18"/>
        <v>170</v>
      </c>
      <c r="AD54" s="5">
        <v>6754</v>
      </c>
      <c r="AE54" s="16">
        <f t="shared" si="19"/>
        <v>0</v>
      </c>
      <c r="AF54" s="5">
        <v>11429</v>
      </c>
      <c r="AG54" s="16">
        <f t="shared" si="20"/>
        <v>0</v>
      </c>
      <c r="AH54" s="5">
        <v>10158</v>
      </c>
      <c r="AI54" s="16">
        <f t="shared" si="21"/>
        <v>80</v>
      </c>
      <c r="AJ54" s="18">
        <f t="shared" si="22"/>
        <v>622</v>
      </c>
      <c r="AK54" s="19">
        <f t="shared" si="23"/>
        <v>558</v>
      </c>
    </row>
    <row r="55" spans="2:37" ht="21" hidden="1" x14ac:dyDescent="0.3">
      <c r="B55" s="9" t="s">
        <v>72</v>
      </c>
      <c r="C55" s="34">
        <v>45887</v>
      </c>
      <c r="D55" s="5">
        <v>144433</v>
      </c>
      <c r="E55" s="16">
        <f t="shared" si="29"/>
        <v>3255</v>
      </c>
      <c r="F55" s="5">
        <v>21623</v>
      </c>
      <c r="G55" s="16">
        <f t="shared" si="12"/>
        <v>1559</v>
      </c>
      <c r="H55" s="5">
        <v>3405</v>
      </c>
      <c r="I55" s="16">
        <f t="shared" si="13"/>
        <v>952</v>
      </c>
      <c r="J55" s="13">
        <v>24529</v>
      </c>
      <c r="K55" s="6">
        <f t="shared" si="30"/>
        <v>552</v>
      </c>
      <c r="L55" s="5">
        <v>3474</v>
      </c>
      <c r="M55" s="12">
        <f t="shared" si="24"/>
        <v>75</v>
      </c>
      <c r="N55" s="13">
        <v>21765</v>
      </c>
      <c r="O55" s="6">
        <f t="shared" si="25"/>
        <v>426</v>
      </c>
      <c r="P55" s="5">
        <v>5730</v>
      </c>
      <c r="Q55" s="12">
        <f t="shared" si="28"/>
        <v>135</v>
      </c>
      <c r="R55" s="13">
        <v>41734</v>
      </c>
      <c r="S55" s="6">
        <f t="shared" si="26"/>
        <v>673</v>
      </c>
      <c r="T55" s="5">
        <v>7173</v>
      </c>
      <c r="U55" s="12">
        <f t="shared" si="27"/>
        <v>104</v>
      </c>
      <c r="V55" s="13">
        <v>48639</v>
      </c>
      <c r="W55" s="6">
        <f t="shared" si="15"/>
        <v>0</v>
      </c>
      <c r="X55" s="5">
        <v>28587</v>
      </c>
      <c r="Y55" s="12">
        <f t="shared" si="16"/>
        <v>621</v>
      </c>
      <c r="Z55" s="5">
        <v>79</v>
      </c>
      <c r="AA55" s="16">
        <f t="shared" si="17"/>
        <v>0</v>
      </c>
      <c r="AB55" s="5">
        <v>10044</v>
      </c>
      <c r="AC55" s="16">
        <f t="shared" si="18"/>
        <v>126</v>
      </c>
      <c r="AD55" s="5">
        <v>6754</v>
      </c>
      <c r="AE55" s="16">
        <f t="shared" si="19"/>
        <v>0</v>
      </c>
      <c r="AF55" s="5">
        <v>11429</v>
      </c>
      <c r="AG55" s="16">
        <f t="shared" si="20"/>
        <v>0</v>
      </c>
      <c r="AH55" s="5">
        <v>10238</v>
      </c>
      <c r="AI55" s="16">
        <f t="shared" si="21"/>
        <v>787</v>
      </c>
      <c r="AJ55" s="18">
        <f t="shared" si="22"/>
        <v>5058</v>
      </c>
      <c r="AK55" s="19">
        <f t="shared" si="23"/>
        <v>-851</v>
      </c>
    </row>
    <row r="56" spans="2:37" ht="21" hidden="1" x14ac:dyDescent="0.3">
      <c r="B56" s="9" t="s">
        <v>66</v>
      </c>
      <c r="C56" s="34">
        <v>45888</v>
      </c>
      <c r="D56" s="5">
        <v>147688</v>
      </c>
      <c r="E56" s="16">
        <f t="shared" si="29"/>
        <v>3595</v>
      </c>
      <c r="F56" s="5">
        <v>23182</v>
      </c>
      <c r="G56" s="16">
        <f t="shared" si="12"/>
        <v>1773</v>
      </c>
      <c r="H56" s="5">
        <v>4357</v>
      </c>
      <c r="I56" s="16">
        <f t="shared" si="13"/>
        <v>834</v>
      </c>
      <c r="J56" s="13">
        <v>25081</v>
      </c>
      <c r="K56" s="6">
        <f t="shared" si="30"/>
        <v>580</v>
      </c>
      <c r="L56" s="5">
        <v>3549</v>
      </c>
      <c r="M56" s="12">
        <f t="shared" si="24"/>
        <v>121</v>
      </c>
      <c r="N56" s="13">
        <v>22191</v>
      </c>
      <c r="O56" s="6">
        <f t="shared" si="25"/>
        <v>464</v>
      </c>
      <c r="P56" s="5">
        <v>5865</v>
      </c>
      <c r="Q56" s="12">
        <f t="shared" si="28"/>
        <v>160</v>
      </c>
      <c r="R56" s="13">
        <v>42407</v>
      </c>
      <c r="S56" s="6">
        <f t="shared" si="26"/>
        <v>702</v>
      </c>
      <c r="T56" s="5">
        <v>7277</v>
      </c>
      <c r="U56" s="12">
        <f t="shared" si="27"/>
        <v>187</v>
      </c>
      <c r="V56" s="13">
        <v>48639</v>
      </c>
      <c r="W56" s="6">
        <f t="shared" si="15"/>
        <v>0</v>
      </c>
      <c r="X56" s="5">
        <v>29208</v>
      </c>
      <c r="Y56" s="12">
        <f t="shared" si="16"/>
        <v>604</v>
      </c>
      <c r="Z56" s="5">
        <v>79</v>
      </c>
      <c r="AA56" s="16">
        <f t="shared" si="17"/>
        <v>0</v>
      </c>
      <c r="AB56" s="5">
        <v>10170</v>
      </c>
      <c r="AC56" s="16">
        <f t="shared" si="18"/>
        <v>134</v>
      </c>
      <c r="AD56" s="5">
        <v>6754</v>
      </c>
      <c r="AE56" s="16">
        <f t="shared" si="19"/>
        <v>1</v>
      </c>
      <c r="AF56" s="5">
        <v>11429</v>
      </c>
      <c r="AG56" s="16">
        <f t="shared" si="20"/>
        <v>0</v>
      </c>
      <c r="AH56" s="5">
        <v>11025</v>
      </c>
      <c r="AI56" s="16">
        <f t="shared" si="21"/>
        <v>783</v>
      </c>
      <c r="AJ56" s="18">
        <f t="shared" si="22"/>
        <v>5509</v>
      </c>
      <c r="AK56" s="19">
        <f t="shared" si="23"/>
        <v>-1080</v>
      </c>
    </row>
    <row r="57" spans="2:37" ht="21" hidden="1" x14ac:dyDescent="0.3">
      <c r="B57" s="9" t="s">
        <v>67</v>
      </c>
      <c r="C57" s="34">
        <v>45889</v>
      </c>
      <c r="D57" s="5">
        <v>151283</v>
      </c>
      <c r="E57" s="16">
        <f t="shared" si="29"/>
        <v>3002</v>
      </c>
      <c r="F57" s="5">
        <v>24955</v>
      </c>
      <c r="G57" s="16">
        <f t="shared" si="12"/>
        <v>1771</v>
      </c>
      <c r="H57" s="5">
        <v>5191</v>
      </c>
      <c r="I57" s="16">
        <f t="shared" si="13"/>
        <v>0</v>
      </c>
      <c r="J57" s="13">
        <v>25661</v>
      </c>
      <c r="K57" s="6">
        <f t="shared" si="30"/>
        <v>601</v>
      </c>
      <c r="L57" s="5">
        <v>3670</v>
      </c>
      <c r="M57" s="12">
        <f t="shared" si="24"/>
        <v>121</v>
      </c>
      <c r="N57" s="13">
        <v>22655</v>
      </c>
      <c r="O57" s="6">
        <f t="shared" si="25"/>
        <v>409</v>
      </c>
      <c r="P57" s="5">
        <v>6025</v>
      </c>
      <c r="Q57" s="12">
        <f t="shared" si="28"/>
        <v>142</v>
      </c>
      <c r="R57" s="13">
        <v>43109</v>
      </c>
      <c r="S57" s="6">
        <f t="shared" si="26"/>
        <v>688</v>
      </c>
      <c r="T57" s="5">
        <v>7464</v>
      </c>
      <c r="U57" s="12">
        <f t="shared" si="27"/>
        <v>179</v>
      </c>
      <c r="V57" s="13">
        <v>48639</v>
      </c>
      <c r="W57" s="6">
        <f t="shared" si="15"/>
        <v>0</v>
      </c>
      <c r="X57" s="5">
        <v>29812</v>
      </c>
      <c r="Y57" s="12">
        <f t="shared" si="16"/>
        <v>582</v>
      </c>
      <c r="Z57" s="5">
        <v>79</v>
      </c>
      <c r="AA57" s="16">
        <f t="shared" si="17"/>
        <v>0</v>
      </c>
      <c r="AB57" s="5">
        <v>10304</v>
      </c>
      <c r="AC57" s="16">
        <f t="shared" si="18"/>
        <v>114</v>
      </c>
      <c r="AD57" s="5">
        <v>6755</v>
      </c>
      <c r="AE57" s="16">
        <f t="shared" si="19"/>
        <v>0</v>
      </c>
      <c r="AF57" s="5">
        <v>11429</v>
      </c>
      <c r="AG57" s="16">
        <f t="shared" si="20"/>
        <v>0</v>
      </c>
      <c r="AH57" s="5">
        <v>11808</v>
      </c>
      <c r="AI57" s="16">
        <f t="shared" si="21"/>
        <v>751</v>
      </c>
      <c r="AJ57" s="18">
        <f t="shared" si="22"/>
        <v>5358</v>
      </c>
      <c r="AK57" s="19">
        <f t="shared" si="23"/>
        <v>-2356</v>
      </c>
    </row>
    <row r="58" spans="2:37" ht="21" hidden="1" x14ac:dyDescent="0.3">
      <c r="B58" s="9" t="s">
        <v>68</v>
      </c>
      <c r="C58" s="34">
        <v>45890</v>
      </c>
      <c r="D58" s="5">
        <v>154285</v>
      </c>
      <c r="E58" s="16">
        <f t="shared" si="29"/>
        <v>4270</v>
      </c>
      <c r="F58" s="5">
        <v>26726</v>
      </c>
      <c r="G58" s="16">
        <f t="shared" si="12"/>
        <v>1701</v>
      </c>
      <c r="H58" s="5">
        <v>5191</v>
      </c>
      <c r="I58" s="16">
        <f t="shared" si="13"/>
        <v>224</v>
      </c>
      <c r="J58" s="13">
        <v>26262</v>
      </c>
      <c r="K58" s="6">
        <f t="shared" si="30"/>
        <v>664</v>
      </c>
      <c r="L58" s="5">
        <v>3791</v>
      </c>
      <c r="M58" s="12">
        <f t="shared" si="24"/>
        <v>146</v>
      </c>
      <c r="N58" s="13">
        <v>23064</v>
      </c>
      <c r="O58" s="6">
        <f t="shared" si="25"/>
        <v>463</v>
      </c>
      <c r="P58" s="5">
        <v>6167</v>
      </c>
      <c r="Q58" s="12">
        <f t="shared" si="28"/>
        <v>172</v>
      </c>
      <c r="R58" s="13">
        <v>43797</v>
      </c>
      <c r="S58" s="6">
        <f t="shared" si="26"/>
        <v>738</v>
      </c>
      <c r="T58" s="5">
        <v>7643</v>
      </c>
      <c r="U58" s="12">
        <f t="shared" si="27"/>
        <v>202</v>
      </c>
      <c r="V58" s="13">
        <v>48639</v>
      </c>
      <c r="W58" s="6">
        <f t="shared" si="15"/>
        <v>0</v>
      </c>
      <c r="X58" s="5">
        <v>30394</v>
      </c>
      <c r="Y58" s="12">
        <f t="shared" si="16"/>
        <v>667</v>
      </c>
      <c r="Z58" s="5">
        <v>79</v>
      </c>
      <c r="AA58" s="16">
        <f t="shared" si="17"/>
        <v>0</v>
      </c>
      <c r="AB58" s="5">
        <v>10418</v>
      </c>
      <c r="AC58" s="16">
        <f t="shared" si="18"/>
        <v>171</v>
      </c>
      <c r="AD58" s="5">
        <v>6755</v>
      </c>
      <c r="AE58" s="16">
        <f t="shared" si="19"/>
        <v>0</v>
      </c>
      <c r="AF58" s="5">
        <v>11429</v>
      </c>
      <c r="AG58" s="16">
        <f t="shared" si="20"/>
        <v>0</v>
      </c>
      <c r="AH58" s="5">
        <v>12559</v>
      </c>
      <c r="AI58" s="16">
        <f t="shared" si="21"/>
        <v>784</v>
      </c>
      <c r="AJ58" s="18">
        <f t="shared" si="22"/>
        <v>5708</v>
      </c>
      <c r="AK58" s="19">
        <f t="shared" si="23"/>
        <v>-1214</v>
      </c>
    </row>
    <row r="59" spans="2:37" ht="21" hidden="1" x14ac:dyDescent="0.3">
      <c r="B59" s="9" t="s">
        <v>69</v>
      </c>
      <c r="C59" s="34">
        <v>45891</v>
      </c>
      <c r="D59" s="5">
        <v>158555</v>
      </c>
      <c r="E59" s="16">
        <f t="shared" si="29"/>
        <v>2950</v>
      </c>
      <c r="F59" s="5">
        <v>28427</v>
      </c>
      <c r="G59" s="16">
        <f t="shared" si="12"/>
        <v>1660</v>
      </c>
      <c r="H59" s="5">
        <v>5415</v>
      </c>
      <c r="I59" s="16">
        <f t="shared" si="13"/>
        <v>3225</v>
      </c>
      <c r="J59" s="13">
        <v>26926</v>
      </c>
      <c r="K59" s="6">
        <f t="shared" si="30"/>
        <v>656</v>
      </c>
      <c r="L59" s="5">
        <v>3937</v>
      </c>
      <c r="M59" s="12">
        <f t="shared" si="24"/>
        <v>164</v>
      </c>
      <c r="N59" s="13">
        <v>23527</v>
      </c>
      <c r="O59" s="6">
        <f t="shared" si="25"/>
        <v>474</v>
      </c>
      <c r="P59" s="5">
        <v>6339</v>
      </c>
      <c r="Q59" s="12">
        <f t="shared" si="28"/>
        <v>182</v>
      </c>
      <c r="R59" s="13">
        <v>44535</v>
      </c>
      <c r="S59" s="6">
        <f t="shared" si="26"/>
        <v>719</v>
      </c>
      <c r="T59" s="5">
        <v>7845</v>
      </c>
      <c r="U59" s="12">
        <f t="shared" si="27"/>
        <v>211</v>
      </c>
      <c r="V59" s="13">
        <v>48639</v>
      </c>
      <c r="W59" s="6">
        <f t="shared" si="15"/>
        <v>0</v>
      </c>
      <c r="X59" s="5">
        <v>31061</v>
      </c>
      <c r="Y59" s="12">
        <f t="shared" si="16"/>
        <v>681</v>
      </c>
      <c r="Z59" s="5">
        <v>79</v>
      </c>
      <c r="AA59" s="16">
        <f t="shared" si="17"/>
        <v>0</v>
      </c>
      <c r="AB59" s="5">
        <v>10589</v>
      </c>
      <c r="AC59" s="16">
        <f t="shared" si="18"/>
        <v>162</v>
      </c>
      <c r="AD59" s="5">
        <v>6755</v>
      </c>
      <c r="AE59" s="16">
        <f t="shared" si="19"/>
        <v>0</v>
      </c>
      <c r="AF59" s="5">
        <v>11429</v>
      </c>
      <c r="AG59" s="16">
        <f t="shared" si="20"/>
        <v>0</v>
      </c>
      <c r="AH59" s="5">
        <v>13343</v>
      </c>
      <c r="AI59" s="16">
        <f t="shared" si="21"/>
        <v>834</v>
      </c>
      <c r="AJ59" s="18">
        <f t="shared" si="22"/>
        <v>5743</v>
      </c>
      <c r="AK59" s="19">
        <f t="shared" si="23"/>
        <v>432</v>
      </c>
    </row>
    <row r="60" spans="2:37" ht="21" hidden="1" x14ac:dyDescent="0.3">
      <c r="B60" s="9" t="s">
        <v>70</v>
      </c>
      <c r="C60" s="34">
        <v>45892</v>
      </c>
      <c r="D60" s="5">
        <v>161505</v>
      </c>
      <c r="E60" s="16">
        <f t="shared" si="29"/>
        <v>3169</v>
      </c>
      <c r="F60" s="5">
        <v>30087</v>
      </c>
      <c r="G60" s="16">
        <f t="shared" si="12"/>
        <v>1696</v>
      </c>
      <c r="H60" s="5">
        <v>8640</v>
      </c>
      <c r="I60" s="16">
        <f t="shared" si="13"/>
        <v>2972</v>
      </c>
      <c r="J60" s="13">
        <v>27582</v>
      </c>
      <c r="K60" s="6">
        <f t="shared" si="30"/>
        <v>633</v>
      </c>
      <c r="L60" s="5">
        <v>4101</v>
      </c>
      <c r="M60" s="12">
        <f t="shared" si="24"/>
        <v>144</v>
      </c>
      <c r="N60" s="13">
        <v>24001</v>
      </c>
      <c r="O60" s="6">
        <f t="shared" si="25"/>
        <v>424</v>
      </c>
      <c r="P60" s="5">
        <v>6521</v>
      </c>
      <c r="Q60" s="12">
        <f t="shared" si="28"/>
        <v>146</v>
      </c>
      <c r="R60" s="13">
        <v>45254</v>
      </c>
      <c r="S60" s="6">
        <f t="shared" si="26"/>
        <v>699</v>
      </c>
      <c r="T60" s="5">
        <v>8056</v>
      </c>
      <c r="U60" s="12">
        <f t="shared" si="27"/>
        <v>204</v>
      </c>
      <c r="V60" s="13">
        <v>48639</v>
      </c>
      <c r="W60" s="6">
        <f t="shared" si="15"/>
        <v>0</v>
      </c>
      <c r="X60" s="5">
        <v>31742</v>
      </c>
      <c r="Y60" s="12">
        <f t="shared" si="16"/>
        <v>751</v>
      </c>
      <c r="Z60" s="5">
        <v>79</v>
      </c>
      <c r="AA60" s="16">
        <f t="shared" si="17"/>
        <v>0</v>
      </c>
      <c r="AB60" s="5">
        <v>10751</v>
      </c>
      <c r="AC60" s="16">
        <f t="shared" si="18"/>
        <v>147</v>
      </c>
      <c r="AD60" s="5">
        <v>6755</v>
      </c>
      <c r="AE60" s="16">
        <f t="shared" si="19"/>
        <v>0</v>
      </c>
      <c r="AF60" s="5">
        <v>11429</v>
      </c>
      <c r="AG60" s="16">
        <f t="shared" si="20"/>
        <v>0</v>
      </c>
      <c r="AH60" s="5">
        <v>14177</v>
      </c>
      <c r="AI60" s="16">
        <f t="shared" si="21"/>
        <v>864</v>
      </c>
      <c r="AJ60" s="18">
        <f t="shared" si="22"/>
        <v>5708</v>
      </c>
      <c r="AK60" s="19">
        <f t="shared" si="23"/>
        <v>433</v>
      </c>
    </row>
    <row r="61" spans="2:37" ht="21" hidden="1" x14ac:dyDescent="0.3">
      <c r="B61" s="9" t="s">
        <v>71</v>
      </c>
      <c r="C61" s="34">
        <v>45893</v>
      </c>
      <c r="D61" s="5">
        <v>164674</v>
      </c>
      <c r="E61" s="16">
        <f t="shared" si="29"/>
        <v>274</v>
      </c>
      <c r="F61" s="5">
        <v>31783</v>
      </c>
      <c r="G61" s="16">
        <f t="shared" si="12"/>
        <v>51</v>
      </c>
      <c r="H61" s="5">
        <v>11612</v>
      </c>
      <c r="I61" s="16">
        <f t="shared" si="13"/>
        <v>1322</v>
      </c>
      <c r="J61" s="13">
        <v>28215</v>
      </c>
      <c r="K61" s="6">
        <f t="shared" si="30"/>
        <v>6</v>
      </c>
      <c r="L61" s="5">
        <v>4245</v>
      </c>
      <c r="M61" s="12">
        <f t="shared" si="24"/>
        <v>25</v>
      </c>
      <c r="N61" s="13">
        <v>24425</v>
      </c>
      <c r="O61" s="6">
        <f t="shared" si="25"/>
        <v>27</v>
      </c>
      <c r="P61" s="5">
        <v>6667</v>
      </c>
      <c r="Q61" s="12">
        <f t="shared" si="28"/>
        <v>28</v>
      </c>
      <c r="R61" s="13">
        <v>45953</v>
      </c>
      <c r="S61" s="6">
        <f t="shared" si="26"/>
        <v>32</v>
      </c>
      <c r="T61" s="5">
        <v>8260</v>
      </c>
      <c r="U61" s="12">
        <f t="shared" si="27"/>
        <v>14</v>
      </c>
      <c r="V61" s="13">
        <v>48639</v>
      </c>
      <c r="W61" s="6">
        <f t="shared" si="15"/>
        <v>0</v>
      </c>
      <c r="X61" s="5">
        <v>32493</v>
      </c>
      <c r="Y61" s="12">
        <f t="shared" si="16"/>
        <v>60</v>
      </c>
      <c r="Z61" s="5">
        <v>79</v>
      </c>
      <c r="AA61" s="16">
        <f t="shared" si="17"/>
        <v>0</v>
      </c>
      <c r="AB61" s="5">
        <v>10898</v>
      </c>
      <c r="AC61" s="16">
        <f t="shared" si="18"/>
        <v>134</v>
      </c>
      <c r="AD61" s="5">
        <v>6755</v>
      </c>
      <c r="AE61" s="16">
        <f t="shared" si="19"/>
        <v>0</v>
      </c>
      <c r="AF61" s="5">
        <v>11429</v>
      </c>
      <c r="AG61" s="16">
        <f t="shared" si="20"/>
        <v>0</v>
      </c>
      <c r="AH61" s="5">
        <v>15041</v>
      </c>
      <c r="AI61" s="16">
        <f t="shared" si="21"/>
        <v>51</v>
      </c>
      <c r="AJ61" s="18">
        <f t="shared" si="22"/>
        <v>428</v>
      </c>
      <c r="AK61" s="19">
        <f t="shared" si="23"/>
        <v>1168</v>
      </c>
    </row>
    <row r="62" spans="2:37" ht="21" hidden="1" x14ac:dyDescent="0.3">
      <c r="B62" s="9" t="s">
        <v>72</v>
      </c>
      <c r="C62" s="34">
        <v>45894</v>
      </c>
      <c r="D62" s="5">
        <v>164948</v>
      </c>
      <c r="E62" s="16">
        <f t="shared" si="29"/>
        <v>4533</v>
      </c>
      <c r="F62" s="5">
        <v>31834</v>
      </c>
      <c r="G62" s="16">
        <f t="shared" si="12"/>
        <v>1675</v>
      </c>
      <c r="H62" s="5">
        <v>12934</v>
      </c>
      <c r="I62" s="16">
        <f t="shared" si="13"/>
        <v>1069</v>
      </c>
      <c r="J62" s="13">
        <v>28221</v>
      </c>
      <c r="K62" s="6">
        <f t="shared" si="30"/>
        <v>619</v>
      </c>
      <c r="L62" s="5">
        <v>4270</v>
      </c>
      <c r="M62" s="12">
        <f t="shared" si="24"/>
        <v>137</v>
      </c>
      <c r="N62" s="13">
        <v>24452</v>
      </c>
      <c r="O62" s="6">
        <f t="shared" si="25"/>
        <v>426</v>
      </c>
      <c r="P62" s="5">
        <v>6695</v>
      </c>
      <c r="Q62" s="12">
        <f t="shared" si="28"/>
        <v>164</v>
      </c>
      <c r="R62" s="13">
        <v>45985</v>
      </c>
      <c r="S62" s="6">
        <f t="shared" si="26"/>
        <v>676</v>
      </c>
      <c r="T62" s="5">
        <v>8274</v>
      </c>
      <c r="U62" s="12">
        <f t="shared" si="27"/>
        <v>164</v>
      </c>
      <c r="V62" s="13">
        <v>48639</v>
      </c>
      <c r="W62" s="6">
        <f t="shared" si="15"/>
        <v>0</v>
      </c>
      <c r="X62" s="5">
        <v>32553</v>
      </c>
      <c r="Y62" s="12">
        <f t="shared" si="16"/>
        <v>549</v>
      </c>
      <c r="Z62" s="5">
        <v>79</v>
      </c>
      <c r="AA62" s="16">
        <f t="shared" si="17"/>
        <v>0</v>
      </c>
      <c r="AB62" s="5">
        <v>11032</v>
      </c>
      <c r="AC62" s="16">
        <f t="shared" si="18"/>
        <v>105</v>
      </c>
      <c r="AD62" s="5">
        <v>6755</v>
      </c>
      <c r="AE62" s="16">
        <f t="shared" si="19"/>
        <v>0</v>
      </c>
      <c r="AF62" s="5">
        <v>11429</v>
      </c>
      <c r="AG62" s="16">
        <f t="shared" si="20"/>
        <v>0</v>
      </c>
      <c r="AH62" s="5">
        <v>15092</v>
      </c>
      <c r="AI62" s="16">
        <f t="shared" si="21"/>
        <v>874</v>
      </c>
      <c r="AJ62" s="18">
        <f t="shared" si="22"/>
        <v>5389</v>
      </c>
      <c r="AK62" s="19">
        <f t="shared" si="23"/>
        <v>213</v>
      </c>
    </row>
    <row r="63" spans="2:37" ht="21" hidden="1" x14ac:dyDescent="0.3">
      <c r="B63" s="9" t="s">
        <v>66</v>
      </c>
      <c r="C63" s="34">
        <v>45895</v>
      </c>
      <c r="D63" s="5">
        <v>169481</v>
      </c>
      <c r="E63" s="16">
        <f t="shared" si="29"/>
        <v>4045</v>
      </c>
      <c r="F63" s="5">
        <v>33509</v>
      </c>
      <c r="G63" s="16">
        <f t="shared" si="12"/>
        <v>1844</v>
      </c>
      <c r="H63" s="5">
        <v>14003</v>
      </c>
      <c r="I63" s="16">
        <f t="shared" si="13"/>
        <v>1829</v>
      </c>
      <c r="J63" s="13">
        <v>28840</v>
      </c>
      <c r="K63" s="6">
        <f t="shared" si="30"/>
        <v>689</v>
      </c>
      <c r="L63" s="5">
        <v>4407</v>
      </c>
      <c r="M63" s="12">
        <f t="shared" si="24"/>
        <v>137</v>
      </c>
      <c r="N63" s="13">
        <v>24878</v>
      </c>
      <c r="O63" s="6">
        <f t="shared" si="25"/>
        <v>455</v>
      </c>
      <c r="P63" s="5">
        <v>6859</v>
      </c>
      <c r="Q63" s="12">
        <f t="shared" si="28"/>
        <v>145</v>
      </c>
      <c r="R63" s="13">
        <v>46661</v>
      </c>
      <c r="S63" s="6">
        <f t="shared" si="26"/>
        <v>709</v>
      </c>
      <c r="T63" s="5">
        <v>8438</v>
      </c>
      <c r="U63" s="12">
        <f t="shared" si="27"/>
        <v>169</v>
      </c>
      <c r="V63" s="13">
        <v>48639</v>
      </c>
      <c r="W63" s="6">
        <f t="shared" si="15"/>
        <v>0</v>
      </c>
      <c r="X63" s="5">
        <v>33102</v>
      </c>
      <c r="Y63" s="12">
        <f t="shared" si="16"/>
        <v>566</v>
      </c>
      <c r="Z63" s="5">
        <v>79</v>
      </c>
      <c r="AA63" s="16">
        <f t="shared" si="17"/>
        <v>0</v>
      </c>
      <c r="AB63" s="5">
        <v>11137</v>
      </c>
      <c r="AC63" s="16">
        <f t="shared" si="18"/>
        <v>119</v>
      </c>
      <c r="AD63" s="5">
        <v>6755</v>
      </c>
      <c r="AE63" s="16">
        <f t="shared" si="19"/>
        <v>0</v>
      </c>
      <c r="AF63" s="5">
        <v>11429</v>
      </c>
      <c r="AG63" s="16">
        <f t="shared" si="20"/>
        <v>0</v>
      </c>
      <c r="AH63" s="5">
        <v>15966</v>
      </c>
      <c r="AI63" s="16">
        <f t="shared" si="21"/>
        <v>845</v>
      </c>
      <c r="AJ63" s="18">
        <f t="shared" si="22"/>
        <v>5678</v>
      </c>
      <c r="AK63" s="19">
        <f t="shared" si="23"/>
        <v>196</v>
      </c>
    </row>
    <row r="64" spans="2:37" ht="21" hidden="1" x14ac:dyDescent="0.3">
      <c r="B64" s="9" t="s">
        <v>67</v>
      </c>
      <c r="C64" s="34">
        <v>45896</v>
      </c>
      <c r="D64" s="5">
        <v>173526</v>
      </c>
      <c r="E64" s="16">
        <f t="shared" si="29"/>
        <v>3797</v>
      </c>
      <c r="F64" s="5">
        <v>35353</v>
      </c>
      <c r="G64" s="16">
        <f t="shared" si="12"/>
        <v>1741</v>
      </c>
      <c r="H64" s="5">
        <v>15832</v>
      </c>
      <c r="I64" s="16">
        <f t="shared" si="13"/>
        <v>2384</v>
      </c>
      <c r="J64" s="13">
        <v>29529</v>
      </c>
      <c r="K64" s="6">
        <f t="shared" si="30"/>
        <v>668</v>
      </c>
      <c r="L64" s="5">
        <v>4544</v>
      </c>
      <c r="M64" s="12">
        <f t="shared" si="24"/>
        <v>173</v>
      </c>
      <c r="N64" s="13">
        <v>25333</v>
      </c>
      <c r="O64" s="6">
        <f t="shared" si="25"/>
        <v>440</v>
      </c>
      <c r="P64" s="5">
        <v>7004</v>
      </c>
      <c r="Q64" s="12">
        <f t="shared" si="28"/>
        <v>138</v>
      </c>
      <c r="R64" s="13">
        <v>47370</v>
      </c>
      <c r="S64" s="6">
        <f t="shared" si="26"/>
        <v>707</v>
      </c>
      <c r="T64" s="5">
        <v>8607</v>
      </c>
      <c r="U64" s="12">
        <f t="shared" si="27"/>
        <v>186</v>
      </c>
      <c r="V64" s="13">
        <v>48639</v>
      </c>
      <c r="W64" s="6">
        <f t="shared" si="15"/>
        <v>0</v>
      </c>
      <c r="X64" s="5">
        <v>33668</v>
      </c>
      <c r="Y64" s="12">
        <f t="shared" si="16"/>
        <v>627</v>
      </c>
      <c r="Z64" s="5">
        <v>79</v>
      </c>
      <c r="AA64" s="16">
        <f t="shared" si="17"/>
        <v>0</v>
      </c>
      <c r="AB64" s="5">
        <v>11256</v>
      </c>
      <c r="AC64" s="16">
        <f t="shared" si="18"/>
        <v>149</v>
      </c>
      <c r="AD64" s="5">
        <v>6755</v>
      </c>
      <c r="AE64" s="16">
        <f t="shared" si="19"/>
        <v>0</v>
      </c>
      <c r="AF64" s="5">
        <v>11429</v>
      </c>
      <c r="AG64" s="16">
        <f t="shared" si="20"/>
        <v>0</v>
      </c>
      <c r="AH64" s="5">
        <v>16811</v>
      </c>
      <c r="AI64" s="16">
        <f t="shared" si="21"/>
        <v>890</v>
      </c>
      <c r="AJ64" s="18">
        <f t="shared" si="22"/>
        <v>5719</v>
      </c>
      <c r="AK64" s="19">
        <f t="shared" si="23"/>
        <v>462</v>
      </c>
    </row>
    <row r="65" spans="2:37" ht="21" hidden="1" x14ac:dyDescent="0.3">
      <c r="B65" s="9" t="s">
        <v>68</v>
      </c>
      <c r="C65" s="34">
        <v>45897</v>
      </c>
      <c r="D65" s="5">
        <v>177323</v>
      </c>
      <c r="E65" s="16">
        <f t="shared" si="29"/>
        <v>2871</v>
      </c>
      <c r="F65" s="5">
        <v>37094</v>
      </c>
      <c r="G65" s="16">
        <f t="shared" si="12"/>
        <v>1756</v>
      </c>
      <c r="H65" s="5">
        <v>18216</v>
      </c>
      <c r="I65" s="16">
        <f t="shared" si="13"/>
        <v>3295</v>
      </c>
      <c r="J65" s="13">
        <v>30197</v>
      </c>
      <c r="K65" s="6">
        <f t="shared" si="30"/>
        <v>671</v>
      </c>
      <c r="L65" s="5">
        <v>4717</v>
      </c>
      <c r="M65" s="12">
        <f t="shared" si="24"/>
        <v>161</v>
      </c>
      <c r="N65" s="13">
        <v>25773</v>
      </c>
      <c r="O65" s="6">
        <f t="shared" si="25"/>
        <v>471</v>
      </c>
      <c r="P65" s="5">
        <v>7142</v>
      </c>
      <c r="Q65" s="12">
        <f t="shared" si="28"/>
        <v>130</v>
      </c>
      <c r="R65" s="13">
        <v>48077</v>
      </c>
      <c r="S65" s="6">
        <f t="shared" si="26"/>
        <v>742</v>
      </c>
      <c r="T65" s="5">
        <v>8793</v>
      </c>
      <c r="U65" s="12">
        <f t="shared" si="27"/>
        <v>198</v>
      </c>
      <c r="V65" s="13">
        <v>48639</v>
      </c>
      <c r="W65" s="6">
        <f t="shared" si="15"/>
        <v>0</v>
      </c>
      <c r="X65" s="5">
        <v>34295</v>
      </c>
      <c r="Y65" s="12">
        <f t="shared" si="16"/>
        <v>665</v>
      </c>
      <c r="Z65" s="5">
        <v>79</v>
      </c>
      <c r="AA65" s="16">
        <f t="shared" si="17"/>
        <v>0</v>
      </c>
      <c r="AB65" s="5">
        <v>11405</v>
      </c>
      <c r="AC65" s="16">
        <f t="shared" si="18"/>
        <v>140</v>
      </c>
      <c r="AD65" s="5">
        <v>6755</v>
      </c>
      <c r="AE65" s="16">
        <f t="shared" si="19"/>
        <v>0</v>
      </c>
      <c r="AF65" s="5">
        <v>11429</v>
      </c>
      <c r="AG65" s="16">
        <f t="shared" si="20"/>
        <v>0</v>
      </c>
      <c r="AH65" s="5">
        <v>17701</v>
      </c>
      <c r="AI65" s="16">
        <f t="shared" si="21"/>
        <v>806</v>
      </c>
      <c r="AJ65" s="18">
        <f t="shared" si="22"/>
        <v>5740</v>
      </c>
      <c r="AK65" s="19">
        <f t="shared" si="23"/>
        <v>426</v>
      </c>
    </row>
    <row r="66" spans="2:37" ht="21" hidden="1" x14ac:dyDescent="0.3">
      <c r="B66" s="9" t="s">
        <v>69</v>
      </c>
      <c r="C66" s="34">
        <v>45898</v>
      </c>
      <c r="D66" s="5">
        <v>180194</v>
      </c>
      <c r="E66" s="16">
        <f t="shared" si="29"/>
        <v>3732</v>
      </c>
      <c r="F66" s="5">
        <v>38850</v>
      </c>
      <c r="G66" s="16">
        <f t="shared" si="12"/>
        <v>1700</v>
      </c>
      <c r="H66" s="5">
        <v>21511</v>
      </c>
      <c r="I66" s="16">
        <f t="shared" si="13"/>
        <v>2012</v>
      </c>
      <c r="J66" s="13">
        <v>30868</v>
      </c>
      <c r="K66" s="6">
        <f t="shared" si="30"/>
        <v>645</v>
      </c>
      <c r="L66" s="5">
        <v>4878</v>
      </c>
      <c r="M66" s="12">
        <f t="shared" si="24"/>
        <v>164</v>
      </c>
      <c r="N66" s="13">
        <v>26244</v>
      </c>
      <c r="O66" s="6">
        <f t="shared" si="25"/>
        <v>422</v>
      </c>
      <c r="P66" s="5">
        <v>7272</v>
      </c>
      <c r="Q66" s="12">
        <f t="shared" si="28"/>
        <v>126</v>
      </c>
      <c r="R66" s="13">
        <v>48819</v>
      </c>
      <c r="S66" s="6">
        <f t="shared" si="26"/>
        <v>694</v>
      </c>
      <c r="T66" s="5">
        <v>8991</v>
      </c>
      <c r="U66" s="12">
        <f t="shared" si="27"/>
        <v>181</v>
      </c>
      <c r="V66" s="13">
        <v>48639</v>
      </c>
      <c r="W66" s="6">
        <f t="shared" si="15"/>
        <v>0</v>
      </c>
      <c r="X66" s="5">
        <v>34960</v>
      </c>
      <c r="Y66" s="12">
        <f t="shared" si="16"/>
        <v>636</v>
      </c>
      <c r="Z66" s="5">
        <v>79</v>
      </c>
      <c r="AA66" s="16">
        <f t="shared" si="17"/>
        <v>0</v>
      </c>
      <c r="AB66" s="5">
        <v>11545</v>
      </c>
      <c r="AC66" s="16">
        <f t="shared" si="18"/>
        <v>133</v>
      </c>
      <c r="AD66" s="5">
        <v>6755</v>
      </c>
      <c r="AE66" s="16">
        <f t="shared" si="19"/>
        <v>0</v>
      </c>
      <c r="AF66" s="5">
        <v>11429</v>
      </c>
      <c r="AG66" s="16">
        <f t="shared" si="20"/>
        <v>0</v>
      </c>
      <c r="AH66" s="5">
        <v>18507</v>
      </c>
      <c r="AI66" s="16">
        <f t="shared" si="21"/>
        <v>714</v>
      </c>
      <c r="AJ66" s="18">
        <f t="shared" si="22"/>
        <v>5415</v>
      </c>
      <c r="AK66" s="19">
        <f t="shared" si="23"/>
        <v>329</v>
      </c>
    </row>
    <row r="67" spans="2:37" ht="21" hidden="1" x14ac:dyDescent="0.3">
      <c r="B67" s="9" t="s">
        <v>70</v>
      </c>
      <c r="C67" s="34">
        <v>45899</v>
      </c>
      <c r="D67" s="5">
        <v>183926</v>
      </c>
      <c r="E67" s="16">
        <f t="shared" si="29"/>
        <v>4537</v>
      </c>
      <c r="F67" s="5">
        <v>40550</v>
      </c>
      <c r="G67" s="16">
        <f t="shared" si="12"/>
        <v>1028</v>
      </c>
      <c r="H67" s="5">
        <v>23523</v>
      </c>
      <c r="I67" s="16">
        <f t="shared" si="13"/>
        <v>367</v>
      </c>
      <c r="J67" s="13">
        <v>31513</v>
      </c>
      <c r="K67" s="6">
        <f t="shared" si="30"/>
        <v>872</v>
      </c>
      <c r="L67" s="5">
        <v>5042</v>
      </c>
      <c r="M67" s="12">
        <f t="shared" si="24"/>
        <v>137</v>
      </c>
      <c r="N67" s="13">
        <v>26666</v>
      </c>
      <c r="O67" s="6">
        <f t="shared" ref="O67:Q68" si="31">IF(N68&lt;&gt;"",N68-N67,"")</f>
        <v>446</v>
      </c>
      <c r="P67" s="5">
        <v>7398</v>
      </c>
      <c r="Q67" s="12">
        <f t="shared" si="31"/>
        <v>117</v>
      </c>
      <c r="R67" s="13">
        <v>49513</v>
      </c>
      <c r="S67" s="6">
        <f t="shared" si="26"/>
        <v>646</v>
      </c>
      <c r="T67" s="5">
        <v>9172</v>
      </c>
      <c r="U67" s="12">
        <f t="shared" si="27"/>
        <v>154</v>
      </c>
      <c r="V67" s="13">
        <v>48639</v>
      </c>
      <c r="W67" s="6">
        <f t="shared" si="15"/>
        <v>0</v>
      </c>
      <c r="X67" s="5">
        <v>35596</v>
      </c>
      <c r="Y67" s="12">
        <f t="shared" si="16"/>
        <v>430</v>
      </c>
      <c r="Z67" s="5">
        <v>79</v>
      </c>
      <c r="AA67" s="16">
        <f t="shared" si="17"/>
        <v>0</v>
      </c>
      <c r="AB67" s="5">
        <v>11678</v>
      </c>
      <c r="AC67" s="16">
        <f t="shared" si="18"/>
        <v>91</v>
      </c>
      <c r="AD67" s="5">
        <v>6755</v>
      </c>
      <c r="AE67" s="16">
        <f t="shared" si="19"/>
        <v>0</v>
      </c>
      <c r="AF67" s="5">
        <v>11429</v>
      </c>
      <c r="AG67" s="16">
        <f t="shared" si="20"/>
        <v>0</v>
      </c>
      <c r="AH67" s="5">
        <v>19221</v>
      </c>
      <c r="AI67" s="16">
        <f t="shared" si="21"/>
        <v>724</v>
      </c>
      <c r="AJ67" s="18">
        <f t="shared" si="22"/>
        <v>4645</v>
      </c>
      <c r="AK67" s="19">
        <f t="shared" si="23"/>
        <v>259</v>
      </c>
    </row>
    <row r="68" spans="2:37" ht="21" hidden="1" x14ac:dyDescent="0.3">
      <c r="B68" s="9" t="s">
        <v>71</v>
      </c>
      <c r="C68" s="34">
        <v>45900</v>
      </c>
      <c r="D68" s="5">
        <v>188463</v>
      </c>
      <c r="E68" s="16">
        <f t="shared" si="29"/>
        <v>263</v>
      </c>
      <c r="F68" s="5">
        <v>41578</v>
      </c>
      <c r="G68" s="16">
        <f t="shared" si="12"/>
        <v>19</v>
      </c>
      <c r="H68" s="5">
        <v>23890</v>
      </c>
      <c r="I68" s="16">
        <f t="shared" si="13"/>
        <v>940</v>
      </c>
      <c r="J68" s="13">
        <v>32385</v>
      </c>
      <c r="K68" s="6">
        <f>IF(J69&lt;&gt;"",J69-J68,"")</f>
        <v>306</v>
      </c>
      <c r="L68" s="5">
        <v>5179</v>
      </c>
      <c r="M68" s="12">
        <f t="shared" si="24"/>
        <v>81</v>
      </c>
      <c r="N68" s="13">
        <v>27112</v>
      </c>
      <c r="O68" s="6">
        <f t="shared" si="31"/>
        <v>38</v>
      </c>
      <c r="P68" s="5">
        <v>7515</v>
      </c>
      <c r="Q68" s="12">
        <f t="shared" si="31"/>
        <v>16</v>
      </c>
      <c r="R68" s="13">
        <v>50159</v>
      </c>
      <c r="S68" s="6">
        <f t="shared" si="26"/>
        <v>38</v>
      </c>
      <c r="T68" s="5">
        <v>9326</v>
      </c>
      <c r="U68" s="12">
        <f t="shared" si="27"/>
        <v>16</v>
      </c>
      <c r="V68" s="13">
        <v>48639</v>
      </c>
      <c r="W68" s="6">
        <f t="shared" si="15"/>
        <v>0</v>
      </c>
      <c r="X68" s="5">
        <v>36026</v>
      </c>
      <c r="Y68" s="12">
        <f t="shared" si="16"/>
        <v>23</v>
      </c>
      <c r="Z68" s="5">
        <v>79</v>
      </c>
      <c r="AA68" s="16">
        <f t="shared" si="17"/>
        <v>0</v>
      </c>
      <c r="AB68" s="5">
        <v>11769</v>
      </c>
      <c r="AC68" s="16">
        <f t="shared" si="18"/>
        <v>89</v>
      </c>
      <c r="AD68" s="5">
        <v>6755</v>
      </c>
      <c r="AE68" s="16">
        <f t="shared" si="19"/>
        <v>0</v>
      </c>
      <c r="AF68" s="5">
        <v>11429</v>
      </c>
      <c r="AG68" s="16">
        <f t="shared" si="20"/>
        <v>0</v>
      </c>
      <c r="AH68" s="5">
        <v>19945</v>
      </c>
      <c r="AI68" s="16">
        <f t="shared" si="21"/>
        <v>37</v>
      </c>
      <c r="AJ68" s="18">
        <f t="shared" si="22"/>
        <v>663</v>
      </c>
      <c r="AK68" s="19">
        <f t="shared" si="23"/>
        <v>540</v>
      </c>
    </row>
    <row r="69" spans="2:37" ht="21" hidden="1" x14ac:dyDescent="0.3">
      <c r="B69" s="9" t="s">
        <v>72</v>
      </c>
      <c r="C69" s="34">
        <v>45901</v>
      </c>
      <c r="D69" s="5">
        <v>188726</v>
      </c>
      <c r="E69" s="16"/>
      <c r="F69" s="5">
        <v>41597</v>
      </c>
      <c r="G69" s="16"/>
      <c r="H69" s="5">
        <v>24830</v>
      </c>
      <c r="I69" s="16"/>
      <c r="J69" s="13">
        <v>32691</v>
      </c>
      <c r="K69" s="6"/>
      <c r="L69" s="5">
        <v>5260</v>
      </c>
      <c r="M69" s="12"/>
      <c r="N69" s="13">
        <v>27150</v>
      </c>
      <c r="O69" s="6"/>
      <c r="P69" s="5">
        <v>7531</v>
      </c>
      <c r="Q69" s="12"/>
      <c r="R69" s="13">
        <v>50197</v>
      </c>
      <c r="S69" s="6"/>
      <c r="T69" s="5">
        <v>9342</v>
      </c>
      <c r="U69" s="12"/>
      <c r="V69" s="13">
        <v>48639</v>
      </c>
      <c r="W69" s="6"/>
      <c r="X69" s="5">
        <v>36049</v>
      </c>
      <c r="Y69" s="12"/>
      <c r="Z69" s="5">
        <v>79</v>
      </c>
      <c r="AA69" s="16"/>
      <c r="AB69" s="5">
        <v>11858</v>
      </c>
      <c r="AC69" s="16"/>
      <c r="AD69" s="5">
        <v>6755</v>
      </c>
      <c r="AE69" s="16"/>
      <c r="AF69" s="5">
        <v>11429</v>
      </c>
      <c r="AG69" s="16"/>
      <c r="AH69" s="5">
        <v>19982</v>
      </c>
      <c r="AI69" s="16"/>
      <c r="AJ69" s="18">
        <f t="shared" si="22"/>
        <v>0</v>
      </c>
      <c r="AK69" s="19">
        <f t="shared" si="23"/>
        <v>0</v>
      </c>
    </row>
    <row r="70" spans="2:37" ht="23.4" hidden="1" customHeight="1" x14ac:dyDescent="0.3">
      <c r="B70" s="152" t="s">
        <v>73</v>
      </c>
      <c r="C70" s="153"/>
      <c r="D70" s="8"/>
      <c r="E70" s="11">
        <f>SUM(E38:E68)</f>
        <v>80545</v>
      </c>
      <c r="F70" s="8"/>
      <c r="G70" s="11">
        <f>SUM(G38:G68)</f>
        <v>36717</v>
      </c>
      <c r="H70" s="8"/>
      <c r="I70" s="11">
        <f>SUM(I38:I68)</f>
        <v>24751</v>
      </c>
      <c r="J70" s="8"/>
      <c r="K70" s="11">
        <f>SUM(K38:K68)</f>
        <v>15468</v>
      </c>
      <c r="L70" s="8"/>
      <c r="M70" s="11">
        <f>SUM(M38:M68)</f>
        <v>2615</v>
      </c>
      <c r="N70" s="8"/>
      <c r="O70" s="11">
        <f>SUM(O38:O68)</f>
        <v>27150</v>
      </c>
      <c r="P70" s="8"/>
      <c r="Q70" s="11">
        <f>SUM(Q38:Q68)</f>
        <v>7531</v>
      </c>
      <c r="R70" s="8"/>
      <c r="S70" s="11">
        <f>SUM(S38:S68)</f>
        <v>18155</v>
      </c>
      <c r="T70" s="8"/>
      <c r="U70" s="11">
        <f>SUM(U38:U68)</f>
        <v>9342</v>
      </c>
      <c r="V70" s="8"/>
      <c r="W70" s="11">
        <f>SUM(W38:W68)</f>
        <v>147</v>
      </c>
      <c r="X70" s="8"/>
      <c r="Y70" s="11">
        <f>SUM(Y38:Y68)</f>
        <v>21726</v>
      </c>
      <c r="Z70" s="8"/>
      <c r="AA70" s="11">
        <f>SUM(AA38:AA68)</f>
        <v>1</v>
      </c>
      <c r="AB70" s="8"/>
      <c r="AC70" s="11">
        <f>SUM(AC38:AC68)</f>
        <v>5008</v>
      </c>
      <c r="AD70" s="8"/>
      <c r="AE70" s="11">
        <f>SUM(AE38:AE68)</f>
        <v>1</v>
      </c>
      <c r="AF70" s="8"/>
      <c r="AG70" s="11">
        <f>SUM(AG38:AG68)</f>
        <v>0</v>
      </c>
      <c r="AH70" s="8"/>
      <c r="AI70" s="11">
        <f>SUM(AI38:AI68)</f>
        <v>19982</v>
      </c>
      <c r="AJ70" s="18">
        <f t="shared" si="22"/>
        <v>163843</v>
      </c>
      <c r="AK70" s="19">
        <f t="shared" si="23"/>
        <v>-58547</v>
      </c>
    </row>
    <row r="71" spans="2:37" ht="21" hidden="1" x14ac:dyDescent="0.3">
      <c r="B71" s="9" t="s">
        <v>72</v>
      </c>
      <c r="C71" s="34">
        <v>45901</v>
      </c>
      <c r="D71" s="5">
        <v>188726</v>
      </c>
      <c r="E71" s="16">
        <f t="shared" ref="E71:G86" si="32">IF(D72&lt;&gt;"",D72-D71,"")</f>
        <v>3007</v>
      </c>
      <c r="F71" s="5">
        <v>41597</v>
      </c>
      <c r="G71" s="16">
        <f t="shared" si="32"/>
        <v>1118</v>
      </c>
      <c r="H71" s="5">
        <v>24830</v>
      </c>
      <c r="I71" s="16">
        <f t="shared" ref="I71:K101" si="33">IF(H72&lt;&gt;"",H72-H71,"")</f>
        <v>1461</v>
      </c>
      <c r="J71" s="13">
        <v>32691</v>
      </c>
      <c r="K71" s="6">
        <f>IF(J72&lt;&gt;"",J72-J71,"")</f>
        <v>468</v>
      </c>
      <c r="L71" s="5">
        <v>5260</v>
      </c>
      <c r="M71" s="12">
        <f t="shared" ref="M71:M99" si="34">IF(L72&lt;&gt;"",L72-L71,"")</f>
        <v>100</v>
      </c>
      <c r="N71" s="13">
        <v>27150</v>
      </c>
      <c r="O71" s="6">
        <f t="shared" ref="O71:O101" si="35">IF(N72&lt;&gt;"",N72-N71,"")</f>
        <v>425</v>
      </c>
      <c r="P71" s="5">
        <v>7531</v>
      </c>
      <c r="Q71" s="12">
        <f t="shared" ref="Q71:Q101" si="36">IF(P72&lt;&gt;"",P72-P71,"")</f>
        <v>114</v>
      </c>
      <c r="R71" s="13">
        <v>50197</v>
      </c>
      <c r="S71" s="6">
        <f t="shared" ref="S71:S101" si="37">IF(R72&lt;&gt;"",R72-R71,"")</f>
        <v>702</v>
      </c>
      <c r="T71" s="5">
        <v>9342</v>
      </c>
      <c r="U71" s="12">
        <f t="shared" ref="U71:U99" si="38">IF(T72&lt;&gt;"",T72-T71,"")</f>
        <v>147</v>
      </c>
      <c r="V71" s="13">
        <v>48639</v>
      </c>
      <c r="W71" s="6">
        <f t="shared" ref="W71:Y101" si="39">IF(V72&lt;&gt;"",V72-V71,"")</f>
        <v>0</v>
      </c>
      <c r="X71" s="5">
        <v>36049</v>
      </c>
      <c r="Y71" s="6">
        <f t="shared" si="39"/>
        <v>428</v>
      </c>
      <c r="Z71" s="5">
        <v>79</v>
      </c>
      <c r="AA71" s="16">
        <f t="shared" ref="AA71:AA101" si="40">IF(Z72&lt;&gt;"",Z72-Z71,"")</f>
        <v>0</v>
      </c>
      <c r="AB71" s="5">
        <v>11858</v>
      </c>
      <c r="AC71" s="16">
        <f t="shared" ref="AC71:AC101" si="41">IF(AB72&lt;&gt;"",AB72-AB71,"")</f>
        <v>95</v>
      </c>
      <c r="AD71" s="5">
        <v>6755</v>
      </c>
      <c r="AE71" s="16">
        <f t="shared" ref="AE71:AE101" si="42">IF(AD72&lt;&gt;"",AD72-AD71,"")</f>
        <v>0</v>
      </c>
      <c r="AF71" s="5">
        <v>11429</v>
      </c>
      <c r="AG71" s="16">
        <f t="shared" ref="AG71:AG101" si="43">IF(AF72&lt;&gt;"",AF72-AF71,"")</f>
        <v>0</v>
      </c>
      <c r="AH71" s="5">
        <v>19982</v>
      </c>
      <c r="AI71" s="16">
        <f t="shared" ref="AI71:AI101" si="44">IF(AH72&lt;&gt;"",AH72-AH71,"")</f>
        <v>667</v>
      </c>
      <c r="AJ71" s="18">
        <f>SUM(G71,K71,M71,O71,Q71,S71,U71,W71,Y71,AA71,AC71,AE71,AG71,AI71)</f>
        <v>4264</v>
      </c>
      <c r="AK71" s="19">
        <f>(E71+I71)-AJ71</f>
        <v>204</v>
      </c>
    </row>
    <row r="72" spans="2:37" ht="21" hidden="1" x14ac:dyDescent="0.3">
      <c r="B72" s="9" t="s">
        <v>66</v>
      </c>
      <c r="C72" s="34">
        <v>45902</v>
      </c>
      <c r="D72" s="5">
        <v>191733</v>
      </c>
      <c r="E72" s="16">
        <f t="shared" si="32"/>
        <v>0</v>
      </c>
      <c r="F72" s="5">
        <v>42715</v>
      </c>
      <c r="G72" s="16">
        <f t="shared" si="32"/>
        <v>1159</v>
      </c>
      <c r="H72" s="5">
        <v>26291</v>
      </c>
      <c r="I72" s="16">
        <f t="shared" si="33"/>
        <v>1323</v>
      </c>
      <c r="J72" s="13">
        <v>33159</v>
      </c>
      <c r="K72" s="16">
        <f t="shared" si="33"/>
        <v>509</v>
      </c>
      <c r="L72" s="5">
        <v>5360</v>
      </c>
      <c r="M72" s="12">
        <f t="shared" si="34"/>
        <v>111</v>
      </c>
      <c r="N72" s="13">
        <v>27575</v>
      </c>
      <c r="O72" s="6">
        <f t="shared" si="35"/>
        <v>430</v>
      </c>
      <c r="P72" s="5">
        <v>7645</v>
      </c>
      <c r="Q72" s="12">
        <f t="shared" si="36"/>
        <v>111</v>
      </c>
      <c r="R72" s="13">
        <v>50899</v>
      </c>
      <c r="S72" s="6">
        <f t="shared" si="37"/>
        <v>668</v>
      </c>
      <c r="T72" s="5">
        <v>9489</v>
      </c>
      <c r="U72" s="12">
        <f t="shared" si="38"/>
        <v>127</v>
      </c>
      <c r="V72" s="13">
        <v>48639</v>
      </c>
      <c r="W72" s="6">
        <f t="shared" si="39"/>
        <v>0</v>
      </c>
      <c r="X72" s="5">
        <v>36477</v>
      </c>
      <c r="Y72" s="6">
        <f t="shared" si="39"/>
        <v>443</v>
      </c>
      <c r="Z72" s="5">
        <v>79</v>
      </c>
      <c r="AA72" s="16">
        <f t="shared" si="40"/>
        <v>0</v>
      </c>
      <c r="AB72" s="5">
        <v>11953</v>
      </c>
      <c r="AC72" s="16">
        <f t="shared" si="41"/>
        <v>97</v>
      </c>
      <c r="AD72" s="5">
        <v>6755</v>
      </c>
      <c r="AE72" s="16">
        <f t="shared" si="42"/>
        <v>0</v>
      </c>
      <c r="AF72" s="5">
        <v>11429</v>
      </c>
      <c r="AG72" s="16">
        <f t="shared" si="43"/>
        <v>0</v>
      </c>
      <c r="AH72" s="5">
        <v>20649</v>
      </c>
      <c r="AI72" s="16">
        <f t="shared" si="44"/>
        <v>783</v>
      </c>
      <c r="AJ72" s="18">
        <f>SUM(G72,K72,M72,O72,Q72,S72,U72,W72,Y72,AA72,AC72,AE72,AG72,AI72)</f>
        <v>4438</v>
      </c>
      <c r="AK72" s="19">
        <f>(E72+I72)-AJ72</f>
        <v>-3115</v>
      </c>
    </row>
    <row r="73" spans="2:37" ht="21" hidden="1" x14ac:dyDescent="0.3">
      <c r="B73" s="9" t="s">
        <v>67</v>
      </c>
      <c r="C73" s="34">
        <v>45903</v>
      </c>
      <c r="D73" s="5">
        <v>191733</v>
      </c>
      <c r="E73" s="16">
        <f t="shared" si="32"/>
        <v>0</v>
      </c>
      <c r="F73" s="5">
        <v>43874</v>
      </c>
      <c r="G73" s="16">
        <f t="shared" si="32"/>
        <v>1179</v>
      </c>
      <c r="H73" s="5">
        <v>27614</v>
      </c>
      <c r="I73" s="16">
        <f t="shared" si="33"/>
        <v>2022</v>
      </c>
      <c r="J73" s="13">
        <v>33668</v>
      </c>
      <c r="K73" s="16">
        <f t="shared" si="33"/>
        <v>544</v>
      </c>
      <c r="L73" s="5">
        <v>5471</v>
      </c>
      <c r="M73" s="12">
        <f t="shared" si="34"/>
        <v>100</v>
      </c>
      <c r="N73" s="13">
        <v>28005</v>
      </c>
      <c r="O73" s="6">
        <f t="shared" si="35"/>
        <v>374</v>
      </c>
      <c r="P73" s="5">
        <v>7756</v>
      </c>
      <c r="Q73" s="12">
        <f t="shared" si="36"/>
        <v>109</v>
      </c>
      <c r="R73" s="13">
        <v>51567</v>
      </c>
      <c r="S73" s="6">
        <f t="shared" si="37"/>
        <v>465</v>
      </c>
      <c r="T73" s="5">
        <v>9616</v>
      </c>
      <c r="U73" s="12">
        <f t="shared" si="38"/>
        <v>143</v>
      </c>
      <c r="V73" s="13">
        <v>48639</v>
      </c>
      <c r="W73" s="6">
        <f t="shared" si="39"/>
        <v>0</v>
      </c>
      <c r="X73" s="5">
        <v>36920</v>
      </c>
      <c r="Y73" s="6">
        <f t="shared" si="39"/>
        <v>410</v>
      </c>
      <c r="Z73" s="5">
        <v>79</v>
      </c>
      <c r="AA73" s="16">
        <f t="shared" si="40"/>
        <v>0</v>
      </c>
      <c r="AB73" s="5">
        <v>12050</v>
      </c>
      <c r="AC73" s="16">
        <f t="shared" si="41"/>
        <v>99</v>
      </c>
      <c r="AD73" s="5">
        <v>6755</v>
      </c>
      <c r="AE73" s="16">
        <f t="shared" si="42"/>
        <v>0</v>
      </c>
      <c r="AF73" s="5">
        <v>11429</v>
      </c>
      <c r="AG73" s="16">
        <f t="shared" si="43"/>
        <v>0</v>
      </c>
      <c r="AH73" s="5">
        <v>21432</v>
      </c>
      <c r="AI73" s="16">
        <f t="shared" si="44"/>
        <v>657</v>
      </c>
      <c r="AJ73" s="18">
        <f t="shared" ref="AJ73:AJ102" si="45">SUM(G73,K73,M73,O73,Q73,S73,U73,W73,Y73,AA73,AC73,AE73,AG73,AI73)</f>
        <v>4080</v>
      </c>
      <c r="AK73" s="19">
        <f t="shared" ref="AK73:AK102" si="46">(E73+I73)-AJ73</f>
        <v>-2058</v>
      </c>
    </row>
    <row r="74" spans="2:37" ht="21" hidden="1" x14ac:dyDescent="0.3">
      <c r="B74" s="9" t="s">
        <v>68</v>
      </c>
      <c r="C74" s="34">
        <v>45904</v>
      </c>
      <c r="D74" s="5">
        <v>191733</v>
      </c>
      <c r="E74" s="16">
        <f t="shared" si="32"/>
        <v>0</v>
      </c>
      <c r="F74" s="5">
        <v>45053</v>
      </c>
      <c r="G74" s="16">
        <f t="shared" si="32"/>
        <v>1040</v>
      </c>
      <c r="H74" s="5">
        <v>29636</v>
      </c>
      <c r="I74" s="16">
        <f t="shared" si="33"/>
        <v>2867</v>
      </c>
      <c r="J74" s="13">
        <v>34212</v>
      </c>
      <c r="K74" s="16">
        <f t="shared" si="33"/>
        <v>589</v>
      </c>
      <c r="L74" s="5">
        <v>5571</v>
      </c>
      <c r="M74" s="12">
        <f t="shared" si="34"/>
        <v>135</v>
      </c>
      <c r="N74" s="13">
        <v>28379</v>
      </c>
      <c r="O74" s="6">
        <f t="shared" si="35"/>
        <v>413</v>
      </c>
      <c r="P74" s="5">
        <v>7865</v>
      </c>
      <c r="Q74" s="12">
        <f t="shared" si="36"/>
        <v>121</v>
      </c>
      <c r="R74" s="13">
        <v>52032</v>
      </c>
      <c r="S74" s="6">
        <f t="shared" si="37"/>
        <v>665</v>
      </c>
      <c r="T74" s="5">
        <v>9759</v>
      </c>
      <c r="U74" s="12">
        <f t="shared" si="38"/>
        <v>153</v>
      </c>
      <c r="V74" s="13">
        <v>48639</v>
      </c>
      <c r="W74" s="6">
        <f t="shared" si="39"/>
        <v>0</v>
      </c>
      <c r="X74" s="5">
        <v>37330</v>
      </c>
      <c r="Y74" s="6">
        <f t="shared" si="39"/>
        <v>450</v>
      </c>
      <c r="Z74" s="5">
        <v>79</v>
      </c>
      <c r="AA74" s="16">
        <f t="shared" si="40"/>
        <v>0</v>
      </c>
      <c r="AB74" s="5">
        <v>12149</v>
      </c>
      <c r="AC74" s="16">
        <f t="shared" si="41"/>
        <v>118</v>
      </c>
      <c r="AD74" s="5">
        <v>6755</v>
      </c>
      <c r="AE74" s="16">
        <f t="shared" si="42"/>
        <v>0</v>
      </c>
      <c r="AF74" s="5">
        <v>11429</v>
      </c>
      <c r="AG74" s="16">
        <f t="shared" si="43"/>
        <v>0</v>
      </c>
      <c r="AH74" s="5">
        <v>22089</v>
      </c>
      <c r="AI74" s="16">
        <f t="shared" si="44"/>
        <v>687</v>
      </c>
      <c r="AJ74" s="18">
        <f t="shared" si="45"/>
        <v>4371</v>
      </c>
      <c r="AK74" s="19">
        <f t="shared" si="46"/>
        <v>-1504</v>
      </c>
    </row>
    <row r="75" spans="2:37" ht="21" hidden="1" x14ac:dyDescent="0.3">
      <c r="B75" s="9" t="s">
        <v>69</v>
      </c>
      <c r="C75" s="34">
        <v>45905</v>
      </c>
      <c r="D75" s="5">
        <v>191733</v>
      </c>
      <c r="E75" s="16">
        <f t="shared" si="32"/>
        <v>0</v>
      </c>
      <c r="F75" s="5">
        <v>46093</v>
      </c>
      <c r="G75" s="16">
        <f t="shared" si="32"/>
        <v>1284</v>
      </c>
      <c r="H75" s="5">
        <v>32503</v>
      </c>
      <c r="I75" s="16">
        <f t="shared" si="33"/>
        <v>2753</v>
      </c>
      <c r="J75" s="13">
        <v>34801</v>
      </c>
      <c r="K75" s="16">
        <f t="shared" si="33"/>
        <v>507</v>
      </c>
      <c r="L75" s="5">
        <v>5706</v>
      </c>
      <c r="M75" s="12">
        <f t="shared" si="34"/>
        <v>128</v>
      </c>
      <c r="N75" s="13">
        <v>28792</v>
      </c>
      <c r="O75" s="6">
        <f t="shared" si="35"/>
        <v>478</v>
      </c>
      <c r="P75" s="5">
        <v>7986</v>
      </c>
      <c r="Q75" s="12">
        <f t="shared" si="36"/>
        <v>145</v>
      </c>
      <c r="R75" s="13">
        <v>52697</v>
      </c>
      <c r="S75" s="6">
        <f t="shared" si="37"/>
        <v>660</v>
      </c>
      <c r="T75" s="5">
        <v>9912</v>
      </c>
      <c r="U75" s="12">
        <f t="shared" si="38"/>
        <v>165</v>
      </c>
      <c r="V75" s="13">
        <v>48639</v>
      </c>
      <c r="W75" s="6">
        <f t="shared" si="39"/>
        <v>0</v>
      </c>
      <c r="X75" s="5">
        <v>37780</v>
      </c>
      <c r="Y75" s="6">
        <f t="shared" si="39"/>
        <v>499</v>
      </c>
      <c r="Z75" s="5">
        <v>79</v>
      </c>
      <c r="AA75" s="16">
        <f t="shared" si="40"/>
        <v>0</v>
      </c>
      <c r="AB75" s="5">
        <v>12267</v>
      </c>
      <c r="AC75" s="16">
        <f t="shared" si="41"/>
        <v>130</v>
      </c>
      <c r="AD75" s="5">
        <v>6755</v>
      </c>
      <c r="AE75" s="16">
        <f t="shared" si="42"/>
        <v>0</v>
      </c>
      <c r="AF75" s="5">
        <v>11429</v>
      </c>
      <c r="AG75" s="16">
        <f t="shared" si="43"/>
        <v>0</v>
      </c>
      <c r="AH75" s="5">
        <v>22776</v>
      </c>
      <c r="AI75" s="16">
        <f t="shared" si="44"/>
        <v>720</v>
      </c>
      <c r="AJ75" s="18">
        <f t="shared" si="45"/>
        <v>4716</v>
      </c>
      <c r="AK75" s="19">
        <f t="shared" si="46"/>
        <v>-1963</v>
      </c>
    </row>
    <row r="76" spans="2:37" ht="21" hidden="1" x14ac:dyDescent="0.3">
      <c r="B76" s="9" t="s">
        <v>70</v>
      </c>
      <c r="C76" s="34">
        <v>45906</v>
      </c>
      <c r="D76" s="5">
        <v>191733</v>
      </c>
      <c r="E76" s="16">
        <f t="shared" si="32"/>
        <v>0</v>
      </c>
      <c r="F76" s="5">
        <v>47377</v>
      </c>
      <c r="G76" s="16">
        <f t="shared" si="32"/>
        <v>12</v>
      </c>
      <c r="H76" s="5">
        <v>35256</v>
      </c>
      <c r="I76" s="16">
        <f t="shared" si="33"/>
        <v>488</v>
      </c>
      <c r="J76" s="13">
        <v>35308</v>
      </c>
      <c r="K76" s="16">
        <f t="shared" si="33"/>
        <v>5</v>
      </c>
      <c r="L76" s="5">
        <v>5834</v>
      </c>
      <c r="M76" s="12">
        <f t="shared" si="34"/>
        <v>8</v>
      </c>
      <c r="N76" s="13">
        <v>29270</v>
      </c>
      <c r="O76" s="6">
        <f t="shared" si="35"/>
        <v>20</v>
      </c>
      <c r="P76" s="5">
        <v>8131</v>
      </c>
      <c r="Q76" s="12">
        <f t="shared" si="36"/>
        <v>13</v>
      </c>
      <c r="R76" s="13">
        <v>53357</v>
      </c>
      <c r="S76" s="6">
        <f t="shared" si="37"/>
        <v>28</v>
      </c>
      <c r="T76" s="5">
        <v>10077</v>
      </c>
      <c r="U76" s="12">
        <f t="shared" si="38"/>
        <v>15</v>
      </c>
      <c r="V76" s="13">
        <v>48639</v>
      </c>
      <c r="W76" s="6">
        <f t="shared" si="39"/>
        <v>0</v>
      </c>
      <c r="X76" s="5">
        <v>38279</v>
      </c>
      <c r="Y76" s="6">
        <f t="shared" si="39"/>
        <v>50</v>
      </c>
      <c r="Z76" s="5">
        <v>79</v>
      </c>
      <c r="AA76" s="16">
        <f t="shared" si="40"/>
        <v>0</v>
      </c>
      <c r="AB76" s="5">
        <v>12397</v>
      </c>
      <c r="AC76" s="16">
        <f t="shared" si="41"/>
        <v>125</v>
      </c>
      <c r="AD76" s="5">
        <v>6755</v>
      </c>
      <c r="AE76" s="16">
        <f t="shared" si="42"/>
        <v>0</v>
      </c>
      <c r="AF76" s="5">
        <v>11429</v>
      </c>
      <c r="AG76" s="16">
        <f t="shared" si="43"/>
        <v>0</v>
      </c>
      <c r="AH76" s="5">
        <v>23496</v>
      </c>
      <c r="AI76" s="16">
        <f t="shared" si="44"/>
        <v>2</v>
      </c>
      <c r="AJ76" s="18">
        <f t="shared" si="45"/>
        <v>278</v>
      </c>
      <c r="AK76" s="19">
        <f t="shared" si="46"/>
        <v>210</v>
      </c>
    </row>
    <row r="77" spans="2:37" ht="21" hidden="1" x14ac:dyDescent="0.3">
      <c r="B77" s="9" t="s">
        <v>71</v>
      </c>
      <c r="C77" s="34">
        <v>45907</v>
      </c>
      <c r="D77" s="5">
        <v>191733</v>
      </c>
      <c r="E77" s="16">
        <f t="shared" si="32"/>
        <v>0</v>
      </c>
      <c r="F77" s="5">
        <v>47389</v>
      </c>
      <c r="G77" s="16">
        <f t="shared" si="32"/>
        <v>16</v>
      </c>
      <c r="H77" s="5">
        <v>35744</v>
      </c>
      <c r="I77" s="16">
        <f t="shared" si="33"/>
        <v>616</v>
      </c>
      <c r="J77" s="13">
        <v>35313</v>
      </c>
      <c r="K77" s="16">
        <f t="shared" si="33"/>
        <v>25</v>
      </c>
      <c r="L77" s="5">
        <v>5842</v>
      </c>
      <c r="M77" s="12">
        <f t="shared" si="34"/>
        <v>14</v>
      </c>
      <c r="N77" s="13">
        <v>29290</v>
      </c>
      <c r="O77" s="6">
        <f t="shared" si="35"/>
        <v>36</v>
      </c>
      <c r="P77" s="5">
        <v>8144</v>
      </c>
      <c r="Q77" s="12">
        <f t="shared" si="36"/>
        <v>18</v>
      </c>
      <c r="R77" s="13">
        <v>53385</v>
      </c>
      <c r="S77" s="6">
        <f t="shared" si="37"/>
        <v>48</v>
      </c>
      <c r="T77" s="5">
        <v>10092</v>
      </c>
      <c r="U77" s="12">
        <f t="shared" si="38"/>
        <v>17</v>
      </c>
      <c r="V77" s="13">
        <v>48639</v>
      </c>
      <c r="W77" s="6">
        <f t="shared" si="39"/>
        <v>0</v>
      </c>
      <c r="X77" s="5">
        <v>38329</v>
      </c>
      <c r="Y77" s="6">
        <f t="shared" si="39"/>
        <v>52</v>
      </c>
      <c r="Z77" s="5">
        <v>79</v>
      </c>
      <c r="AA77" s="16">
        <f t="shared" si="40"/>
        <v>0</v>
      </c>
      <c r="AB77" s="5">
        <v>12522</v>
      </c>
      <c r="AC77" s="16">
        <f t="shared" si="41"/>
        <v>122</v>
      </c>
      <c r="AD77" s="5">
        <v>6755</v>
      </c>
      <c r="AE77" s="16">
        <f t="shared" si="42"/>
        <v>0</v>
      </c>
      <c r="AF77" s="5">
        <v>11429</v>
      </c>
      <c r="AG77" s="16">
        <f t="shared" si="43"/>
        <v>0</v>
      </c>
      <c r="AH77" s="5">
        <v>23498</v>
      </c>
      <c r="AI77" s="16">
        <f t="shared" si="44"/>
        <v>3</v>
      </c>
      <c r="AJ77" s="18">
        <f t="shared" si="45"/>
        <v>351</v>
      </c>
      <c r="AK77" s="19">
        <f t="shared" si="46"/>
        <v>265</v>
      </c>
    </row>
    <row r="78" spans="2:37" ht="21" hidden="1" x14ac:dyDescent="0.3">
      <c r="B78" s="9" t="s">
        <v>72</v>
      </c>
      <c r="C78" s="34">
        <v>45908</v>
      </c>
      <c r="D78" s="5">
        <v>191733</v>
      </c>
      <c r="E78" s="16">
        <f t="shared" si="32"/>
        <v>0</v>
      </c>
      <c r="F78" s="5">
        <v>47405</v>
      </c>
      <c r="G78" s="16">
        <f t="shared" si="32"/>
        <v>1194</v>
      </c>
      <c r="H78" s="5">
        <v>36360</v>
      </c>
      <c r="I78" s="16">
        <f t="shared" si="33"/>
        <v>2894</v>
      </c>
      <c r="J78" s="13">
        <v>35338</v>
      </c>
      <c r="K78" s="16">
        <f t="shared" si="33"/>
        <v>556</v>
      </c>
      <c r="L78" s="5">
        <v>5856</v>
      </c>
      <c r="M78" s="12">
        <f t="shared" si="34"/>
        <v>149</v>
      </c>
      <c r="N78" s="13">
        <v>29326</v>
      </c>
      <c r="O78" s="6">
        <f t="shared" si="35"/>
        <v>433</v>
      </c>
      <c r="P78" s="5">
        <v>8162</v>
      </c>
      <c r="Q78" s="12">
        <f t="shared" si="36"/>
        <v>149</v>
      </c>
      <c r="R78" s="13">
        <v>53433</v>
      </c>
      <c r="S78" s="6">
        <f t="shared" si="37"/>
        <v>689</v>
      </c>
      <c r="T78" s="5">
        <v>10109</v>
      </c>
      <c r="U78" s="12">
        <f t="shared" si="38"/>
        <v>170</v>
      </c>
      <c r="V78" s="13">
        <v>48639</v>
      </c>
      <c r="W78" s="6">
        <f t="shared" si="39"/>
        <v>0</v>
      </c>
      <c r="X78" s="5">
        <v>38381</v>
      </c>
      <c r="Y78" s="6">
        <f t="shared" si="39"/>
        <v>553</v>
      </c>
      <c r="Z78" s="5">
        <v>79</v>
      </c>
      <c r="AA78" s="16">
        <f t="shared" si="40"/>
        <v>0</v>
      </c>
      <c r="AB78" s="5">
        <v>12644</v>
      </c>
      <c r="AC78" s="16">
        <f t="shared" si="41"/>
        <v>152</v>
      </c>
      <c r="AD78" s="5">
        <v>6755</v>
      </c>
      <c r="AE78" s="16">
        <f t="shared" si="42"/>
        <v>0</v>
      </c>
      <c r="AF78" s="5">
        <v>11429</v>
      </c>
      <c r="AG78" s="16">
        <f t="shared" si="43"/>
        <v>0</v>
      </c>
      <c r="AH78" s="5">
        <v>23501</v>
      </c>
      <c r="AI78" s="16">
        <f t="shared" si="44"/>
        <v>859</v>
      </c>
      <c r="AJ78" s="18">
        <f t="shared" si="45"/>
        <v>4904</v>
      </c>
      <c r="AK78" s="19">
        <f t="shared" si="46"/>
        <v>-2010</v>
      </c>
    </row>
    <row r="79" spans="2:37" ht="21" hidden="1" x14ac:dyDescent="0.3">
      <c r="B79" s="9" t="s">
        <v>66</v>
      </c>
      <c r="C79" s="34">
        <v>45909</v>
      </c>
      <c r="D79" s="5">
        <v>191733</v>
      </c>
      <c r="E79" s="16">
        <f t="shared" si="32"/>
        <v>0</v>
      </c>
      <c r="F79" s="5">
        <v>48599</v>
      </c>
      <c r="G79" s="16">
        <f t="shared" si="32"/>
        <v>1556</v>
      </c>
      <c r="H79" s="5">
        <v>39254</v>
      </c>
      <c r="I79" s="16">
        <f t="shared" si="33"/>
        <v>3267</v>
      </c>
      <c r="J79" s="13">
        <v>35894</v>
      </c>
      <c r="K79" s="16">
        <f t="shared" si="33"/>
        <v>539</v>
      </c>
      <c r="L79" s="5">
        <v>6005</v>
      </c>
      <c r="M79" s="12">
        <f t="shared" si="34"/>
        <v>146</v>
      </c>
      <c r="N79" s="13">
        <v>29759</v>
      </c>
      <c r="O79" s="6">
        <f t="shared" si="35"/>
        <v>408</v>
      </c>
      <c r="P79" s="5">
        <v>8311</v>
      </c>
      <c r="Q79" s="12">
        <f t="shared" si="36"/>
        <v>136</v>
      </c>
      <c r="R79" s="13">
        <v>54122</v>
      </c>
      <c r="S79" s="6">
        <f t="shared" si="37"/>
        <v>702</v>
      </c>
      <c r="T79" s="5">
        <v>10279</v>
      </c>
      <c r="U79" s="12">
        <f t="shared" si="38"/>
        <v>157</v>
      </c>
      <c r="V79" s="13">
        <v>48639</v>
      </c>
      <c r="W79" s="6">
        <f t="shared" si="39"/>
        <v>0</v>
      </c>
      <c r="X79" s="5">
        <v>38934</v>
      </c>
      <c r="Y79" s="6">
        <f t="shared" si="39"/>
        <v>557</v>
      </c>
      <c r="Z79" s="5">
        <v>79</v>
      </c>
      <c r="AA79" s="16">
        <f t="shared" si="40"/>
        <v>0</v>
      </c>
      <c r="AB79" s="5">
        <v>12796</v>
      </c>
      <c r="AC79" s="16">
        <f t="shared" si="41"/>
        <v>143</v>
      </c>
      <c r="AD79" s="5">
        <v>6755</v>
      </c>
      <c r="AE79" s="16">
        <f t="shared" si="42"/>
        <v>0</v>
      </c>
      <c r="AF79" s="5">
        <v>11429</v>
      </c>
      <c r="AG79" s="16">
        <f t="shared" si="43"/>
        <v>0</v>
      </c>
      <c r="AH79" s="5">
        <v>24360</v>
      </c>
      <c r="AI79" s="16">
        <f t="shared" si="44"/>
        <v>936</v>
      </c>
      <c r="AJ79" s="18">
        <f t="shared" si="45"/>
        <v>5280</v>
      </c>
      <c r="AK79" s="19">
        <f t="shared" si="46"/>
        <v>-2013</v>
      </c>
    </row>
    <row r="80" spans="2:37" ht="21" hidden="1" x14ac:dyDescent="0.3">
      <c r="B80" s="9" t="s">
        <v>67</v>
      </c>
      <c r="C80" s="34">
        <v>45910</v>
      </c>
      <c r="D80" s="5">
        <v>191733</v>
      </c>
      <c r="E80" s="16">
        <f t="shared" si="32"/>
        <v>0</v>
      </c>
      <c r="F80" s="5">
        <v>50155</v>
      </c>
      <c r="G80" s="16">
        <f t="shared" si="32"/>
        <v>1516</v>
      </c>
      <c r="H80" s="5">
        <v>42521</v>
      </c>
      <c r="I80" s="16">
        <f t="shared" si="33"/>
        <v>3535</v>
      </c>
      <c r="J80" s="13">
        <v>36433</v>
      </c>
      <c r="K80" s="16">
        <f t="shared" si="33"/>
        <v>549</v>
      </c>
      <c r="L80" s="5">
        <v>6151</v>
      </c>
      <c r="M80" s="12">
        <f t="shared" si="34"/>
        <v>192</v>
      </c>
      <c r="N80" s="13">
        <v>30167</v>
      </c>
      <c r="O80" s="6">
        <f t="shared" si="35"/>
        <v>403</v>
      </c>
      <c r="P80" s="5">
        <v>8447</v>
      </c>
      <c r="Q80" s="12">
        <f t="shared" si="36"/>
        <v>135</v>
      </c>
      <c r="R80" s="13">
        <v>54824</v>
      </c>
      <c r="S80" s="6">
        <f t="shared" si="37"/>
        <v>661</v>
      </c>
      <c r="T80" s="5">
        <v>10436</v>
      </c>
      <c r="U80" s="12">
        <f t="shared" si="38"/>
        <v>177</v>
      </c>
      <c r="V80" s="13">
        <v>48639</v>
      </c>
      <c r="W80" s="6">
        <f t="shared" si="39"/>
        <v>0</v>
      </c>
      <c r="X80" s="5">
        <v>39491</v>
      </c>
      <c r="Y80" s="6">
        <f t="shared" si="39"/>
        <v>546</v>
      </c>
      <c r="Z80" s="5">
        <v>79</v>
      </c>
      <c r="AA80" s="16">
        <f t="shared" si="40"/>
        <v>0</v>
      </c>
      <c r="AB80" s="5">
        <v>12939</v>
      </c>
      <c r="AC80" s="16">
        <f t="shared" si="41"/>
        <v>158</v>
      </c>
      <c r="AD80" s="5">
        <v>6755</v>
      </c>
      <c r="AE80" s="16">
        <f t="shared" si="42"/>
        <v>0</v>
      </c>
      <c r="AF80" s="5">
        <v>11429</v>
      </c>
      <c r="AG80" s="16">
        <f t="shared" si="43"/>
        <v>0</v>
      </c>
      <c r="AH80" s="5">
        <v>25296</v>
      </c>
      <c r="AI80" s="16">
        <f t="shared" si="44"/>
        <v>930</v>
      </c>
      <c r="AJ80" s="18">
        <f t="shared" si="45"/>
        <v>5267</v>
      </c>
      <c r="AK80" s="19">
        <f t="shared" si="46"/>
        <v>-1732</v>
      </c>
    </row>
    <row r="81" spans="2:37" ht="21" hidden="1" x14ac:dyDescent="0.3">
      <c r="B81" s="9" t="s">
        <v>68</v>
      </c>
      <c r="C81" s="34">
        <v>45911</v>
      </c>
      <c r="D81" s="5">
        <v>191733</v>
      </c>
      <c r="E81" s="16">
        <f t="shared" si="32"/>
        <v>0</v>
      </c>
      <c r="F81" s="5">
        <v>51671</v>
      </c>
      <c r="G81" s="16">
        <f t="shared" si="32"/>
        <v>1140</v>
      </c>
      <c r="H81" s="5">
        <v>46056</v>
      </c>
      <c r="I81" s="16">
        <f t="shared" si="33"/>
        <v>3533</v>
      </c>
      <c r="J81" s="13">
        <v>36982</v>
      </c>
      <c r="K81" s="16">
        <f t="shared" si="33"/>
        <v>556</v>
      </c>
      <c r="L81" s="5">
        <v>6343</v>
      </c>
      <c r="M81" s="12">
        <f t="shared" si="34"/>
        <v>187</v>
      </c>
      <c r="N81" s="13">
        <v>30570</v>
      </c>
      <c r="O81" s="6">
        <f t="shared" si="35"/>
        <v>444</v>
      </c>
      <c r="P81" s="5">
        <v>8582</v>
      </c>
      <c r="Q81" s="12">
        <f t="shared" si="36"/>
        <v>149</v>
      </c>
      <c r="R81" s="13">
        <v>55485</v>
      </c>
      <c r="S81" s="6">
        <f t="shared" si="37"/>
        <v>700</v>
      </c>
      <c r="T81" s="5">
        <v>10613</v>
      </c>
      <c r="U81" s="12">
        <f t="shared" si="38"/>
        <v>179</v>
      </c>
      <c r="V81" s="13">
        <v>48639</v>
      </c>
      <c r="W81" s="6">
        <f t="shared" si="39"/>
        <v>0</v>
      </c>
      <c r="X81" s="5">
        <v>40037</v>
      </c>
      <c r="Y81" s="6">
        <f t="shared" si="39"/>
        <v>592</v>
      </c>
      <c r="Z81" s="5">
        <v>79</v>
      </c>
      <c r="AA81" s="16">
        <f t="shared" si="40"/>
        <v>0</v>
      </c>
      <c r="AB81" s="5">
        <v>13097</v>
      </c>
      <c r="AC81" s="16">
        <f t="shared" si="41"/>
        <v>155</v>
      </c>
      <c r="AD81" s="5">
        <v>6755</v>
      </c>
      <c r="AE81" s="16">
        <f t="shared" si="42"/>
        <v>0</v>
      </c>
      <c r="AF81" s="5">
        <v>11429</v>
      </c>
      <c r="AG81" s="16">
        <f t="shared" si="43"/>
        <v>0</v>
      </c>
      <c r="AH81" s="5">
        <v>26226</v>
      </c>
      <c r="AI81" s="16">
        <f t="shared" si="44"/>
        <v>901</v>
      </c>
      <c r="AJ81" s="18">
        <f t="shared" si="45"/>
        <v>5003</v>
      </c>
      <c r="AK81" s="19">
        <f t="shared" si="46"/>
        <v>-1470</v>
      </c>
    </row>
    <row r="82" spans="2:37" ht="21" hidden="1" x14ac:dyDescent="0.3">
      <c r="B82" s="9" t="s">
        <v>69</v>
      </c>
      <c r="C82" s="34">
        <v>45912</v>
      </c>
      <c r="D82" s="5">
        <v>191733</v>
      </c>
      <c r="E82" s="16">
        <f t="shared" si="32"/>
        <v>0</v>
      </c>
      <c r="F82" s="5">
        <v>52811</v>
      </c>
      <c r="G82" s="16">
        <f t="shared" si="32"/>
        <v>1469</v>
      </c>
      <c r="H82" s="5">
        <v>49589</v>
      </c>
      <c r="I82" s="16">
        <f t="shared" si="33"/>
        <v>3191</v>
      </c>
      <c r="J82" s="13">
        <v>37538</v>
      </c>
      <c r="K82" s="16">
        <f t="shared" si="33"/>
        <v>539</v>
      </c>
      <c r="L82" s="5">
        <v>6530</v>
      </c>
      <c r="M82" s="12">
        <f t="shared" si="34"/>
        <v>180</v>
      </c>
      <c r="N82" s="13">
        <v>31014</v>
      </c>
      <c r="O82" s="6">
        <f t="shared" si="35"/>
        <v>464</v>
      </c>
      <c r="P82" s="5">
        <v>8731</v>
      </c>
      <c r="Q82" s="12">
        <f t="shared" si="36"/>
        <v>152</v>
      </c>
      <c r="R82" s="13">
        <v>56185</v>
      </c>
      <c r="S82" s="6">
        <f t="shared" si="37"/>
        <v>703</v>
      </c>
      <c r="T82" s="5">
        <v>10792</v>
      </c>
      <c r="U82" s="12">
        <f t="shared" si="38"/>
        <v>169</v>
      </c>
      <c r="V82" s="13">
        <v>48639</v>
      </c>
      <c r="W82" s="6">
        <f t="shared" si="39"/>
        <v>0</v>
      </c>
      <c r="X82" s="5">
        <v>40629</v>
      </c>
      <c r="Y82" s="6">
        <f t="shared" si="39"/>
        <v>584</v>
      </c>
      <c r="Z82" s="5">
        <v>79</v>
      </c>
      <c r="AA82" s="16">
        <f t="shared" si="40"/>
        <v>1</v>
      </c>
      <c r="AB82" s="5">
        <v>13252</v>
      </c>
      <c r="AC82" s="16">
        <f t="shared" si="41"/>
        <v>165</v>
      </c>
      <c r="AD82" s="5">
        <v>6755</v>
      </c>
      <c r="AE82" s="16">
        <f t="shared" si="42"/>
        <v>0</v>
      </c>
      <c r="AF82" s="5">
        <v>11429</v>
      </c>
      <c r="AG82" s="16">
        <f t="shared" si="43"/>
        <v>0</v>
      </c>
      <c r="AH82" s="5">
        <v>27127</v>
      </c>
      <c r="AI82" s="16">
        <f t="shared" si="44"/>
        <v>969</v>
      </c>
      <c r="AJ82" s="18">
        <f t="shared" si="45"/>
        <v>5395</v>
      </c>
      <c r="AK82" s="19">
        <f t="shared" si="46"/>
        <v>-2204</v>
      </c>
    </row>
    <row r="83" spans="2:37" ht="21" hidden="1" x14ac:dyDescent="0.3">
      <c r="B83" s="9" t="s">
        <v>70</v>
      </c>
      <c r="C83" s="34">
        <v>45913</v>
      </c>
      <c r="D83" s="5">
        <v>191733</v>
      </c>
      <c r="E83" s="16">
        <f t="shared" si="32"/>
        <v>0</v>
      </c>
      <c r="F83" s="5">
        <v>54280</v>
      </c>
      <c r="G83" s="16">
        <f t="shared" si="32"/>
        <v>1446</v>
      </c>
      <c r="H83" s="5">
        <v>52780</v>
      </c>
      <c r="I83" s="16">
        <f t="shared" si="33"/>
        <v>2740</v>
      </c>
      <c r="J83" s="13">
        <v>38077</v>
      </c>
      <c r="K83" s="16">
        <f t="shared" si="33"/>
        <v>493</v>
      </c>
      <c r="L83" s="5">
        <v>6710</v>
      </c>
      <c r="M83" s="12">
        <f t="shared" si="34"/>
        <v>154</v>
      </c>
      <c r="N83" s="13">
        <v>31478</v>
      </c>
      <c r="O83" s="6">
        <f t="shared" si="35"/>
        <v>423</v>
      </c>
      <c r="P83" s="5">
        <v>8883</v>
      </c>
      <c r="Q83" s="12">
        <f t="shared" si="36"/>
        <v>146</v>
      </c>
      <c r="R83" s="13">
        <v>56888</v>
      </c>
      <c r="S83" s="6">
        <f t="shared" si="37"/>
        <v>657</v>
      </c>
      <c r="T83" s="5">
        <v>10961</v>
      </c>
      <c r="U83" s="12">
        <f t="shared" si="38"/>
        <v>154</v>
      </c>
      <c r="V83" s="13">
        <v>48639</v>
      </c>
      <c r="W83" s="6">
        <f t="shared" si="39"/>
        <v>0</v>
      </c>
      <c r="X83" s="5">
        <v>41213</v>
      </c>
      <c r="Y83" s="6">
        <f t="shared" si="39"/>
        <v>554</v>
      </c>
      <c r="Z83" s="5">
        <v>80</v>
      </c>
      <c r="AA83" s="16">
        <f t="shared" si="40"/>
        <v>0</v>
      </c>
      <c r="AB83" s="5">
        <v>13417</v>
      </c>
      <c r="AC83" s="16">
        <f t="shared" si="41"/>
        <v>118</v>
      </c>
      <c r="AD83" s="5">
        <v>6755</v>
      </c>
      <c r="AE83" s="16">
        <f t="shared" si="42"/>
        <v>0</v>
      </c>
      <c r="AF83" s="5">
        <v>11429</v>
      </c>
      <c r="AG83" s="16">
        <f t="shared" si="43"/>
        <v>0</v>
      </c>
      <c r="AH83" s="5">
        <v>28096</v>
      </c>
      <c r="AI83" s="16">
        <f t="shared" si="44"/>
        <v>907</v>
      </c>
      <c r="AJ83" s="18">
        <f t="shared" si="45"/>
        <v>5052</v>
      </c>
      <c r="AK83" s="19">
        <f t="shared" si="46"/>
        <v>-2312</v>
      </c>
    </row>
    <row r="84" spans="2:37" ht="21" hidden="1" x14ac:dyDescent="0.3">
      <c r="B84" s="9" t="s">
        <v>71</v>
      </c>
      <c r="C84" s="34">
        <v>45914</v>
      </c>
      <c r="D84" s="5">
        <v>191733</v>
      </c>
      <c r="E84" s="16">
        <f t="shared" si="32"/>
        <v>0</v>
      </c>
      <c r="F84" s="5">
        <v>55726</v>
      </c>
      <c r="G84" s="16">
        <f t="shared" si="32"/>
        <v>67</v>
      </c>
      <c r="H84" s="5">
        <v>55520</v>
      </c>
      <c r="I84" s="16">
        <f t="shared" si="33"/>
        <v>643</v>
      </c>
      <c r="J84" s="13">
        <v>38570</v>
      </c>
      <c r="K84" s="16">
        <f t="shared" si="33"/>
        <v>35</v>
      </c>
      <c r="L84" s="5">
        <v>6864</v>
      </c>
      <c r="M84" s="12">
        <f t="shared" si="34"/>
        <v>20</v>
      </c>
      <c r="N84" s="13">
        <v>31901</v>
      </c>
      <c r="O84" s="6">
        <f t="shared" si="35"/>
        <v>62</v>
      </c>
      <c r="P84" s="5">
        <v>9029</v>
      </c>
      <c r="Q84" s="12">
        <f t="shared" si="36"/>
        <v>30</v>
      </c>
      <c r="R84" s="13">
        <v>57545</v>
      </c>
      <c r="S84" s="6">
        <f t="shared" si="37"/>
        <v>72</v>
      </c>
      <c r="T84" s="5">
        <v>11115</v>
      </c>
      <c r="U84" s="12">
        <f t="shared" si="38"/>
        <v>13</v>
      </c>
      <c r="V84" s="13">
        <v>48639</v>
      </c>
      <c r="W84" s="6">
        <f t="shared" si="39"/>
        <v>0</v>
      </c>
      <c r="X84" s="5">
        <v>41767</v>
      </c>
      <c r="Y84" s="6">
        <f t="shared" si="39"/>
        <v>78</v>
      </c>
      <c r="Z84" s="5">
        <v>80</v>
      </c>
      <c r="AA84" s="16">
        <f t="shared" si="40"/>
        <v>0</v>
      </c>
      <c r="AB84" s="5">
        <v>13535</v>
      </c>
      <c r="AC84" s="16">
        <f t="shared" si="41"/>
        <v>151</v>
      </c>
      <c r="AD84" s="5">
        <v>6755</v>
      </c>
      <c r="AE84" s="16">
        <f t="shared" si="42"/>
        <v>0</v>
      </c>
      <c r="AF84" s="5">
        <v>11429</v>
      </c>
      <c r="AG84" s="16">
        <f t="shared" si="43"/>
        <v>0</v>
      </c>
      <c r="AH84" s="5">
        <v>29003</v>
      </c>
      <c r="AI84" s="16">
        <f t="shared" si="44"/>
        <v>92</v>
      </c>
      <c r="AJ84" s="18">
        <f t="shared" si="45"/>
        <v>620</v>
      </c>
      <c r="AK84" s="19">
        <f t="shared" si="46"/>
        <v>23</v>
      </c>
    </row>
    <row r="85" spans="2:37" ht="21" hidden="1" x14ac:dyDescent="0.3">
      <c r="B85" s="9" t="s">
        <v>72</v>
      </c>
      <c r="C85" s="34">
        <v>45915</v>
      </c>
      <c r="D85" s="5">
        <v>191733</v>
      </c>
      <c r="E85" s="16">
        <f t="shared" si="32"/>
        <v>0</v>
      </c>
      <c r="F85" s="5">
        <v>55793</v>
      </c>
      <c r="G85" s="16">
        <f t="shared" si="32"/>
        <v>1408</v>
      </c>
      <c r="H85" s="5">
        <v>56163</v>
      </c>
      <c r="I85" s="16">
        <f t="shared" si="33"/>
        <v>2986</v>
      </c>
      <c r="J85" s="13">
        <v>38605</v>
      </c>
      <c r="K85" s="16">
        <f t="shared" si="33"/>
        <v>506</v>
      </c>
      <c r="L85" s="5">
        <v>6884</v>
      </c>
      <c r="M85" s="12">
        <f t="shared" si="34"/>
        <v>179</v>
      </c>
      <c r="N85" s="13">
        <v>31963</v>
      </c>
      <c r="O85" s="6">
        <f t="shared" si="35"/>
        <v>459</v>
      </c>
      <c r="P85" s="5">
        <v>9059</v>
      </c>
      <c r="Q85" s="12">
        <f t="shared" si="36"/>
        <v>170</v>
      </c>
      <c r="R85" s="13">
        <v>57617</v>
      </c>
      <c r="S85" s="6">
        <f t="shared" si="37"/>
        <v>738</v>
      </c>
      <c r="T85" s="5">
        <v>11128</v>
      </c>
      <c r="U85" s="12">
        <f t="shared" si="38"/>
        <v>183</v>
      </c>
      <c r="V85" s="13">
        <v>48639</v>
      </c>
      <c r="W85" s="6">
        <f t="shared" si="39"/>
        <v>0</v>
      </c>
      <c r="X85" s="5">
        <v>41845</v>
      </c>
      <c r="Y85" s="6">
        <f t="shared" si="39"/>
        <v>611</v>
      </c>
      <c r="Z85" s="5">
        <v>80</v>
      </c>
      <c r="AA85" s="16">
        <f t="shared" si="40"/>
        <v>0</v>
      </c>
      <c r="AB85" s="5">
        <v>13686</v>
      </c>
      <c r="AC85" s="16">
        <f t="shared" si="41"/>
        <v>160</v>
      </c>
      <c r="AD85" s="5">
        <v>6755</v>
      </c>
      <c r="AE85" s="16">
        <f t="shared" si="42"/>
        <v>0</v>
      </c>
      <c r="AF85" s="5">
        <v>11429</v>
      </c>
      <c r="AG85" s="16">
        <f t="shared" si="43"/>
        <v>0</v>
      </c>
      <c r="AH85" s="5">
        <v>29095</v>
      </c>
      <c r="AI85" s="16">
        <f t="shared" si="44"/>
        <v>951</v>
      </c>
      <c r="AJ85" s="18">
        <f t="shared" si="45"/>
        <v>5365</v>
      </c>
      <c r="AK85" s="19">
        <f t="shared" si="46"/>
        <v>-2379</v>
      </c>
    </row>
    <row r="86" spans="2:37" ht="21" hidden="1" x14ac:dyDescent="0.3">
      <c r="B86" s="9" t="s">
        <v>66</v>
      </c>
      <c r="C86" s="34">
        <v>45916</v>
      </c>
      <c r="D86" s="5">
        <v>191733</v>
      </c>
      <c r="E86" s="16">
        <f t="shared" si="32"/>
        <v>0</v>
      </c>
      <c r="F86" s="5">
        <v>57201</v>
      </c>
      <c r="G86" s="16">
        <f t="shared" si="32"/>
        <v>1748</v>
      </c>
      <c r="H86" s="5">
        <v>59149</v>
      </c>
      <c r="I86" s="16">
        <f t="shared" si="33"/>
        <v>3278</v>
      </c>
      <c r="J86" s="13">
        <v>39111</v>
      </c>
      <c r="K86" s="16">
        <f t="shared" si="33"/>
        <v>544</v>
      </c>
      <c r="L86" s="5">
        <v>7063</v>
      </c>
      <c r="M86" s="12">
        <f t="shared" si="34"/>
        <v>198</v>
      </c>
      <c r="N86" s="13">
        <v>32422</v>
      </c>
      <c r="O86" s="6">
        <f t="shared" si="35"/>
        <v>482</v>
      </c>
      <c r="P86" s="5">
        <v>9229</v>
      </c>
      <c r="Q86" s="12">
        <f t="shared" si="36"/>
        <v>195</v>
      </c>
      <c r="R86" s="13">
        <v>58355</v>
      </c>
      <c r="S86" s="6">
        <f t="shared" si="37"/>
        <v>743</v>
      </c>
      <c r="T86" s="5">
        <v>11311</v>
      </c>
      <c r="U86" s="12">
        <f t="shared" si="38"/>
        <v>199</v>
      </c>
      <c r="V86" s="13">
        <v>48639</v>
      </c>
      <c r="W86" s="6">
        <f t="shared" si="39"/>
        <v>0</v>
      </c>
      <c r="X86" s="5">
        <v>42456</v>
      </c>
      <c r="Y86" s="6">
        <f t="shared" si="39"/>
        <v>674</v>
      </c>
      <c r="Z86" s="5">
        <v>80</v>
      </c>
      <c r="AA86" s="16">
        <f t="shared" si="40"/>
        <v>0</v>
      </c>
      <c r="AB86" s="5">
        <v>13846</v>
      </c>
      <c r="AC86" s="16">
        <f t="shared" si="41"/>
        <v>171</v>
      </c>
      <c r="AD86" s="5">
        <v>6755</v>
      </c>
      <c r="AE86" s="16">
        <f t="shared" si="42"/>
        <v>0</v>
      </c>
      <c r="AF86" s="5">
        <v>11429</v>
      </c>
      <c r="AG86" s="16">
        <f t="shared" si="43"/>
        <v>0</v>
      </c>
      <c r="AH86" s="5">
        <v>30046</v>
      </c>
      <c r="AI86" s="16">
        <f t="shared" si="44"/>
        <v>996</v>
      </c>
      <c r="AJ86" s="18">
        <f t="shared" si="45"/>
        <v>5950</v>
      </c>
      <c r="AK86" s="19">
        <f t="shared" si="46"/>
        <v>-2672</v>
      </c>
    </row>
    <row r="87" spans="2:37" ht="21" hidden="1" x14ac:dyDescent="0.3">
      <c r="B87" s="9" t="s">
        <v>67</v>
      </c>
      <c r="C87" s="34">
        <v>45917</v>
      </c>
      <c r="D87" s="5">
        <v>191733</v>
      </c>
      <c r="E87" s="16">
        <f t="shared" ref="E87:E101" si="47">IF(D88&lt;&gt;"",D88-D87,"")</f>
        <v>0</v>
      </c>
      <c r="F87" s="5">
        <v>58949</v>
      </c>
      <c r="G87" s="16">
        <f t="shared" ref="G87:G101" si="48">IF(F88&lt;&gt;"",F88-F87,"")</f>
        <v>1856</v>
      </c>
      <c r="H87" s="5">
        <v>62427</v>
      </c>
      <c r="I87" s="16">
        <f t="shared" si="33"/>
        <v>3219</v>
      </c>
      <c r="J87" s="13">
        <v>39655</v>
      </c>
      <c r="K87" s="16">
        <f t="shared" si="33"/>
        <v>563</v>
      </c>
      <c r="L87" s="5">
        <v>7261</v>
      </c>
      <c r="M87" s="12">
        <f t="shared" si="34"/>
        <v>172</v>
      </c>
      <c r="N87" s="13">
        <v>32904</v>
      </c>
      <c r="O87" s="6">
        <f t="shared" si="35"/>
        <v>479</v>
      </c>
      <c r="P87" s="5">
        <v>9424</v>
      </c>
      <c r="Q87" s="12">
        <f t="shared" si="36"/>
        <v>191</v>
      </c>
      <c r="R87" s="13">
        <v>59098</v>
      </c>
      <c r="S87" s="6">
        <f t="shared" si="37"/>
        <v>742</v>
      </c>
      <c r="T87" s="5">
        <v>11510</v>
      </c>
      <c r="U87" s="12">
        <f t="shared" si="38"/>
        <v>197</v>
      </c>
      <c r="V87" s="13">
        <v>48639</v>
      </c>
      <c r="W87" s="6">
        <f t="shared" si="39"/>
        <v>0</v>
      </c>
      <c r="X87" s="5">
        <v>43130</v>
      </c>
      <c r="Y87" s="6">
        <f t="shared" si="39"/>
        <v>704</v>
      </c>
      <c r="Z87" s="5">
        <v>80</v>
      </c>
      <c r="AA87" s="16">
        <f t="shared" si="40"/>
        <v>0</v>
      </c>
      <c r="AB87" s="5">
        <v>14017</v>
      </c>
      <c r="AC87" s="16">
        <f t="shared" si="41"/>
        <v>172</v>
      </c>
      <c r="AD87" s="5">
        <v>6755</v>
      </c>
      <c r="AE87" s="16">
        <f t="shared" si="42"/>
        <v>0</v>
      </c>
      <c r="AF87" s="5">
        <v>11429</v>
      </c>
      <c r="AG87" s="16">
        <f t="shared" si="43"/>
        <v>0</v>
      </c>
      <c r="AH87" s="5">
        <v>31042</v>
      </c>
      <c r="AI87" s="16">
        <f t="shared" si="44"/>
        <v>985</v>
      </c>
      <c r="AJ87" s="18">
        <f t="shared" si="45"/>
        <v>6061</v>
      </c>
      <c r="AK87" s="19">
        <f t="shared" si="46"/>
        <v>-2842</v>
      </c>
    </row>
    <row r="88" spans="2:37" ht="21" hidden="1" x14ac:dyDescent="0.3">
      <c r="B88" s="9" t="s">
        <v>68</v>
      </c>
      <c r="C88" s="34">
        <v>45918</v>
      </c>
      <c r="D88" s="5">
        <v>191733</v>
      </c>
      <c r="E88" s="16">
        <f t="shared" si="47"/>
        <v>0</v>
      </c>
      <c r="F88" s="5">
        <v>60805</v>
      </c>
      <c r="G88" s="16">
        <f t="shared" ref="G88:G93" si="49">IF(F89&lt;&gt;"",F89-F88,"")</f>
        <v>1859</v>
      </c>
      <c r="H88" s="5">
        <v>65646</v>
      </c>
      <c r="I88" s="16">
        <f t="shared" ref="I88:I93" si="50">IF(H89&lt;&gt;"",H89-H88,"")</f>
        <v>3176</v>
      </c>
      <c r="J88" s="13">
        <v>40218</v>
      </c>
      <c r="K88" s="16">
        <f t="shared" ref="K88:K93" si="51">IF(J89&lt;&gt;"",J89-J88,"")</f>
        <v>603</v>
      </c>
      <c r="L88" s="5">
        <v>7433</v>
      </c>
      <c r="M88" s="12">
        <f t="shared" ref="M88:M93" si="52">IF(L89&lt;&gt;"",L89-L88,"")</f>
        <v>177</v>
      </c>
      <c r="N88" s="13">
        <v>33383</v>
      </c>
      <c r="O88" s="6">
        <f t="shared" ref="O88:O93" si="53">IF(N89&lt;&gt;"",N89-N88,"")</f>
        <v>514</v>
      </c>
      <c r="P88" s="5">
        <v>9615</v>
      </c>
      <c r="Q88" s="12">
        <f t="shared" ref="Q88:Q93" si="54">IF(P89&lt;&gt;"",P89-P88,"")</f>
        <v>197</v>
      </c>
      <c r="R88" s="13">
        <v>59840</v>
      </c>
      <c r="S88" s="6">
        <f t="shared" ref="S88:S93" si="55">IF(R89&lt;&gt;"",R89-R88,"")</f>
        <v>791</v>
      </c>
      <c r="T88" s="5">
        <v>11707</v>
      </c>
      <c r="U88" s="12">
        <f t="shared" ref="U88:U93" si="56">IF(T89&lt;&gt;"",T89-T88,"")</f>
        <v>201</v>
      </c>
      <c r="V88" s="13">
        <v>48639</v>
      </c>
      <c r="W88" s="6">
        <f t="shared" ref="W88:W93" si="57">IF(V89&lt;&gt;"",V89-V88,"")</f>
        <v>0</v>
      </c>
      <c r="X88" s="5">
        <v>43834</v>
      </c>
      <c r="Y88" s="6">
        <f t="shared" ref="Y88:Y93" si="58">IF(X89&lt;&gt;"",X89-X88,"")</f>
        <v>582</v>
      </c>
      <c r="Z88" s="5">
        <v>80</v>
      </c>
      <c r="AA88" s="16">
        <f t="shared" ref="AA88:AA93" si="59">IF(Z89&lt;&gt;"",Z89-Z88,"")</f>
        <v>0</v>
      </c>
      <c r="AB88" s="5">
        <v>14189</v>
      </c>
      <c r="AC88" s="16">
        <f t="shared" ref="AC88:AC93" si="60">IF(AB89&lt;&gt;"",AB89-AB88,"")</f>
        <v>175</v>
      </c>
      <c r="AD88" s="5">
        <v>6755</v>
      </c>
      <c r="AE88" s="16">
        <f t="shared" ref="AE88:AE93" si="61">IF(AD89&lt;&gt;"",AD89-AD88,"")</f>
        <v>0</v>
      </c>
      <c r="AF88" s="5">
        <v>11429</v>
      </c>
      <c r="AG88" s="16">
        <f t="shared" ref="AG88:AG93" si="62">IF(AF89&lt;&gt;"",AF89-AF88,"")</f>
        <v>0</v>
      </c>
      <c r="AH88" s="5">
        <v>32027</v>
      </c>
      <c r="AI88" s="16">
        <f t="shared" ref="AI88:AI93" si="63">IF(AH89&lt;&gt;"",AH89-AH88,"")</f>
        <v>1111</v>
      </c>
      <c r="AJ88" s="18">
        <f t="shared" si="45"/>
        <v>6210</v>
      </c>
      <c r="AK88" s="19">
        <f t="shared" si="46"/>
        <v>-3034</v>
      </c>
    </row>
    <row r="89" spans="2:37" ht="21" hidden="1" x14ac:dyDescent="0.3">
      <c r="B89" s="9" t="s">
        <v>69</v>
      </c>
      <c r="C89" s="34">
        <v>45919</v>
      </c>
      <c r="D89" s="5">
        <v>191733</v>
      </c>
      <c r="E89" s="16">
        <f t="shared" si="47"/>
        <v>0</v>
      </c>
      <c r="F89" s="5">
        <v>62664</v>
      </c>
      <c r="G89" s="16">
        <f t="shared" si="49"/>
        <v>1825</v>
      </c>
      <c r="H89" s="5">
        <v>68822</v>
      </c>
      <c r="I89" s="16">
        <f t="shared" si="50"/>
        <v>2982</v>
      </c>
      <c r="J89" s="13">
        <v>40821</v>
      </c>
      <c r="K89" s="16">
        <f t="shared" si="51"/>
        <v>565</v>
      </c>
      <c r="L89" s="5">
        <v>7610</v>
      </c>
      <c r="M89" s="12">
        <f t="shared" si="52"/>
        <v>209</v>
      </c>
      <c r="N89" s="13">
        <v>33897</v>
      </c>
      <c r="O89" s="6">
        <f t="shared" si="53"/>
        <v>492</v>
      </c>
      <c r="P89" s="5">
        <v>9812</v>
      </c>
      <c r="Q89" s="12">
        <f t="shared" si="54"/>
        <v>193</v>
      </c>
      <c r="R89" s="13">
        <v>60631</v>
      </c>
      <c r="S89" s="6">
        <f t="shared" si="55"/>
        <v>802</v>
      </c>
      <c r="T89" s="5">
        <v>11908</v>
      </c>
      <c r="U89" s="12">
        <f t="shared" si="56"/>
        <v>192</v>
      </c>
      <c r="V89" s="13">
        <v>48639</v>
      </c>
      <c r="W89" s="6">
        <f t="shared" si="57"/>
        <v>0</v>
      </c>
      <c r="X89" s="5">
        <v>44416</v>
      </c>
      <c r="Y89" s="6">
        <f t="shared" si="58"/>
        <v>659</v>
      </c>
      <c r="Z89" s="5">
        <v>80</v>
      </c>
      <c r="AA89" s="16">
        <f t="shared" si="59"/>
        <v>0</v>
      </c>
      <c r="AB89" s="5">
        <v>14364</v>
      </c>
      <c r="AC89" s="16">
        <f t="shared" si="60"/>
        <v>167</v>
      </c>
      <c r="AD89" s="5">
        <v>6755</v>
      </c>
      <c r="AE89" s="16">
        <f t="shared" si="61"/>
        <v>0</v>
      </c>
      <c r="AF89" s="5">
        <v>11429</v>
      </c>
      <c r="AG89" s="16">
        <f t="shared" si="62"/>
        <v>0</v>
      </c>
      <c r="AH89" s="5">
        <v>33138</v>
      </c>
      <c r="AI89" s="16">
        <f t="shared" si="63"/>
        <v>1114</v>
      </c>
      <c r="AJ89" s="18">
        <f>SUM(G89,K89,M89,O89,Q89,S89,U89,W89,Y89,AA89,AC89,AE89,AG89,AI89)</f>
        <v>6218</v>
      </c>
      <c r="AK89" s="19">
        <f>(E89+I89)-AJ89</f>
        <v>-3236</v>
      </c>
    </row>
    <row r="90" spans="2:37" ht="21" hidden="1" x14ac:dyDescent="0.3">
      <c r="B90" s="9" t="s">
        <v>70</v>
      </c>
      <c r="C90" s="34">
        <v>45920</v>
      </c>
      <c r="D90" s="5">
        <v>191733</v>
      </c>
      <c r="E90" s="16">
        <f t="shared" si="47"/>
        <v>0</v>
      </c>
      <c r="F90" s="5">
        <v>64489</v>
      </c>
      <c r="G90" s="16">
        <f t="shared" si="49"/>
        <v>1746</v>
      </c>
      <c r="H90" s="5">
        <v>71804</v>
      </c>
      <c r="I90" s="16">
        <f t="shared" si="50"/>
        <v>3493</v>
      </c>
      <c r="J90" s="13">
        <v>41386</v>
      </c>
      <c r="K90" s="16">
        <f t="shared" si="51"/>
        <v>589</v>
      </c>
      <c r="L90" s="5">
        <v>7819</v>
      </c>
      <c r="M90" s="12">
        <f t="shared" si="52"/>
        <v>183</v>
      </c>
      <c r="N90" s="13">
        <v>34389</v>
      </c>
      <c r="O90" s="6">
        <f t="shared" si="53"/>
        <v>462</v>
      </c>
      <c r="P90" s="5">
        <v>10005</v>
      </c>
      <c r="Q90" s="12">
        <f t="shared" si="54"/>
        <v>164</v>
      </c>
      <c r="R90" s="13">
        <v>61433</v>
      </c>
      <c r="S90" s="6">
        <f t="shared" si="55"/>
        <v>810</v>
      </c>
      <c r="T90" s="5">
        <v>12100</v>
      </c>
      <c r="U90" s="12">
        <f t="shared" si="56"/>
        <v>210</v>
      </c>
      <c r="V90" s="13">
        <v>48639</v>
      </c>
      <c r="W90" s="6">
        <f t="shared" si="57"/>
        <v>0</v>
      </c>
      <c r="X90" s="5">
        <v>45075</v>
      </c>
      <c r="Y90" s="6">
        <f t="shared" si="58"/>
        <v>565</v>
      </c>
      <c r="Z90" s="5">
        <v>80</v>
      </c>
      <c r="AA90" s="16">
        <f t="shared" si="59"/>
        <v>0</v>
      </c>
      <c r="AB90" s="5">
        <v>14531</v>
      </c>
      <c r="AC90" s="16">
        <f t="shared" si="60"/>
        <v>189</v>
      </c>
      <c r="AD90" s="5">
        <v>6755</v>
      </c>
      <c r="AE90" s="16">
        <f t="shared" si="61"/>
        <v>0</v>
      </c>
      <c r="AF90" s="5">
        <v>11429</v>
      </c>
      <c r="AG90" s="16">
        <f t="shared" si="62"/>
        <v>0</v>
      </c>
      <c r="AH90" s="5">
        <v>34252</v>
      </c>
      <c r="AI90" s="16">
        <f t="shared" si="63"/>
        <v>1051</v>
      </c>
      <c r="AJ90" s="18">
        <f>SUM(G90,K90,M90,O90,Q90,S90,U90,W90,Y90,AA90,AC90,AE90,AG90,AI90)</f>
        <v>5969</v>
      </c>
      <c r="AK90" s="19">
        <f>(E90+I90)-AJ90</f>
        <v>-2476</v>
      </c>
    </row>
    <row r="91" spans="2:37" ht="21" hidden="1" x14ac:dyDescent="0.3">
      <c r="B91" s="9" t="s">
        <v>71</v>
      </c>
      <c r="C91" s="34">
        <v>45921</v>
      </c>
      <c r="D91" s="5">
        <v>191733</v>
      </c>
      <c r="E91" s="16">
        <f t="shared" si="47"/>
        <v>0</v>
      </c>
      <c r="F91" s="5">
        <v>66235</v>
      </c>
      <c r="G91" s="16">
        <f t="shared" si="49"/>
        <v>12</v>
      </c>
      <c r="H91" s="5">
        <v>75297</v>
      </c>
      <c r="I91" s="16">
        <f t="shared" si="50"/>
        <v>1768</v>
      </c>
      <c r="J91" s="13">
        <v>41975</v>
      </c>
      <c r="K91" s="16">
        <f t="shared" si="51"/>
        <v>8</v>
      </c>
      <c r="L91" s="5">
        <v>8002</v>
      </c>
      <c r="M91" s="12">
        <f t="shared" si="52"/>
        <v>16</v>
      </c>
      <c r="N91" s="13">
        <v>34851</v>
      </c>
      <c r="O91" s="6">
        <f t="shared" si="53"/>
        <v>26</v>
      </c>
      <c r="P91" s="5">
        <v>10169</v>
      </c>
      <c r="Q91" s="12">
        <f t="shared" si="54"/>
        <v>24</v>
      </c>
      <c r="R91" s="13">
        <v>62243</v>
      </c>
      <c r="S91" s="6">
        <f t="shared" si="55"/>
        <v>51</v>
      </c>
      <c r="T91" s="5">
        <v>12310</v>
      </c>
      <c r="U91" s="12">
        <f t="shared" si="56"/>
        <v>9</v>
      </c>
      <c r="V91" s="13">
        <v>48639</v>
      </c>
      <c r="W91" s="6">
        <f t="shared" si="57"/>
        <v>0</v>
      </c>
      <c r="X91" s="5">
        <v>45640</v>
      </c>
      <c r="Y91" s="6">
        <f t="shared" si="58"/>
        <v>40</v>
      </c>
      <c r="Z91" s="5">
        <v>80</v>
      </c>
      <c r="AA91" s="16">
        <f t="shared" si="59"/>
        <v>0</v>
      </c>
      <c r="AB91" s="5">
        <v>14720</v>
      </c>
      <c r="AC91" s="16">
        <f t="shared" si="60"/>
        <v>83</v>
      </c>
      <c r="AD91" s="5">
        <v>6755</v>
      </c>
      <c r="AE91" s="16">
        <f t="shared" si="61"/>
        <v>0</v>
      </c>
      <c r="AF91" s="5">
        <v>11429</v>
      </c>
      <c r="AG91" s="16">
        <f t="shared" si="62"/>
        <v>0</v>
      </c>
      <c r="AH91" s="5">
        <v>35303</v>
      </c>
      <c r="AI91" s="16">
        <f t="shared" si="63"/>
        <v>11</v>
      </c>
      <c r="AJ91" s="18">
        <f>SUM(G91,K91,M91,O91,Q91,S91,U91,W91,Y91,AA91,AC91,AE91,AG91,AI91)</f>
        <v>280</v>
      </c>
      <c r="AK91" s="19">
        <f>(E91+I91)-AJ91</f>
        <v>1488</v>
      </c>
    </row>
    <row r="92" spans="2:37" ht="21" hidden="1" x14ac:dyDescent="0.3">
      <c r="B92" s="9" t="s">
        <v>72</v>
      </c>
      <c r="C92" s="34">
        <v>45922</v>
      </c>
      <c r="D92" s="5">
        <v>191733</v>
      </c>
      <c r="E92" s="16">
        <f t="shared" si="47"/>
        <v>0</v>
      </c>
      <c r="F92" s="5">
        <v>66247</v>
      </c>
      <c r="G92" s="16">
        <f t="shared" si="49"/>
        <v>1664</v>
      </c>
      <c r="H92" s="5">
        <v>77065</v>
      </c>
      <c r="I92" s="16">
        <f t="shared" si="50"/>
        <v>3359</v>
      </c>
      <c r="J92" s="13">
        <v>41983</v>
      </c>
      <c r="K92" s="16">
        <f t="shared" si="51"/>
        <v>611</v>
      </c>
      <c r="L92" s="5">
        <v>8018</v>
      </c>
      <c r="M92" s="12">
        <f t="shared" si="52"/>
        <v>168</v>
      </c>
      <c r="N92" s="13">
        <v>34877</v>
      </c>
      <c r="O92" s="6">
        <f t="shared" si="53"/>
        <v>505</v>
      </c>
      <c r="P92" s="5">
        <v>10193</v>
      </c>
      <c r="Q92" s="12">
        <f t="shared" si="54"/>
        <v>196</v>
      </c>
      <c r="R92" s="13">
        <v>62294</v>
      </c>
      <c r="S92" s="6">
        <f t="shared" si="55"/>
        <v>718</v>
      </c>
      <c r="T92" s="5">
        <v>12319</v>
      </c>
      <c r="U92" s="12">
        <f t="shared" si="56"/>
        <v>195</v>
      </c>
      <c r="V92" s="13">
        <v>48639</v>
      </c>
      <c r="W92" s="6">
        <f t="shared" si="57"/>
        <v>0</v>
      </c>
      <c r="X92" s="5">
        <v>45680</v>
      </c>
      <c r="Y92" s="6">
        <f t="shared" si="58"/>
        <v>675</v>
      </c>
      <c r="Z92" s="5">
        <v>80</v>
      </c>
      <c r="AA92" s="16">
        <f t="shared" si="59"/>
        <v>0</v>
      </c>
      <c r="AB92" s="5">
        <v>14803</v>
      </c>
      <c r="AC92" s="16">
        <f t="shared" si="60"/>
        <v>255</v>
      </c>
      <c r="AD92" s="5">
        <v>6755</v>
      </c>
      <c r="AE92" s="16">
        <f t="shared" si="61"/>
        <v>0</v>
      </c>
      <c r="AF92" s="5">
        <v>11429</v>
      </c>
      <c r="AG92" s="16">
        <f t="shared" si="62"/>
        <v>0</v>
      </c>
      <c r="AH92" s="5">
        <v>35314</v>
      </c>
      <c r="AI92" s="16">
        <f t="shared" si="63"/>
        <v>1103</v>
      </c>
      <c r="AJ92" s="18">
        <f>SUM(G92,K92,M92,O92,Q92,S92,U92,W92,Y92,AA92,AC92,AE92,AG92,AI92)</f>
        <v>6090</v>
      </c>
      <c r="AK92" s="19">
        <f>(E92+I92)-AJ92</f>
        <v>-2731</v>
      </c>
    </row>
    <row r="93" spans="2:37" ht="21" hidden="1" x14ac:dyDescent="0.3">
      <c r="B93" s="9" t="s">
        <v>66</v>
      </c>
      <c r="C93" s="34">
        <v>45923</v>
      </c>
      <c r="D93" s="5">
        <v>191733</v>
      </c>
      <c r="E93" s="16">
        <f t="shared" si="47"/>
        <v>0</v>
      </c>
      <c r="F93" s="5">
        <v>67911</v>
      </c>
      <c r="G93" s="16">
        <f t="shared" si="49"/>
        <v>1688</v>
      </c>
      <c r="H93" s="5">
        <v>80424</v>
      </c>
      <c r="I93" s="16">
        <f t="shared" si="50"/>
        <v>3337</v>
      </c>
      <c r="J93" s="13">
        <v>42594</v>
      </c>
      <c r="K93" s="16">
        <f t="shared" si="51"/>
        <v>715</v>
      </c>
      <c r="L93" s="5">
        <v>8186</v>
      </c>
      <c r="M93" s="12">
        <f t="shared" si="52"/>
        <v>145</v>
      </c>
      <c r="N93" s="13">
        <v>35382</v>
      </c>
      <c r="O93" s="6">
        <f t="shared" si="53"/>
        <v>530</v>
      </c>
      <c r="P93" s="5">
        <v>10389</v>
      </c>
      <c r="Q93" s="12">
        <f t="shared" si="54"/>
        <v>189</v>
      </c>
      <c r="R93" s="13">
        <v>63012</v>
      </c>
      <c r="S93" s="6">
        <f t="shared" si="55"/>
        <v>747</v>
      </c>
      <c r="T93" s="5">
        <v>12514</v>
      </c>
      <c r="U93" s="12">
        <f t="shared" si="56"/>
        <v>197</v>
      </c>
      <c r="V93" s="13">
        <v>48639</v>
      </c>
      <c r="W93" s="6">
        <f t="shared" si="57"/>
        <v>0</v>
      </c>
      <c r="X93" s="5">
        <v>46355</v>
      </c>
      <c r="Y93" s="6">
        <f t="shared" si="58"/>
        <v>711</v>
      </c>
      <c r="Z93" s="5">
        <v>80</v>
      </c>
      <c r="AA93" s="16">
        <f t="shared" si="59"/>
        <v>0</v>
      </c>
      <c r="AB93" s="5">
        <v>15058</v>
      </c>
      <c r="AC93" s="16">
        <f t="shared" si="60"/>
        <v>172</v>
      </c>
      <c r="AD93" s="5">
        <v>6755</v>
      </c>
      <c r="AE93" s="16">
        <f t="shared" si="61"/>
        <v>0</v>
      </c>
      <c r="AF93" s="5">
        <v>11429</v>
      </c>
      <c r="AG93" s="16">
        <f t="shared" si="62"/>
        <v>0</v>
      </c>
      <c r="AH93" s="5">
        <v>36417</v>
      </c>
      <c r="AI93" s="16">
        <f t="shared" si="63"/>
        <v>982</v>
      </c>
      <c r="AJ93" s="18">
        <f>SUM(G93,K93,M93,O93,Q93,S93,U93,W93,Y93,AA93,AC93,AE93,AG93,AI93)</f>
        <v>6076</v>
      </c>
      <c r="AK93" s="19">
        <f>(E93+I93)-AJ93</f>
        <v>-2739</v>
      </c>
    </row>
    <row r="94" spans="2:37" ht="21" hidden="1" x14ac:dyDescent="0.3">
      <c r="B94" s="9" t="s">
        <v>67</v>
      </c>
      <c r="C94" s="34">
        <v>45924</v>
      </c>
      <c r="D94" s="5">
        <v>191733</v>
      </c>
      <c r="E94" s="16">
        <f t="shared" si="47"/>
        <v>0</v>
      </c>
      <c r="F94" s="5">
        <v>69599</v>
      </c>
      <c r="G94" s="16">
        <f t="shared" si="48"/>
        <v>1765</v>
      </c>
      <c r="H94" s="5">
        <v>83761</v>
      </c>
      <c r="I94" s="16">
        <f t="shared" si="33"/>
        <v>3250</v>
      </c>
      <c r="J94" s="13">
        <v>43309</v>
      </c>
      <c r="K94" s="16">
        <f t="shared" si="33"/>
        <v>623</v>
      </c>
      <c r="L94" s="5">
        <v>8331</v>
      </c>
      <c r="M94" s="12">
        <f t="shared" si="34"/>
        <v>216</v>
      </c>
      <c r="N94" s="13">
        <v>35912</v>
      </c>
      <c r="O94" s="6">
        <f t="shared" si="35"/>
        <v>507</v>
      </c>
      <c r="P94" s="5">
        <v>10578</v>
      </c>
      <c r="Q94" s="12">
        <f t="shared" si="36"/>
        <v>184</v>
      </c>
      <c r="R94" s="13">
        <v>63759</v>
      </c>
      <c r="S94" s="6">
        <f t="shared" si="37"/>
        <v>755</v>
      </c>
      <c r="T94" s="5">
        <v>12711</v>
      </c>
      <c r="U94" s="12">
        <f t="shared" si="38"/>
        <v>193</v>
      </c>
      <c r="V94" s="13">
        <v>48639</v>
      </c>
      <c r="W94" s="6">
        <f t="shared" si="39"/>
        <v>0</v>
      </c>
      <c r="X94" s="5">
        <v>47066</v>
      </c>
      <c r="Y94" s="6">
        <f t="shared" si="39"/>
        <v>793</v>
      </c>
      <c r="Z94" s="5">
        <v>80</v>
      </c>
      <c r="AA94" s="16">
        <f t="shared" si="40"/>
        <v>0</v>
      </c>
      <c r="AB94" s="5">
        <v>15230</v>
      </c>
      <c r="AC94" s="16">
        <f t="shared" si="41"/>
        <v>177</v>
      </c>
      <c r="AD94" s="5">
        <v>6755</v>
      </c>
      <c r="AE94" s="16">
        <f t="shared" si="42"/>
        <v>0</v>
      </c>
      <c r="AF94" s="5">
        <v>11429</v>
      </c>
      <c r="AG94" s="16">
        <f t="shared" si="43"/>
        <v>0</v>
      </c>
      <c r="AH94" s="5">
        <v>37399</v>
      </c>
      <c r="AI94" s="16">
        <f t="shared" si="44"/>
        <v>1192</v>
      </c>
      <c r="AJ94" s="18">
        <f t="shared" si="45"/>
        <v>6405</v>
      </c>
      <c r="AK94" s="19">
        <f t="shared" si="46"/>
        <v>-3155</v>
      </c>
    </row>
    <row r="95" spans="2:37" ht="21" hidden="1" x14ac:dyDescent="0.3">
      <c r="B95" s="9" t="s">
        <v>68</v>
      </c>
      <c r="C95" s="34">
        <v>45925</v>
      </c>
      <c r="D95" s="5">
        <v>191733</v>
      </c>
      <c r="E95" s="16">
        <f t="shared" si="47"/>
        <v>0</v>
      </c>
      <c r="F95" s="5">
        <v>71364</v>
      </c>
      <c r="G95" s="16">
        <f t="shared" si="48"/>
        <v>1932</v>
      </c>
      <c r="H95" s="5">
        <v>87011</v>
      </c>
      <c r="I95" s="16">
        <f t="shared" si="33"/>
        <v>2767</v>
      </c>
      <c r="J95" s="13">
        <v>43932</v>
      </c>
      <c r="K95" s="16">
        <f t="shared" si="33"/>
        <v>632</v>
      </c>
      <c r="L95" s="5">
        <v>8547</v>
      </c>
      <c r="M95" s="12">
        <f t="shared" si="34"/>
        <v>199</v>
      </c>
      <c r="N95" s="13">
        <v>36419</v>
      </c>
      <c r="O95" s="6">
        <f t="shared" si="35"/>
        <v>523</v>
      </c>
      <c r="P95" s="5">
        <v>10762</v>
      </c>
      <c r="Q95" s="12">
        <f t="shared" si="36"/>
        <v>190</v>
      </c>
      <c r="R95" s="13">
        <v>64514</v>
      </c>
      <c r="S95" s="6">
        <f t="shared" si="37"/>
        <v>726</v>
      </c>
      <c r="T95" s="5">
        <v>12904</v>
      </c>
      <c r="U95" s="12">
        <f t="shared" si="38"/>
        <v>184</v>
      </c>
      <c r="V95" s="13">
        <v>48639</v>
      </c>
      <c r="W95" s="6">
        <f t="shared" si="39"/>
        <v>0</v>
      </c>
      <c r="X95" s="5">
        <v>47859</v>
      </c>
      <c r="Y95" s="6">
        <f t="shared" si="39"/>
        <v>778</v>
      </c>
      <c r="Z95" s="5">
        <v>80</v>
      </c>
      <c r="AA95" s="16">
        <f t="shared" si="40"/>
        <v>0</v>
      </c>
      <c r="AB95" s="5">
        <v>15407</v>
      </c>
      <c r="AC95" s="16">
        <f t="shared" si="41"/>
        <v>210</v>
      </c>
      <c r="AD95" s="5">
        <v>6755</v>
      </c>
      <c r="AE95" s="16">
        <f t="shared" si="42"/>
        <v>0</v>
      </c>
      <c r="AF95" s="5">
        <v>11429</v>
      </c>
      <c r="AG95" s="16">
        <f t="shared" si="43"/>
        <v>0</v>
      </c>
      <c r="AH95" s="5">
        <v>38591</v>
      </c>
      <c r="AI95" s="16">
        <f t="shared" si="44"/>
        <v>1186</v>
      </c>
      <c r="AJ95" s="18">
        <f t="shared" si="45"/>
        <v>6560</v>
      </c>
      <c r="AK95" s="19">
        <f t="shared" si="46"/>
        <v>-3793</v>
      </c>
    </row>
    <row r="96" spans="2:37" ht="21" hidden="1" x14ac:dyDescent="0.3">
      <c r="B96" s="9" t="s">
        <v>69</v>
      </c>
      <c r="C96" s="34">
        <v>45926</v>
      </c>
      <c r="D96" s="5">
        <v>191733</v>
      </c>
      <c r="E96" s="16">
        <f t="shared" si="47"/>
        <v>0</v>
      </c>
      <c r="F96" s="5">
        <v>73296</v>
      </c>
      <c r="G96" s="16">
        <f t="shared" si="48"/>
        <v>2265</v>
      </c>
      <c r="H96" s="5">
        <v>89778</v>
      </c>
      <c r="I96" s="16">
        <f t="shared" si="33"/>
        <v>2671</v>
      </c>
      <c r="J96" s="13">
        <v>44564</v>
      </c>
      <c r="K96" s="16">
        <f t="shared" si="33"/>
        <v>675</v>
      </c>
      <c r="L96" s="5">
        <v>8746</v>
      </c>
      <c r="M96" s="12">
        <f t="shared" si="34"/>
        <v>177</v>
      </c>
      <c r="N96" s="13">
        <v>36942</v>
      </c>
      <c r="O96" s="6">
        <f t="shared" si="35"/>
        <v>495</v>
      </c>
      <c r="P96" s="5">
        <v>10952</v>
      </c>
      <c r="Q96" s="12">
        <f t="shared" si="36"/>
        <v>196</v>
      </c>
      <c r="R96" s="13">
        <v>65240</v>
      </c>
      <c r="S96" s="6">
        <f t="shared" si="37"/>
        <v>736</v>
      </c>
      <c r="T96" s="5">
        <v>13088</v>
      </c>
      <c r="U96" s="12">
        <f t="shared" si="38"/>
        <v>187</v>
      </c>
      <c r="V96" s="13">
        <v>48639</v>
      </c>
      <c r="W96" s="6">
        <f t="shared" si="39"/>
        <v>0</v>
      </c>
      <c r="X96" s="5">
        <v>48637</v>
      </c>
      <c r="Y96" s="6">
        <f t="shared" si="39"/>
        <v>898</v>
      </c>
      <c r="Z96" s="5">
        <v>80</v>
      </c>
      <c r="AA96" s="16">
        <f t="shared" si="40"/>
        <v>0</v>
      </c>
      <c r="AB96" s="5">
        <v>15617</v>
      </c>
      <c r="AC96" s="16">
        <f t="shared" si="41"/>
        <v>204</v>
      </c>
      <c r="AD96" s="5">
        <v>6755</v>
      </c>
      <c r="AE96" s="16">
        <f t="shared" si="42"/>
        <v>0</v>
      </c>
      <c r="AF96" s="5">
        <v>11429</v>
      </c>
      <c r="AG96" s="16">
        <f t="shared" si="43"/>
        <v>0</v>
      </c>
      <c r="AH96" s="5">
        <v>39777</v>
      </c>
      <c r="AI96" s="16">
        <f t="shared" si="44"/>
        <v>1202</v>
      </c>
      <c r="AJ96" s="18">
        <f t="shared" si="45"/>
        <v>7035</v>
      </c>
      <c r="AK96" s="19">
        <f t="shared" si="46"/>
        <v>-4364</v>
      </c>
    </row>
    <row r="97" spans="2:37" ht="21" hidden="1" x14ac:dyDescent="0.3">
      <c r="B97" s="9" t="s">
        <v>70</v>
      </c>
      <c r="C97" s="34">
        <v>45927</v>
      </c>
      <c r="D97" s="5">
        <v>191733</v>
      </c>
      <c r="E97" s="16">
        <f t="shared" si="47"/>
        <v>0</v>
      </c>
      <c r="F97" s="5">
        <v>75561</v>
      </c>
      <c r="G97" s="16">
        <f t="shared" si="48"/>
        <v>2375</v>
      </c>
      <c r="H97" s="5">
        <v>92449</v>
      </c>
      <c r="I97" s="16">
        <f t="shared" si="33"/>
        <v>2972</v>
      </c>
      <c r="J97" s="13">
        <v>45239</v>
      </c>
      <c r="K97" s="16">
        <f t="shared" si="33"/>
        <v>827</v>
      </c>
      <c r="L97" s="5">
        <v>8923</v>
      </c>
      <c r="M97" s="12">
        <f t="shared" si="34"/>
        <v>147</v>
      </c>
      <c r="N97" s="13">
        <v>37437</v>
      </c>
      <c r="O97" s="6">
        <f t="shared" si="35"/>
        <v>496</v>
      </c>
      <c r="P97" s="5">
        <v>11148</v>
      </c>
      <c r="Q97" s="12">
        <f t="shared" si="36"/>
        <v>200</v>
      </c>
      <c r="R97" s="13">
        <v>65976</v>
      </c>
      <c r="S97" s="6">
        <f t="shared" si="37"/>
        <v>719</v>
      </c>
      <c r="T97" s="5">
        <v>13275</v>
      </c>
      <c r="U97" s="12">
        <f t="shared" si="38"/>
        <v>195</v>
      </c>
      <c r="V97" s="13">
        <v>48639</v>
      </c>
      <c r="W97" s="6">
        <f t="shared" si="39"/>
        <v>0</v>
      </c>
      <c r="X97" s="5">
        <v>49535</v>
      </c>
      <c r="Y97" s="6">
        <f t="shared" si="39"/>
        <v>904</v>
      </c>
      <c r="Z97" s="5">
        <v>80</v>
      </c>
      <c r="AA97" s="16">
        <f t="shared" si="40"/>
        <v>0</v>
      </c>
      <c r="AB97" s="5">
        <v>15821</v>
      </c>
      <c r="AC97" s="16">
        <f t="shared" si="41"/>
        <v>204</v>
      </c>
      <c r="AD97" s="5">
        <v>6755</v>
      </c>
      <c r="AE97" s="16">
        <f t="shared" si="42"/>
        <v>0</v>
      </c>
      <c r="AF97" s="5">
        <v>11429</v>
      </c>
      <c r="AG97" s="16">
        <f t="shared" si="43"/>
        <v>0</v>
      </c>
      <c r="AH97" s="5">
        <v>40979</v>
      </c>
      <c r="AI97" s="16">
        <f t="shared" si="44"/>
        <v>1267</v>
      </c>
      <c r="AJ97" s="18">
        <f t="shared" si="45"/>
        <v>7334</v>
      </c>
      <c r="AK97" s="19">
        <f t="shared" si="46"/>
        <v>-4362</v>
      </c>
    </row>
    <row r="98" spans="2:37" ht="21" hidden="1" x14ac:dyDescent="0.3">
      <c r="B98" s="9" t="s">
        <v>71</v>
      </c>
      <c r="C98" s="34">
        <v>45928</v>
      </c>
      <c r="D98" s="5">
        <v>191733</v>
      </c>
      <c r="E98" s="16">
        <f t="shared" si="47"/>
        <v>0</v>
      </c>
      <c r="F98" s="5">
        <v>77936</v>
      </c>
      <c r="G98" s="16">
        <f t="shared" si="48"/>
        <v>33</v>
      </c>
      <c r="H98" s="5">
        <v>95421</v>
      </c>
      <c r="I98" s="16">
        <f t="shared" si="33"/>
        <v>2199</v>
      </c>
      <c r="J98" s="13">
        <v>46066</v>
      </c>
      <c r="K98" s="16">
        <f t="shared" si="33"/>
        <v>585</v>
      </c>
      <c r="L98" s="5">
        <v>9070</v>
      </c>
      <c r="M98" s="12">
        <f t="shared" si="34"/>
        <v>89</v>
      </c>
      <c r="N98" s="13">
        <v>37933</v>
      </c>
      <c r="O98" s="6">
        <f t="shared" si="35"/>
        <v>56</v>
      </c>
      <c r="P98" s="5">
        <v>11348</v>
      </c>
      <c r="Q98" s="12">
        <f t="shared" si="36"/>
        <v>26</v>
      </c>
      <c r="R98" s="13">
        <v>66695</v>
      </c>
      <c r="S98" s="6">
        <f t="shared" si="37"/>
        <v>32</v>
      </c>
      <c r="T98" s="5">
        <v>13470</v>
      </c>
      <c r="U98" s="12">
        <f t="shared" si="38"/>
        <v>6</v>
      </c>
      <c r="V98" s="13">
        <v>48639</v>
      </c>
      <c r="W98" s="6">
        <f t="shared" si="39"/>
        <v>0</v>
      </c>
      <c r="X98" s="5">
        <v>50439</v>
      </c>
      <c r="Y98" s="6">
        <f t="shared" si="39"/>
        <v>156</v>
      </c>
      <c r="Z98" s="5">
        <v>80</v>
      </c>
      <c r="AA98" s="16">
        <f t="shared" si="40"/>
        <v>0</v>
      </c>
      <c r="AB98" s="5">
        <v>16025</v>
      </c>
      <c r="AC98" s="16">
        <f t="shared" si="41"/>
        <v>190</v>
      </c>
      <c r="AD98" s="5">
        <v>6755</v>
      </c>
      <c r="AE98" s="16">
        <f t="shared" si="42"/>
        <v>0</v>
      </c>
      <c r="AF98" s="5">
        <v>11429</v>
      </c>
      <c r="AG98" s="16">
        <f t="shared" si="43"/>
        <v>0</v>
      </c>
      <c r="AH98" s="5">
        <v>42246</v>
      </c>
      <c r="AI98" s="16">
        <f t="shared" si="44"/>
        <v>313</v>
      </c>
      <c r="AJ98" s="18">
        <f t="shared" si="45"/>
        <v>1486</v>
      </c>
      <c r="AK98" s="19">
        <f t="shared" si="46"/>
        <v>713</v>
      </c>
    </row>
    <row r="99" spans="2:37" ht="21" hidden="1" x14ac:dyDescent="0.3">
      <c r="B99" s="9" t="s">
        <v>72</v>
      </c>
      <c r="C99" s="34">
        <v>45929</v>
      </c>
      <c r="D99" s="5">
        <v>191733</v>
      </c>
      <c r="E99" s="16">
        <f t="shared" si="47"/>
        <v>0</v>
      </c>
      <c r="F99" s="5">
        <v>77969</v>
      </c>
      <c r="G99" s="16">
        <f t="shared" si="48"/>
        <v>2433</v>
      </c>
      <c r="H99" s="5">
        <v>97620</v>
      </c>
      <c r="I99" s="16">
        <f t="shared" si="33"/>
        <v>1943</v>
      </c>
      <c r="J99" s="13">
        <v>46651</v>
      </c>
      <c r="K99" s="16">
        <f t="shared" si="33"/>
        <v>786</v>
      </c>
      <c r="L99" s="5">
        <v>9159</v>
      </c>
      <c r="M99" s="12">
        <f t="shared" si="34"/>
        <v>155</v>
      </c>
      <c r="N99" s="13">
        <v>37989</v>
      </c>
      <c r="O99" s="6">
        <f t="shared" si="35"/>
        <v>524</v>
      </c>
      <c r="P99" s="5">
        <v>11374</v>
      </c>
      <c r="Q99" s="12">
        <f t="shared" si="36"/>
        <v>204</v>
      </c>
      <c r="R99" s="13">
        <v>66727</v>
      </c>
      <c r="S99" s="6">
        <f t="shared" si="37"/>
        <v>771</v>
      </c>
      <c r="T99" s="5">
        <v>13476</v>
      </c>
      <c r="U99" s="12">
        <f t="shared" si="38"/>
        <v>191</v>
      </c>
      <c r="V99" s="13">
        <v>48639</v>
      </c>
      <c r="W99" s="6">
        <f t="shared" si="39"/>
        <v>0</v>
      </c>
      <c r="X99" s="5">
        <v>50595</v>
      </c>
      <c r="Y99" s="6">
        <f t="shared" si="39"/>
        <v>836</v>
      </c>
      <c r="Z99" s="5">
        <v>80</v>
      </c>
      <c r="AA99" s="16">
        <f t="shared" si="40"/>
        <v>0</v>
      </c>
      <c r="AB99" s="5">
        <v>16215</v>
      </c>
      <c r="AC99" s="16">
        <f t="shared" si="41"/>
        <v>215</v>
      </c>
      <c r="AD99" s="5">
        <v>6755</v>
      </c>
      <c r="AE99" s="16">
        <f t="shared" si="42"/>
        <v>0</v>
      </c>
      <c r="AF99" s="5">
        <v>11429</v>
      </c>
      <c r="AG99" s="16">
        <f t="shared" si="43"/>
        <v>0</v>
      </c>
      <c r="AH99" s="5">
        <v>42559</v>
      </c>
      <c r="AI99" s="16">
        <f t="shared" si="44"/>
        <v>1190</v>
      </c>
      <c r="AJ99" s="18">
        <f t="shared" si="45"/>
        <v>7305</v>
      </c>
      <c r="AK99" s="19">
        <f t="shared" si="46"/>
        <v>-5362</v>
      </c>
    </row>
    <row r="100" spans="2:37" ht="21" hidden="1" x14ac:dyDescent="0.3">
      <c r="B100" s="9" t="s">
        <v>66</v>
      </c>
      <c r="C100" s="34">
        <v>45930</v>
      </c>
      <c r="D100" s="5">
        <v>191733</v>
      </c>
      <c r="E100" s="16">
        <f t="shared" si="47"/>
        <v>0</v>
      </c>
      <c r="F100" s="5">
        <v>80402</v>
      </c>
      <c r="G100" s="16">
        <f t="shared" si="48"/>
        <v>1919</v>
      </c>
      <c r="H100" s="5">
        <v>99563</v>
      </c>
      <c r="I100" s="16">
        <f t="shared" si="33"/>
        <v>2252</v>
      </c>
      <c r="J100" s="13">
        <v>47437</v>
      </c>
      <c r="K100" s="16">
        <f t="shared" si="33"/>
        <v>733</v>
      </c>
      <c r="L100" s="5">
        <v>9314</v>
      </c>
      <c r="M100" s="12">
        <f>IF(L101&lt;&gt;"",L101-L100,"")</f>
        <v>144</v>
      </c>
      <c r="N100" s="13">
        <v>38513</v>
      </c>
      <c r="O100" s="6">
        <f t="shared" si="35"/>
        <v>543</v>
      </c>
      <c r="P100" s="5">
        <v>11578</v>
      </c>
      <c r="Q100" s="12">
        <f t="shared" si="36"/>
        <v>196</v>
      </c>
      <c r="R100" s="13">
        <v>67498</v>
      </c>
      <c r="S100" s="6">
        <f t="shared" si="37"/>
        <v>736</v>
      </c>
      <c r="T100" s="5">
        <v>13667</v>
      </c>
      <c r="U100" s="12">
        <f>IF(T101&lt;&gt;"",T101-T100,"")</f>
        <v>198</v>
      </c>
      <c r="V100" s="13">
        <v>48639</v>
      </c>
      <c r="W100" s="6">
        <f t="shared" si="39"/>
        <v>0</v>
      </c>
      <c r="X100" s="5">
        <v>51431</v>
      </c>
      <c r="Y100" s="6">
        <f t="shared" si="39"/>
        <v>774</v>
      </c>
      <c r="Z100" s="5">
        <v>80</v>
      </c>
      <c r="AA100" s="16">
        <f t="shared" si="40"/>
        <v>0</v>
      </c>
      <c r="AB100" s="5">
        <v>16430</v>
      </c>
      <c r="AC100" s="16">
        <f t="shared" si="41"/>
        <v>206</v>
      </c>
      <c r="AD100" s="5">
        <v>6755</v>
      </c>
      <c r="AE100" s="16">
        <f t="shared" si="42"/>
        <v>0</v>
      </c>
      <c r="AF100" s="5">
        <v>11429</v>
      </c>
      <c r="AG100" s="16">
        <f t="shared" si="43"/>
        <v>0</v>
      </c>
      <c r="AH100" s="5">
        <v>43749</v>
      </c>
      <c r="AI100" s="16">
        <f t="shared" si="44"/>
        <v>1099</v>
      </c>
      <c r="AJ100" s="18">
        <f t="shared" si="45"/>
        <v>6548</v>
      </c>
      <c r="AK100" s="19">
        <f t="shared" si="46"/>
        <v>-4296</v>
      </c>
    </row>
    <row r="101" spans="2:37" ht="21" hidden="1" x14ac:dyDescent="0.3">
      <c r="B101" s="9" t="s">
        <v>67</v>
      </c>
      <c r="C101" s="34">
        <v>45931</v>
      </c>
      <c r="D101" s="5">
        <v>191733</v>
      </c>
      <c r="E101" s="16" t="str">
        <f t="shared" si="47"/>
        <v/>
      </c>
      <c r="F101" s="5">
        <v>82321</v>
      </c>
      <c r="G101" s="16" t="str">
        <f t="shared" si="48"/>
        <v/>
      </c>
      <c r="H101" s="5">
        <v>101815</v>
      </c>
      <c r="I101" s="16" t="str">
        <f t="shared" si="33"/>
        <v/>
      </c>
      <c r="J101" s="13">
        <v>48170</v>
      </c>
      <c r="K101" s="16" t="str">
        <f t="shared" si="33"/>
        <v/>
      </c>
      <c r="L101" s="5">
        <v>9458</v>
      </c>
      <c r="M101" s="12" t="str">
        <f>IF(L102&lt;&gt;"",L102-L101,"")</f>
        <v/>
      </c>
      <c r="N101" s="13">
        <v>39056</v>
      </c>
      <c r="O101" s="6" t="str">
        <f t="shared" si="35"/>
        <v/>
      </c>
      <c r="P101" s="5">
        <v>11774</v>
      </c>
      <c r="Q101" s="12" t="str">
        <f t="shared" si="36"/>
        <v/>
      </c>
      <c r="R101" s="13">
        <v>68234</v>
      </c>
      <c r="S101" s="6" t="str">
        <f t="shared" si="37"/>
        <v/>
      </c>
      <c r="T101" s="5">
        <v>13865</v>
      </c>
      <c r="U101" s="12" t="str">
        <f>IF(T102&lt;&gt;"",T102-T101,"")</f>
        <v/>
      </c>
      <c r="V101" s="13">
        <v>48639</v>
      </c>
      <c r="W101" s="6" t="str">
        <f t="shared" si="39"/>
        <v/>
      </c>
      <c r="X101" s="5">
        <v>52205</v>
      </c>
      <c r="Y101" s="6" t="str">
        <f t="shared" si="39"/>
        <v/>
      </c>
      <c r="Z101" s="5">
        <v>80</v>
      </c>
      <c r="AA101" s="16" t="str">
        <f t="shared" si="40"/>
        <v/>
      </c>
      <c r="AB101" s="5">
        <v>16636</v>
      </c>
      <c r="AC101" s="16" t="str">
        <f t="shared" si="41"/>
        <v/>
      </c>
      <c r="AD101" s="5">
        <v>6755</v>
      </c>
      <c r="AE101" s="16" t="str">
        <f t="shared" si="42"/>
        <v/>
      </c>
      <c r="AF101" s="5">
        <v>11429</v>
      </c>
      <c r="AG101" s="16" t="str">
        <f t="shared" si="43"/>
        <v/>
      </c>
      <c r="AH101" s="5">
        <v>44848</v>
      </c>
      <c r="AI101" s="16" t="str">
        <f t="shared" si="44"/>
        <v/>
      </c>
      <c r="AJ101" s="18">
        <f t="shared" si="45"/>
        <v>0</v>
      </c>
      <c r="AK101" s="19" t="e">
        <f t="shared" si="46"/>
        <v>#VALUE!</v>
      </c>
    </row>
    <row r="102" spans="2:37" ht="23.4" hidden="1" customHeight="1" x14ac:dyDescent="0.3">
      <c r="B102" s="152" t="s">
        <v>73</v>
      </c>
      <c r="C102" s="153"/>
      <c r="D102" s="8"/>
      <c r="E102" s="11">
        <f>SUM(E71:E100)</f>
        <v>3007</v>
      </c>
      <c r="F102" s="8"/>
      <c r="G102" s="11">
        <f>SUM(G71:G100)</f>
        <v>40724</v>
      </c>
      <c r="H102" s="8"/>
      <c r="I102" s="11">
        <f>SUM(I71:I100)</f>
        <v>76985</v>
      </c>
      <c r="J102" s="8"/>
      <c r="K102" s="11">
        <f>SUM(K71:K100)</f>
        <v>15479</v>
      </c>
      <c r="L102" s="8"/>
      <c r="M102" s="11">
        <f>SUM(M71:M100)</f>
        <v>4198</v>
      </c>
      <c r="N102" s="8"/>
      <c r="O102" s="11">
        <f>SUM(O71:O100)</f>
        <v>11906</v>
      </c>
      <c r="P102" s="8"/>
      <c r="Q102" s="11">
        <f>SUM(Q71:Q100)</f>
        <v>4243</v>
      </c>
      <c r="R102" s="8"/>
      <c r="S102" s="11">
        <f>SUM(S71:S100)</f>
        <v>18037</v>
      </c>
      <c r="T102" s="8"/>
      <c r="U102" s="11">
        <f>SUM(U71:U100)</f>
        <v>4523</v>
      </c>
      <c r="V102" s="8"/>
      <c r="W102" s="11">
        <f>SUM(W71:W100)</f>
        <v>0</v>
      </c>
      <c r="X102" s="8"/>
      <c r="Y102" s="11">
        <f>SUM(Y71:Y100)</f>
        <v>16156</v>
      </c>
      <c r="Z102" s="8"/>
      <c r="AA102" s="11">
        <f>SUM(AA71:AA100)</f>
        <v>1</v>
      </c>
      <c r="AB102" s="8"/>
      <c r="AC102" s="11">
        <f>SUM(AC71:AC100)</f>
        <v>4778</v>
      </c>
      <c r="AD102" s="8"/>
      <c r="AE102" s="11">
        <f>SUM(AE71:AE100)</f>
        <v>0</v>
      </c>
      <c r="AF102" s="8"/>
      <c r="AG102" s="11">
        <f>SUM(AG71:AG100)</f>
        <v>0</v>
      </c>
      <c r="AH102" s="8"/>
      <c r="AI102" s="11">
        <f>SUM(AI71:AI100)</f>
        <v>24866</v>
      </c>
      <c r="AJ102" s="18">
        <f t="shared" si="45"/>
        <v>144911</v>
      </c>
      <c r="AK102" s="19">
        <f t="shared" si="46"/>
        <v>-64919</v>
      </c>
    </row>
    <row r="103" spans="2:37" ht="21" customHeight="1" x14ac:dyDescent="0.3">
      <c r="B103" s="9" t="s">
        <v>67</v>
      </c>
      <c r="C103" s="34">
        <v>45931</v>
      </c>
      <c r="D103" s="5">
        <v>271343</v>
      </c>
      <c r="E103" s="16">
        <f t="shared" ref="E103:E134" si="64">IF(D104&lt;&gt;"",D104-D103,"")</f>
        <v>4416</v>
      </c>
      <c r="F103" s="5">
        <v>82321</v>
      </c>
      <c r="G103" s="16">
        <f t="shared" ref="G103:G134" si="65">IF(F104&lt;&gt;"",F104-F103,"")</f>
        <v>2033</v>
      </c>
      <c r="H103" s="5">
        <v>101815</v>
      </c>
      <c r="I103" s="16">
        <f t="shared" ref="I103:I134" si="66">IF(H104&lt;&gt;"",H104-H103,"")</f>
        <v>2272</v>
      </c>
      <c r="J103" s="13">
        <v>48170</v>
      </c>
      <c r="K103" s="16">
        <f t="shared" ref="K103:K134" si="67">IF(J104&lt;&gt;"",J104-J103,"")</f>
        <v>571</v>
      </c>
      <c r="L103" s="5">
        <v>9458</v>
      </c>
      <c r="M103" s="12">
        <f t="shared" ref="M103:M131" si="68">IF(L104&lt;&gt;"",L104-L103,"")</f>
        <v>181</v>
      </c>
      <c r="N103" s="13">
        <v>39056</v>
      </c>
      <c r="O103" s="6">
        <f t="shared" ref="O103:O134" si="69">IF(N104&lt;&gt;"",N104-N103,"")</f>
        <v>492</v>
      </c>
      <c r="P103" s="5">
        <v>11774</v>
      </c>
      <c r="Q103" s="12">
        <f t="shared" ref="Q103:Q134" si="70">IF(P104&lt;&gt;"",P104-P103,"")</f>
        <v>172</v>
      </c>
      <c r="R103" s="13">
        <v>68234</v>
      </c>
      <c r="S103" s="6">
        <f t="shared" ref="S103:S134" si="71">IF(R104&lt;&gt;"",R104-R103,"")</f>
        <v>738</v>
      </c>
      <c r="T103" s="5">
        <v>13865</v>
      </c>
      <c r="U103" s="12">
        <f t="shared" ref="U103:U134" si="72">IF(T104&lt;&gt;"",T104-T103,"")</f>
        <v>211</v>
      </c>
      <c r="V103" s="13">
        <v>48639</v>
      </c>
      <c r="W103" s="6">
        <f t="shared" ref="W103:W134" si="73">IF(V104&lt;&gt;"",V104-V103,"")</f>
        <v>0</v>
      </c>
      <c r="X103" s="5">
        <v>52205</v>
      </c>
      <c r="Y103" s="6">
        <f t="shared" ref="Y103:Y134" si="74">IF(X104&lt;&gt;"",X104-X103,"")</f>
        <v>784</v>
      </c>
      <c r="Z103" s="5">
        <v>80</v>
      </c>
      <c r="AA103" s="91">
        <f t="shared" ref="AA103:AA134" si="75">IF(Z104&lt;&gt;"",Z104-Z103,"")</f>
        <v>0</v>
      </c>
      <c r="AB103" s="5">
        <v>16636</v>
      </c>
      <c r="AC103" s="16">
        <f t="shared" ref="AC103:AC134" si="76">IF(AB104&lt;&gt;"",AB104-AB103,"")</f>
        <v>213</v>
      </c>
      <c r="AD103" s="5">
        <v>6755</v>
      </c>
      <c r="AE103" s="16">
        <f t="shared" ref="AE103:AE134" si="77">IF(AD104&lt;&gt;"",AD104-AD103,"")</f>
        <v>0</v>
      </c>
      <c r="AF103" s="5">
        <v>11429</v>
      </c>
      <c r="AG103" s="16">
        <f t="shared" ref="AG103:AG134" si="78">IF(AF104&lt;&gt;"",AF104-AF103,"")</f>
        <v>0</v>
      </c>
      <c r="AH103" s="5">
        <v>44848</v>
      </c>
      <c r="AI103" s="16">
        <f t="shared" ref="AI103:AI134" si="79">IF(AH104&lt;&gt;"",AH104-AH103,"")</f>
        <v>999</v>
      </c>
      <c r="AJ103" s="18">
        <f t="shared" ref="AJ103:AJ120" si="80">SUM(G103,K103,M103,O103,Q103,S103,U103,W103,Y103,AA103,AC103,AE103,AG103,AI103)</f>
        <v>6394</v>
      </c>
      <c r="AK103" s="19">
        <f t="shared" ref="AK103:AK120" si="81">(E103+I103)-AJ103</f>
        <v>294</v>
      </c>
    </row>
    <row r="104" spans="2:37" ht="21" customHeight="1" x14ac:dyDescent="0.3">
      <c r="B104" s="9" t="s">
        <v>68</v>
      </c>
      <c r="C104" s="34">
        <v>45932</v>
      </c>
      <c r="D104" s="5">
        <v>275759</v>
      </c>
      <c r="E104" s="16">
        <f t="shared" si="64"/>
        <v>5082</v>
      </c>
      <c r="F104" s="5">
        <v>84354</v>
      </c>
      <c r="G104" s="16">
        <f t="shared" si="65"/>
        <v>2197</v>
      </c>
      <c r="H104" s="5">
        <v>104087</v>
      </c>
      <c r="I104" s="16">
        <f t="shared" si="66"/>
        <v>2463</v>
      </c>
      <c r="J104" s="13">
        <v>48741</v>
      </c>
      <c r="K104" s="16">
        <f t="shared" si="67"/>
        <v>660</v>
      </c>
      <c r="L104" s="5">
        <v>9639</v>
      </c>
      <c r="M104" s="12">
        <f t="shared" si="68"/>
        <v>200</v>
      </c>
      <c r="N104" s="13">
        <v>39548</v>
      </c>
      <c r="O104" s="6">
        <f t="shared" si="69"/>
        <v>518</v>
      </c>
      <c r="P104" s="5">
        <v>11946</v>
      </c>
      <c r="Q104" s="12">
        <f t="shared" si="70"/>
        <v>206</v>
      </c>
      <c r="R104" s="13">
        <v>68972</v>
      </c>
      <c r="S104" s="6">
        <f t="shared" si="71"/>
        <v>824</v>
      </c>
      <c r="T104" s="5">
        <v>14076</v>
      </c>
      <c r="U104" s="12">
        <f t="shared" si="72"/>
        <v>234</v>
      </c>
      <c r="V104" s="13">
        <v>48639</v>
      </c>
      <c r="W104" s="6">
        <f t="shared" si="73"/>
        <v>0</v>
      </c>
      <c r="X104" s="5">
        <v>52989</v>
      </c>
      <c r="Y104" s="6">
        <f t="shared" si="74"/>
        <v>892</v>
      </c>
      <c r="Z104" s="5">
        <v>80</v>
      </c>
      <c r="AA104" s="91">
        <f t="shared" si="75"/>
        <v>0</v>
      </c>
      <c r="AB104" s="5">
        <v>16849</v>
      </c>
      <c r="AC104" s="16">
        <f t="shared" si="76"/>
        <v>224</v>
      </c>
      <c r="AD104" s="5">
        <v>6755</v>
      </c>
      <c r="AE104" s="16">
        <f t="shared" si="77"/>
        <v>0</v>
      </c>
      <c r="AF104" s="5">
        <v>11429</v>
      </c>
      <c r="AG104" s="16">
        <f t="shared" si="78"/>
        <v>0</v>
      </c>
      <c r="AH104" s="5">
        <v>45847</v>
      </c>
      <c r="AI104" s="16">
        <f t="shared" si="79"/>
        <v>1242</v>
      </c>
      <c r="AJ104" s="18">
        <f t="shared" si="80"/>
        <v>7197</v>
      </c>
      <c r="AK104" s="19">
        <f t="shared" si="81"/>
        <v>348</v>
      </c>
    </row>
    <row r="105" spans="2:37" ht="21" customHeight="1" x14ac:dyDescent="0.3">
      <c r="B105" s="9" t="s">
        <v>69</v>
      </c>
      <c r="C105" s="34">
        <v>45933</v>
      </c>
      <c r="D105" s="5">
        <v>280841</v>
      </c>
      <c r="E105" s="16">
        <f t="shared" si="64"/>
        <v>4277</v>
      </c>
      <c r="F105" s="5">
        <v>86551</v>
      </c>
      <c r="G105" s="16">
        <f t="shared" si="65"/>
        <v>2382</v>
      </c>
      <c r="H105" s="5">
        <v>106550</v>
      </c>
      <c r="I105" s="16">
        <f t="shared" si="66"/>
        <v>2575</v>
      </c>
      <c r="J105" s="13">
        <v>49401</v>
      </c>
      <c r="K105" s="16">
        <f t="shared" si="67"/>
        <v>563</v>
      </c>
      <c r="L105" s="5">
        <v>9839</v>
      </c>
      <c r="M105" s="12">
        <f t="shared" si="68"/>
        <v>158</v>
      </c>
      <c r="N105" s="13">
        <v>40066</v>
      </c>
      <c r="O105" s="6">
        <f t="shared" si="69"/>
        <v>312</v>
      </c>
      <c r="P105" s="5">
        <v>12152</v>
      </c>
      <c r="Q105" s="12">
        <f t="shared" si="70"/>
        <v>181</v>
      </c>
      <c r="R105" s="13">
        <v>69796</v>
      </c>
      <c r="S105" s="6">
        <f t="shared" si="71"/>
        <v>649</v>
      </c>
      <c r="T105" s="5">
        <v>14310</v>
      </c>
      <c r="U105" s="12">
        <f t="shared" si="72"/>
        <v>197</v>
      </c>
      <c r="V105" s="13">
        <v>48639</v>
      </c>
      <c r="W105" s="6">
        <f t="shared" si="73"/>
        <v>0</v>
      </c>
      <c r="X105" s="5">
        <v>53881</v>
      </c>
      <c r="Y105" s="6">
        <f t="shared" si="74"/>
        <v>752</v>
      </c>
      <c r="Z105" s="5">
        <v>80</v>
      </c>
      <c r="AA105" s="91">
        <f t="shared" si="75"/>
        <v>0</v>
      </c>
      <c r="AB105" s="5">
        <v>17073</v>
      </c>
      <c r="AC105" s="16">
        <f t="shared" si="76"/>
        <v>206</v>
      </c>
      <c r="AD105" s="5">
        <v>6755</v>
      </c>
      <c r="AE105" s="16">
        <f t="shared" si="77"/>
        <v>0</v>
      </c>
      <c r="AF105" s="5">
        <v>11429</v>
      </c>
      <c r="AG105" s="16">
        <f t="shared" si="78"/>
        <v>0</v>
      </c>
      <c r="AH105" s="5">
        <v>47089</v>
      </c>
      <c r="AI105" s="16">
        <f t="shared" si="79"/>
        <v>1094</v>
      </c>
      <c r="AJ105" s="18">
        <f t="shared" si="80"/>
        <v>6494</v>
      </c>
      <c r="AK105" s="19">
        <f t="shared" si="81"/>
        <v>358</v>
      </c>
    </row>
    <row r="106" spans="2:37" ht="21" customHeight="1" x14ac:dyDescent="0.3">
      <c r="B106" s="9" t="s">
        <v>70</v>
      </c>
      <c r="C106" s="34">
        <v>45934</v>
      </c>
      <c r="D106" s="5">
        <v>285118</v>
      </c>
      <c r="E106" s="16">
        <f t="shared" si="64"/>
        <v>3942</v>
      </c>
      <c r="F106" s="5">
        <v>88933</v>
      </c>
      <c r="G106" s="16">
        <f t="shared" si="65"/>
        <v>2303</v>
      </c>
      <c r="H106" s="5">
        <v>109125</v>
      </c>
      <c r="I106" s="16">
        <f t="shared" si="66"/>
        <v>2846</v>
      </c>
      <c r="J106" s="13">
        <v>49964</v>
      </c>
      <c r="K106" s="16">
        <f t="shared" si="67"/>
        <v>568</v>
      </c>
      <c r="L106" s="5">
        <v>9997</v>
      </c>
      <c r="M106" s="12">
        <f t="shared" si="68"/>
        <v>161</v>
      </c>
      <c r="N106" s="13">
        <v>40378</v>
      </c>
      <c r="O106" s="6">
        <f t="shared" si="69"/>
        <v>289</v>
      </c>
      <c r="P106" s="5">
        <v>12333</v>
      </c>
      <c r="Q106" s="12">
        <f t="shared" si="70"/>
        <v>170</v>
      </c>
      <c r="R106" s="13">
        <v>70445</v>
      </c>
      <c r="S106" s="6">
        <f t="shared" si="71"/>
        <v>688</v>
      </c>
      <c r="T106" s="5">
        <v>14507</v>
      </c>
      <c r="U106" s="12">
        <f t="shared" si="72"/>
        <v>196</v>
      </c>
      <c r="V106" s="13">
        <v>48639</v>
      </c>
      <c r="W106" s="6">
        <f t="shared" si="73"/>
        <v>0</v>
      </c>
      <c r="X106" s="5">
        <v>54633</v>
      </c>
      <c r="Y106" s="6">
        <f t="shared" si="74"/>
        <v>711</v>
      </c>
      <c r="Z106" s="5">
        <v>80</v>
      </c>
      <c r="AA106" s="91">
        <f t="shared" si="75"/>
        <v>0</v>
      </c>
      <c r="AB106" s="5">
        <v>17279</v>
      </c>
      <c r="AC106" s="16">
        <f t="shared" si="76"/>
        <v>196</v>
      </c>
      <c r="AD106" s="5">
        <v>6755</v>
      </c>
      <c r="AE106" s="16">
        <f t="shared" si="77"/>
        <v>0</v>
      </c>
      <c r="AF106" s="5">
        <v>11429</v>
      </c>
      <c r="AG106" s="16">
        <f t="shared" si="78"/>
        <v>0</v>
      </c>
      <c r="AH106" s="5">
        <v>48183</v>
      </c>
      <c r="AI106" s="16">
        <f t="shared" si="79"/>
        <v>982</v>
      </c>
      <c r="AJ106" s="18">
        <f t="shared" si="80"/>
        <v>6264</v>
      </c>
      <c r="AK106" s="19">
        <f t="shared" si="81"/>
        <v>524</v>
      </c>
    </row>
    <row r="107" spans="2:37" ht="21" customHeight="1" x14ac:dyDescent="0.3">
      <c r="B107" s="9" t="s">
        <v>71</v>
      </c>
      <c r="C107" s="34">
        <v>45935</v>
      </c>
      <c r="D107" s="5">
        <v>289060</v>
      </c>
      <c r="E107" s="16">
        <f t="shared" si="64"/>
        <v>640</v>
      </c>
      <c r="F107" s="5">
        <v>91236</v>
      </c>
      <c r="G107" s="16">
        <f t="shared" si="65"/>
        <v>127</v>
      </c>
      <c r="H107" s="5">
        <v>111971</v>
      </c>
      <c r="I107" s="16">
        <f t="shared" si="66"/>
        <v>0</v>
      </c>
      <c r="J107" s="13">
        <v>50532</v>
      </c>
      <c r="K107" s="16">
        <f t="shared" si="67"/>
        <v>28</v>
      </c>
      <c r="L107" s="5">
        <v>10158</v>
      </c>
      <c r="M107" s="12">
        <f t="shared" si="68"/>
        <v>15</v>
      </c>
      <c r="N107" s="13">
        <v>40667</v>
      </c>
      <c r="O107" s="6">
        <f t="shared" si="69"/>
        <v>35</v>
      </c>
      <c r="P107" s="5">
        <v>12503</v>
      </c>
      <c r="Q107" s="12">
        <f t="shared" si="70"/>
        <v>28</v>
      </c>
      <c r="R107" s="13">
        <v>71133</v>
      </c>
      <c r="S107" s="6">
        <f t="shared" si="71"/>
        <v>49</v>
      </c>
      <c r="T107" s="5">
        <v>14703</v>
      </c>
      <c r="U107" s="12">
        <f t="shared" si="72"/>
        <v>11</v>
      </c>
      <c r="V107" s="13">
        <v>48639</v>
      </c>
      <c r="W107" s="6">
        <f t="shared" si="73"/>
        <v>0</v>
      </c>
      <c r="X107" s="5">
        <v>55344</v>
      </c>
      <c r="Y107" s="6">
        <f t="shared" si="74"/>
        <v>109</v>
      </c>
      <c r="Z107" s="5">
        <v>80</v>
      </c>
      <c r="AA107" s="91">
        <f t="shared" si="75"/>
        <v>0</v>
      </c>
      <c r="AB107" s="5">
        <v>17475</v>
      </c>
      <c r="AC107" s="16">
        <f t="shared" si="76"/>
        <v>125</v>
      </c>
      <c r="AD107" s="5">
        <v>6755</v>
      </c>
      <c r="AE107" s="16">
        <f t="shared" si="77"/>
        <v>0</v>
      </c>
      <c r="AF107" s="5">
        <v>11429</v>
      </c>
      <c r="AG107" s="16">
        <f t="shared" si="78"/>
        <v>0</v>
      </c>
      <c r="AH107" s="5">
        <v>49165</v>
      </c>
      <c r="AI107" s="16">
        <f t="shared" si="79"/>
        <v>75</v>
      </c>
      <c r="AJ107" s="18">
        <f t="shared" si="80"/>
        <v>602</v>
      </c>
      <c r="AK107" s="19">
        <f t="shared" si="81"/>
        <v>38</v>
      </c>
    </row>
    <row r="108" spans="2:37" ht="21" customHeight="1" x14ac:dyDescent="0.3">
      <c r="B108" s="9" t="s">
        <v>72</v>
      </c>
      <c r="C108" s="34">
        <v>45936</v>
      </c>
      <c r="D108" s="5">
        <v>289700</v>
      </c>
      <c r="E108" s="16">
        <f t="shared" si="64"/>
        <v>5323</v>
      </c>
      <c r="F108" s="5">
        <v>91363</v>
      </c>
      <c r="G108" s="16">
        <f t="shared" si="65"/>
        <v>1878</v>
      </c>
      <c r="H108" s="5">
        <v>111971</v>
      </c>
      <c r="I108" s="16">
        <f t="shared" si="66"/>
        <v>145</v>
      </c>
      <c r="J108" s="13">
        <v>50560</v>
      </c>
      <c r="K108" s="16">
        <f t="shared" si="67"/>
        <v>562</v>
      </c>
      <c r="L108" s="5">
        <v>10173</v>
      </c>
      <c r="M108" s="12">
        <f t="shared" si="68"/>
        <v>142</v>
      </c>
      <c r="N108" s="13">
        <v>40702</v>
      </c>
      <c r="O108" s="6">
        <f t="shared" si="69"/>
        <v>293</v>
      </c>
      <c r="P108" s="5">
        <v>12531</v>
      </c>
      <c r="Q108" s="12">
        <f t="shared" si="70"/>
        <v>136</v>
      </c>
      <c r="R108" s="13">
        <v>71182</v>
      </c>
      <c r="S108" s="6">
        <f t="shared" si="71"/>
        <v>551</v>
      </c>
      <c r="T108" s="5">
        <v>14714</v>
      </c>
      <c r="U108" s="12">
        <f t="shared" si="72"/>
        <v>169</v>
      </c>
      <c r="V108" s="13">
        <v>48639</v>
      </c>
      <c r="W108" s="6">
        <f t="shared" si="73"/>
        <v>0</v>
      </c>
      <c r="X108" s="5">
        <v>55453</v>
      </c>
      <c r="Y108" s="6">
        <f t="shared" si="74"/>
        <v>481</v>
      </c>
      <c r="Z108" s="5">
        <v>80</v>
      </c>
      <c r="AA108" s="91">
        <f t="shared" si="75"/>
        <v>0</v>
      </c>
      <c r="AB108" s="5">
        <v>17600</v>
      </c>
      <c r="AC108" s="16">
        <f t="shared" si="76"/>
        <v>135</v>
      </c>
      <c r="AD108" s="5">
        <v>6755</v>
      </c>
      <c r="AE108" s="16">
        <f t="shared" si="77"/>
        <v>0</v>
      </c>
      <c r="AF108" s="5">
        <v>11429</v>
      </c>
      <c r="AG108" s="16">
        <f t="shared" si="78"/>
        <v>0</v>
      </c>
      <c r="AH108" s="5">
        <v>49240</v>
      </c>
      <c r="AI108" s="16">
        <f t="shared" si="79"/>
        <v>1027</v>
      </c>
      <c r="AJ108" s="18">
        <f t="shared" si="80"/>
        <v>5374</v>
      </c>
      <c r="AK108" s="19">
        <f t="shared" si="81"/>
        <v>94</v>
      </c>
    </row>
    <row r="109" spans="2:37" ht="21" customHeight="1" x14ac:dyDescent="0.3">
      <c r="B109" s="9" t="s">
        <v>66</v>
      </c>
      <c r="C109" s="34">
        <v>45937</v>
      </c>
      <c r="D109" s="5">
        <v>295023</v>
      </c>
      <c r="E109" s="16">
        <f t="shared" si="64"/>
        <v>3788</v>
      </c>
      <c r="F109" s="5">
        <v>93241</v>
      </c>
      <c r="G109" s="16">
        <f t="shared" si="65"/>
        <v>2155</v>
      </c>
      <c r="H109" s="5">
        <v>112116</v>
      </c>
      <c r="I109" s="16">
        <f t="shared" si="66"/>
        <v>2359</v>
      </c>
      <c r="J109" s="13">
        <v>51122</v>
      </c>
      <c r="K109" s="16">
        <f t="shared" si="67"/>
        <v>579</v>
      </c>
      <c r="L109" s="5">
        <v>10315</v>
      </c>
      <c r="M109" s="12">
        <f t="shared" si="68"/>
        <v>147</v>
      </c>
      <c r="N109" s="13">
        <v>40995</v>
      </c>
      <c r="O109" s="6">
        <f t="shared" si="69"/>
        <v>388</v>
      </c>
      <c r="P109" s="5">
        <v>12667</v>
      </c>
      <c r="Q109" s="12">
        <f t="shared" si="70"/>
        <v>150</v>
      </c>
      <c r="R109" s="13">
        <v>71733</v>
      </c>
      <c r="S109" s="6">
        <f t="shared" si="71"/>
        <v>524</v>
      </c>
      <c r="T109" s="5">
        <v>14883</v>
      </c>
      <c r="U109" s="12">
        <f t="shared" si="72"/>
        <v>153</v>
      </c>
      <c r="V109" s="13">
        <v>48639</v>
      </c>
      <c r="W109" s="6">
        <f t="shared" si="73"/>
        <v>0</v>
      </c>
      <c r="X109" s="5">
        <v>55934</v>
      </c>
      <c r="Y109" s="6">
        <f t="shared" si="74"/>
        <v>452</v>
      </c>
      <c r="Z109" s="5">
        <v>80</v>
      </c>
      <c r="AA109" s="91">
        <f t="shared" si="75"/>
        <v>1</v>
      </c>
      <c r="AB109" s="5">
        <v>17735</v>
      </c>
      <c r="AC109" s="16">
        <f t="shared" si="76"/>
        <v>152</v>
      </c>
      <c r="AD109" s="5">
        <v>6755</v>
      </c>
      <c r="AE109" s="16">
        <f t="shared" si="77"/>
        <v>0</v>
      </c>
      <c r="AF109" s="5">
        <v>11429</v>
      </c>
      <c r="AG109" s="16">
        <f t="shared" si="78"/>
        <v>0</v>
      </c>
      <c r="AH109" s="5">
        <v>50267</v>
      </c>
      <c r="AI109" s="16">
        <f t="shared" si="79"/>
        <v>1141</v>
      </c>
      <c r="AJ109" s="18">
        <f t="shared" si="80"/>
        <v>5842</v>
      </c>
      <c r="AK109" s="19">
        <f t="shared" si="81"/>
        <v>305</v>
      </c>
    </row>
    <row r="110" spans="2:37" ht="21" customHeight="1" x14ac:dyDescent="0.3">
      <c r="B110" s="9" t="s">
        <v>67</v>
      </c>
      <c r="C110" s="34">
        <v>45938</v>
      </c>
      <c r="D110" s="5">
        <v>298811</v>
      </c>
      <c r="E110" s="16">
        <f t="shared" si="64"/>
        <v>3162</v>
      </c>
      <c r="F110" s="5">
        <v>95396</v>
      </c>
      <c r="G110" s="16">
        <f t="shared" si="65"/>
        <v>2093</v>
      </c>
      <c r="H110" s="5">
        <v>114475</v>
      </c>
      <c r="I110" s="16">
        <f t="shared" si="66"/>
        <v>3197</v>
      </c>
      <c r="J110" s="13">
        <v>51701</v>
      </c>
      <c r="K110" s="16">
        <f t="shared" si="67"/>
        <v>573</v>
      </c>
      <c r="L110" s="5">
        <v>10462</v>
      </c>
      <c r="M110" s="12">
        <f t="shared" si="68"/>
        <v>141</v>
      </c>
      <c r="N110" s="13">
        <v>41383</v>
      </c>
      <c r="O110" s="6">
        <f t="shared" si="69"/>
        <v>438</v>
      </c>
      <c r="P110" s="5">
        <v>12817</v>
      </c>
      <c r="Q110" s="12">
        <f t="shared" si="70"/>
        <v>154</v>
      </c>
      <c r="R110" s="13">
        <v>72257</v>
      </c>
      <c r="S110" s="6">
        <f t="shared" si="71"/>
        <v>530</v>
      </c>
      <c r="T110" s="5">
        <v>15036</v>
      </c>
      <c r="U110" s="12">
        <f t="shared" si="72"/>
        <v>141</v>
      </c>
      <c r="V110" s="13">
        <v>48639</v>
      </c>
      <c r="W110" s="6">
        <f t="shared" si="73"/>
        <v>0</v>
      </c>
      <c r="X110" s="5">
        <v>56386</v>
      </c>
      <c r="Y110" s="6">
        <f t="shared" si="74"/>
        <v>381</v>
      </c>
      <c r="Z110" s="5">
        <v>81</v>
      </c>
      <c r="AA110" s="91">
        <f t="shared" si="75"/>
        <v>0</v>
      </c>
      <c r="AB110" s="5">
        <v>17887</v>
      </c>
      <c r="AC110" s="16">
        <f t="shared" si="76"/>
        <v>182</v>
      </c>
      <c r="AD110" s="5">
        <v>6755</v>
      </c>
      <c r="AE110" s="16">
        <f t="shared" si="77"/>
        <v>0</v>
      </c>
      <c r="AF110" s="5">
        <v>11429</v>
      </c>
      <c r="AG110" s="16">
        <f t="shared" si="78"/>
        <v>0</v>
      </c>
      <c r="AH110" s="5">
        <v>51408</v>
      </c>
      <c r="AI110" s="16">
        <f t="shared" si="79"/>
        <v>1215</v>
      </c>
      <c r="AJ110" s="18">
        <f t="shared" si="80"/>
        <v>5848</v>
      </c>
      <c r="AK110" s="19">
        <f t="shared" si="81"/>
        <v>511</v>
      </c>
    </row>
    <row r="111" spans="2:37" ht="21" customHeight="1" x14ac:dyDescent="0.3">
      <c r="B111" s="9" t="s">
        <v>68</v>
      </c>
      <c r="C111" s="34">
        <v>45939</v>
      </c>
      <c r="D111" s="5">
        <v>301973</v>
      </c>
      <c r="E111" s="16">
        <f t="shared" si="64"/>
        <v>3223</v>
      </c>
      <c r="F111" s="5">
        <v>97489</v>
      </c>
      <c r="G111" s="16">
        <f t="shared" si="65"/>
        <v>2308</v>
      </c>
      <c r="H111" s="5">
        <v>117672</v>
      </c>
      <c r="I111" s="16">
        <f t="shared" si="66"/>
        <v>3326</v>
      </c>
      <c r="J111" s="13">
        <v>52274</v>
      </c>
      <c r="K111" s="16">
        <f t="shared" si="67"/>
        <v>549</v>
      </c>
      <c r="L111" s="5">
        <v>10603</v>
      </c>
      <c r="M111" s="12">
        <f t="shared" si="68"/>
        <v>139</v>
      </c>
      <c r="N111" s="13">
        <v>41821</v>
      </c>
      <c r="O111" s="6">
        <f t="shared" si="69"/>
        <v>438</v>
      </c>
      <c r="P111" s="5">
        <v>12971</v>
      </c>
      <c r="Q111" s="12">
        <f t="shared" si="70"/>
        <v>153</v>
      </c>
      <c r="R111" s="13">
        <v>72787</v>
      </c>
      <c r="S111" s="6">
        <f t="shared" si="71"/>
        <v>555</v>
      </c>
      <c r="T111" s="5">
        <v>15177</v>
      </c>
      <c r="U111" s="12">
        <f t="shared" si="72"/>
        <v>145</v>
      </c>
      <c r="V111" s="13">
        <v>48639</v>
      </c>
      <c r="W111" s="6">
        <f t="shared" si="73"/>
        <v>0</v>
      </c>
      <c r="X111" s="5">
        <v>56767</v>
      </c>
      <c r="Y111" s="6">
        <f t="shared" si="74"/>
        <v>457</v>
      </c>
      <c r="Z111" s="5">
        <v>81</v>
      </c>
      <c r="AA111" s="91">
        <f t="shared" si="75"/>
        <v>0</v>
      </c>
      <c r="AB111" s="5">
        <v>18069</v>
      </c>
      <c r="AC111" s="16">
        <f t="shared" si="76"/>
        <v>181</v>
      </c>
      <c r="AD111" s="5">
        <v>6755</v>
      </c>
      <c r="AE111" s="16">
        <f t="shared" si="77"/>
        <v>0</v>
      </c>
      <c r="AF111" s="5">
        <v>11429</v>
      </c>
      <c r="AG111" s="16">
        <f t="shared" si="78"/>
        <v>0</v>
      </c>
      <c r="AH111" s="5">
        <v>52623</v>
      </c>
      <c r="AI111" s="16">
        <f t="shared" si="79"/>
        <v>1223</v>
      </c>
      <c r="AJ111" s="18">
        <f t="shared" si="80"/>
        <v>6148</v>
      </c>
      <c r="AK111" s="19">
        <f t="shared" si="81"/>
        <v>401</v>
      </c>
    </row>
    <row r="112" spans="2:37" ht="21" customHeight="1" x14ac:dyDescent="0.3">
      <c r="B112" s="9" t="s">
        <v>69</v>
      </c>
      <c r="C112" s="34">
        <v>45940</v>
      </c>
      <c r="D112" s="5">
        <v>305196</v>
      </c>
      <c r="E112" s="16">
        <f t="shared" si="64"/>
        <v>3262</v>
      </c>
      <c r="F112" s="5">
        <v>99797</v>
      </c>
      <c r="G112" s="16">
        <f t="shared" si="65"/>
        <v>2158</v>
      </c>
      <c r="H112" s="5">
        <v>120998</v>
      </c>
      <c r="I112" s="16">
        <f t="shared" si="66"/>
        <v>3003</v>
      </c>
      <c r="J112" s="13">
        <v>52823</v>
      </c>
      <c r="K112" s="16">
        <f t="shared" si="67"/>
        <v>447</v>
      </c>
      <c r="L112" s="5">
        <v>10742</v>
      </c>
      <c r="M112" s="12">
        <f t="shared" si="68"/>
        <v>160</v>
      </c>
      <c r="N112" s="13">
        <v>42259</v>
      </c>
      <c r="O112" s="6">
        <f t="shared" si="69"/>
        <v>284</v>
      </c>
      <c r="P112" s="5">
        <v>13124</v>
      </c>
      <c r="Q112" s="12">
        <f t="shared" si="70"/>
        <v>138</v>
      </c>
      <c r="R112" s="13">
        <v>73342</v>
      </c>
      <c r="S112" s="6">
        <f t="shared" si="71"/>
        <v>582</v>
      </c>
      <c r="T112" s="5">
        <v>15322</v>
      </c>
      <c r="U112" s="12">
        <f t="shared" si="72"/>
        <v>173</v>
      </c>
      <c r="V112" s="13">
        <v>48639</v>
      </c>
      <c r="W112" s="6">
        <f t="shared" si="73"/>
        <v>0</v>
      </c>
      <c r="X112" s="5">
        <v>57224</v>
      </c>
      <c r="Y112" s="6">
        <f t="shared" si="74"/>
        <v>514</v>
      </c>
      <c r="Z112" s="5">
        <v>81</v>
      </c>
      <c r="AA112" s="91">
        <f t="shared" si="75"/>
        <v>0</v>
      </c>
      <c r="AB112" s="5">
        <v>18250</v>
      </c>
      <c r="AC112" s="16">
        <f t="shared" si="76"/>
        <v>191</v>
      </c>
      <c r="AD112" s="5">
        <v>6755</v>
      </c>
      <c r="AE112" s="16">
        <f t="shared" si="77"/>
        <v>0</v>
      </c>
      <c r="AF112" s="5">
        <v>11429</v>
      </c>
      <c r="AG112" s="16">
        <f t="shared" si="78"/>
        <v>0</v>
      </c>
      <c r="AH112" s="5">
        <v>53846</v>
      </c>
      <c r="AI112" s="16">
        <f t="shared" si="79"/>
        <v>1257</v>
      </c>
      <c r="AJ112" s="18">
        <f t="shared" si="80"/>
        <v>5904</v>
      </c>
      <c r="AK112" s="19">
        <f t="shared" si="81"/>
        <v>361</v>
      </c>
    </row>
    <row r="113" spans="2:37" ht="21" customHeight="1" x14ac:dyDescent="0.3">
      <c r="B113" s="9" t="s">
        <v>70</v>
      </c>
      <c r="C113" s="34">
        <v>45941</v>
      </c>
      <c r="D113" s="5">
        <v>308458</v>
      </c>
      <c r="E113" s="16">
        <f t="shared" si="64"/>
        <v>3178</v>
      </c>
      <c r="F113" s="5">
        <v>101955</v>
      </c>
      <c r="G113" s="16">
        <f t="shared" si="65"/>
        <v>2140</v>
      </c>
      <c r="H113" s="5">
        <v>124001</v>
      </c>
      <c r="I113" s="16">
        <f t="shared" si="66"/>
        <v>3150</v>
      </c>
      <c r="J113" s="13">
        <v>53270</v>
      </c>
      <c r="K113" s="16">
        <f t="shared" si="67"/>
        <v>475</v>
      </c>
      <c r="L113" s="5">
        <v>10902</v>
      </c>
      <c r="M113" s="12">
        <f t="shared" si="68"/>
        <v>136</v>
      </c>
      <c r="N113" s="13">
        <v>42543</v>
      </c>
      <c r="O113" s="6">
        <f t="shared" si="69"/>
        <v>294</v>
      </c>
      <c r="P113" s="5">
        <v>13262</v>
      </c>
      <c r="Q113" s="12">
        <f t="shared" si="70"/>
        <v>131</v>
      </c>
      <c r="R113" s="13">
        <v>73924</v>
      </c>
      <c r="S113" s="6">
        <f t="shared" si="71"/>
        <v>577</v>
      </c>
      <c r="T113" s="5">
        <v>15495</v>
      </c>
      <c r="U113" s="12">
        <f t="shared" si="72"/>
        <v>193</v>
      </c>
      <c r="V113" s="13">
        <v>48639</v>
      </c>
      <c r="W113" s="6">
        <f t="shared" si="73"/>
        <v>0</v>
      </c>
      <c r="X113" s="5">
        <v>57738</v>
      </c>
      <c r="Y113" s="6">
        <f t="shared" si="74"/>
        <v>499</v>
      </c>
      <c r="Z113" s="5">
        <v>81</v>
      </c>
      <c r="AA113" s="91">
        <f t="shared" si="75"/>
        <v>0</v>
      </c>
      <c r="AB113" s="5">
        <v>18441</v>
      </c>
      <c r="AC113" s="16">
        <f t="shared" si="76"/>
        <v>196</v>
      </c>
      <c r="AD113" s="5">
        <v>6755</v>
      </c>
      <c r="AE113" s="16">
        <f t="shared" si="77"/>
        <v>0</v>
      </c>
      <c r="AF113" s="5">
        <v>11429</v>
      </c>
      <c r="AG113" s="16">
        <f t="shared" si="78"/>
        <v>0</v>
      </c>
      <c r="AH113" s="5">
        <v>55103</v>
      </c>
      <c r="AI113" s="16">
        <f t="shared" si="79"/>
        <v>1256</v>
      </c>
      <c r="AJ113" s="18">
        <f t="shared" si="80"/>
        <v>5897</v>
      </c>
      <c r="AK113" s="19">
        <f t="shared" si="81"/>
        <v>431</v>
      </c>
    </row>
    <row r="114" spans="2:37" ht="21" customHeight="1" x14ac:dyDescent="0.3">
      <c r="B114" s="9" t="s">
        <v>71</v>
      </c>
      <c r="C114" s="34">
        <v>45942</v>
      </c>
      <c r="D114" s="5">
        <v>311636</v>
      </c>
      <c r="E114" s="16">
        <f t="shared" si="64"/>
        <v>253</v>
      </c>
      <c r="F114" s="5">
        <v>104095</v>
      </c>
      <c r="G114" s="16">
        <f t="shared" si="65"/>
        <v>195</v>
      </c>
      <c r="H114" s="5">
        <v>127151</v>
      </c>
      <c r="I114" s="16">
        <f t="shared" si="66"/>
        <v>1311</v>
      </c>
      <c r="J114" s="13">
        <v>53745</v>
      </c>
      <c r="K114" s="16">
        <f t="shared" si="67"/>
        <v>62</v>
      </c>
      <c r="L114" s="5">
        <v>11038</v>
      </c>
      <c r="M114" s="12">
        <f t="shared" si="68"/>
        <v>8</v>
      </c>
      <c r="N114" s="13">
        <v>42837</v>
      </c>
      <c r="O114" s="6">
        <f t="shared" si="69"/>
        <v>5</v>
      </c>
      <c r="P114" s="5">
        <v>13393</v>
      </c>
      <c r="Q114" s="12">
        <f t="shared" si="70"/>
        <v>9</v>
      </c>
      <c r="R114" s="13">
        <v>74501</v>
      </c>
      <c r="S114" s="6">
        <f t="shared" si="71"/>
        <v>7</v>
      </c>
      <c r="T114" s="5">
        <v>15688</v>
      </c>
      <c r="U114" s="12">
        <f t="shared" si="72"/>
        <v>2</v>
      </c>
      <c r="V114" s="13">
        <v>48639</v>
      </c>
      <c r="W114" s="6">
        <f t="shared" si="73"/>
        <v>0</v>
      </c>
      <c r="X114" s="5">
        <v>58237</v>
      </c>
      <c r="Y114" s="6">
        <f t="shared" si="74"/>
        <v>70</v>
      </c>
      <c r="Z114" s="5">
        <v>81</v>
      </c>
      <c r="AA114" s="91">
        <f t="shared" si="75"/>
        <v>0</v>
      </c>
      <c r="AB114" s="5">
        <v>18637</v>
      </c>
      <c r="AC114" s="16">
        <f t="shared" si="76"/>
        <v>172</v>
      </c>
      <c r="AD114" s="5">
        <v>6755</v>
      </c>
      <c r="AE114" s="16">
        <f t="shared" si="77"/>
        <v>0</v>
      </c>
      <c r="AF114" s="5">
        <v>11429</v>
      </c>
      <c r="AG114" s="16">
        <f t="shared" si="78"/>
        <v>0</v>
      </c>
      <c r="AH114" s="5">
        <v>56359</v>
      </c>
      <c r="AI114" s="16">
        <f t="shared" si="79"/>
        <v>13</v>
      </c>
      <c r="AJ114" s="18">
        <f t="shared" si="80"/>
        <v>543</v>
      </c>
      <c r="AK114" s="19">
        <f t="shared" si="81"/>
        <v>1021</v>
      </c>
    </row>
    <row r="115" spans="2:37" ht="21" customHeight="1" x14ac:dyDescent="0.3">
      <c r="B115" s="9" t="s">
        <v>72</v>
      </c>
      <c r="C115" s="34">
        <v>45943</v>
      </c>
      <c r="D115" s="5">
        <v>311889</v>
      </c>
      <c r="E115" s="16">
        <f t="shared" si="64"/>
        <v>3146</v>
      </c>
      <c r="F115" s="5">
        <v>104290</v>
      </c>
      <c r="G115" s="16">
        <f t="shared" si="65"/>
        <v>1994</v>
      </c>
      <c r="H115" s="5">
        <v>128462</v>
      </c>
      <c r="I115" s="16">
        <f t="shared" si="66"/>
        <v>2932</v>
      </c>
      <c r="J115" s="13">
        <v>53807</v>
      </c>
      <c r="K115" s="16">
        <f t="shared" si="67"/>
        <v>440</v>
      </c>
      <c r="L115" s="5">
        <v>11046</v>
      </c>
      <c r="M115" s="12">
        <f t="shared" si="68"/>
        <v>152</v>
      </c>
      <c r="N115" s="13">
        <v>42842</v>
      </c>
      <c r="O115" s="6">
        <f t="shared" si="69"/>
        <v>306</v>
      </c>
      <c r="P115" s="5">
        <v>13402</v>
      </c>
      <c r="Q115" s="12">
        <f t="shared" si="70"/>
        <v>144</v>
      </c>
      <c r="R115" s="13">
        <v>74508</v>
      </c>
      <c r="S115" s="6">
        <f t="shared" si="71"/>
        <v>588</v>
      </c>
      <c r="T115" s="5">
        <v>15690</v>
      </c>
      <c r="U115" s="12">
        <f t="shared" si="72"/>
        <v>209</v>
      </c>
      <c r="V115" s="13">
        <v>48639</v>
      </c>
      <c r="W115" s="6">
        <f t="shared" si="73"/>
        <v>0</v>
      </c>
      <c r="X115" s="5">
        <v>58307</v>
      </c>
      <c r="Y115" s="6">
        <f t="shared" si="74"/>
        <v>544</v>
      </c>
      <c r="Z115" s="5">
        <v>81</v>
      </c>
      <c r="AA115" s="91">
        <f t="shared" si="75"/>
        <v>0</v>
      </c>
      <c r="AB115" s="5">
        <v>18809</v>
      </c>
      <c r="AC115" s="16">
        <f t="shared" si="76"/>
        <v>188</v>
      </c>
      <c r="AD115" s="5">
        <v>6755</v>
      </c>
      <c r="AE115" s="16">
        <f t="shared" si="77"/>
        <v>0</v>
      </c>
      <c r="AF115" s="5">
        <v>11429</v>
      </c>
      <c r="AG115" s="16">
        <f t="shared" si="78"/>
        <v>0</v>
      </c>
      <c r="AH115" s="5">
        <v>56372</v>
      </c>
      <c r="AI115" s="16">
        <f t="shared" si="79"/>
        <v>1127</v>
      </c>
      <c r="AJ115" s="18">
        <f t="shared" si="80"/>
        <v>5692</v>
      </c>
      <c r="AK115" s="19">
        <f t="shared" si="81"/>
        <v>386</v>
      </c>
    </row>
    <row r="116" spans="2:37" ht="21" customHeight="1" x14ac:dyDescent="0.3">
      <c r="B116" s="9" t="s">
        <v>66</v>
      </c>
      <c r="C116" s="34">
        <v>45944</v>
      </c>
      <c r="D116" s="5">
        <v>315035</v>
      </c>
      <c r="E116" s="16">
        <f t="shared" si="64"/>
        <v>4030</v>
      </c>
      <c r="F116" s="5">
        <v>106284</v>
      </c>
      <c r="G116" s="16">
        <f t="shared" si="65"/>
        <v>2460</v>
      </c>
      <c r="H116" s="5">
        <v>131394</v>
      </c>
      <c r="I116" s="16">
        <f t="shared" si="66"/>
        <v>2793</v>
      </c>
      <c r="J116" s="13">
        <v>54247</v>
      </c>
      <c r="K116" s="16">
        <f t="shared" si="67"/>
        <v>483</v>
      </c>
      <c r="L116" s="5">
        <v>11198</v>
      </c>
      <c r="M116" s="12">
        <f t="shared" si="68"/>
        <v>158</v>
      </c>
      <c r="N116" s="13">
        <v>43148</v>
      </c>
      <c r="O116" s="6">
        <f t="shared" si="69"/>
        <v>312</v>
      </c>
      <c r="P116" s="5">
        <v>13546</v>
      </c>
      <c r="Q116" s="12">
        <f t="shared" si="70"/>
        <v>150</v>
      </c>
      <c r="R116" s="13">
        <v>75096</v>
      </c>
      <c r="S116" s="6">
        <f t="shared" si="71"/>
        <v>594</v>
      </c>
      <c r="T116" s="5">
        <v>15899</v>
      </c>
      <c r="U116" s="12">
        <f t="shared" si="72"/>
        <v>205</v>
      </c>
      <c r="V116" s="13">
        <v>48639</v>
      </c>
      <c r="W116" s="6">
        <f t="shared" si="73"/>
        <v>0</v>
      </c>
      <c r="X116" s="5">
        <v>58851</v>
      </c>
      <c r="Y116" s="6">
        <f t="shared" si="74"/>
        <v>591</v>
      </c>
      <c r="Z116" s="5">
        <v>81</v>
      </c>
      <c r="AA116" s="91">
        <f t="shared" si="75"/>
        <v>0</v>
      </c>
      <c r="AB116" s="5">
        <v>18997</v>
      </c>
      <c r="AC116" s="16">
        <f t="shared" si="76"/>
        <v>190</v>
      </c>
      <c r="AD116" s="5">
        <v>6755</v>
      </c>
      <c r="AE116" s="16">
        <f t="shared" si="77"/>
        <v>0</v>
      </c>
      <c r="AF116" s="5">
        <v>11429</v>
      </c>
      <c r="AG116" s="16">
        <f t="shared" si="78"/>
        <v>0</v>
      </c>
      <c r="AH116" s="5">
        <v>57499</v>
      </c>
      <c r="AI116" s="16">
        <f t="shared" si="79"/>
        <v>1324</v>
      </c>
      <c r="AJ116" s="18">
        <f t="shared" si="80"/>
        <v>6467</v>
      </c>
      <c r="AK116" s="19">
        <f t="shared" si="81"/>
        <v>356</v>
      </c>
    </row>
    <row r="117" spans="2:37" ht="21" customHeight="1" x14ac:dyDescent="0.3">
      <c r="B117" s="9" t="s">
        <v>67</v>
      </c>
      <c r="C117" s="34">
        <v>45945</v>
      </c>
      <c r="D117" s="5">
        <v>319065</v>
      </c>
      <c r="E117" s="16">
        <f t="shared" si="64"/>
        <v>5996</v>
      </c>
      <c r="F117" s="5">
        <v>108744</v>
      </c>
      <c r="G117" s="16">
        <f t="shared" si="65"/>
        <v>2677</v>
      </c>
      <c r="H117" s="5">
        <v>134187</v>
      </c>
      <c r="I117" s="16">
        <f t="shared" si="66"/>
        <v>1049</v>
      </c>
      <c r="J117" s="13">
        <v>54730</v>
      </c>
      <c r="K117" s="16">
        <f t="shared" si="67"/>
        <v>493</v>
      </c>
      <c r="L117" s="5">
        <v>11356</v>
      </c>
      <c r="M117" s="12">
        <f t="shared" si="68"/>
        <v>155</v>
      </c>
      <c r="N117" s="13">
        <v>43460</v>
      </c>
      <c r="O117" s="6">
        <f t="shared" si="69"/>
        <v>284</v>
      </c>
      <c r="P117" s="5">
        <v>13696</v>
      </c>
      <c r="Q117" s="12">
        <f t="shared" si="70"/>
        <v>134</v>
      </c>
      <c r="R117" s="13">
        <v>75690</v>
      </c>
      <c r="S117" s="6">
        <f t="shared" si="71"/>
        <v>606</v>
      </c>
      <c r="T117" s="5">
        <v>16104</v>
      </c>
      <c r="U117" s="12">
        <f t="shared" si="72"/>
        <v>273</v>
      </c>
      <c r="V117" s="13">
        <v>48639</v>
      </c>
      <c r="W117" s="6">
        <f t="shared" si="73"/>
        <v>0</v>
      </c>
      <c r="X117" s="5">
        <v>59442</v>
      </c>
      <c r="Y117" s="6">
        <f t="shared" si="74"/>
        <v>597</v>
      </c>
      <c r="Z117" s="5">
        <v>81</v>
      </c>
      <c r="AA117" s="91">
        <f t="shared" si="75"/>
        <v>0</v>
      </c>
      <c r="AB117" s="5">
        <v>19187</v>
      </c>
      <c r="AC117" s="16">
        <f t="shared" si="76"/>
        <v>181</v>
      </c>
      <c r="AD117" s="5">
        <v>6755</v>
      </c>
      <c r="AE117" s="16">
        <f t="shared" si="77"/>
        <v>0</v>
      </c>
      <c r="AF117" s="5">
        <v>11429</v>
      </c>
      <c r="AG117" s="16">
        <f t="shared" si="78"/>
        <v>0</v>
      </c>
      <c r="AH117" s="5">
        <v>58823</v>
      </c>
      <c r="AI117" s="16">
        <f t="shared" si="79"/>
        <v>1448</v>
      </c>
      <c r="AJ117" s="18">
        <f t="shared" si="80"/>
        <v>6848</v>
      </c>
      <c r="AK117" s="19">
        <f t="shared" si="81"/>
        <v>197</v>
      </c>
    </row>
    <row r="118" spans="2:37" ht="21" customHeight="1" x14ac:dyDescent="0.3">
      <c r="B118" s="9" t="s">
        <v>68</v>
      </c>
      <c r="C118" s="34">
        <v>45946</v>
      </c>
      <c r="D118" s="5">
        <v>325061</v>
      </c>
      <c r="E118" s="16">
        <f t="shared" si="64"/>
        <v>4421</v>
      </c>
      <c r="F118" s="5">
        <v>111421</v>
      </c>
      <c r="G118" s="16">
        <f t="shared" si="65"/>
        <v>2794</v>
      </c>
      <c r="H118" s="5">
        <v>135236</v>
      </c>
      <c r="I118" s="16">
        <f t="shared" si="66"/>
        <v>2861</v>
      </c>
      <c r="J118" s="13">
        <v>55223</v>
      </c>
      <c r="K118" s="16">
        <f t="shared" si="67"/>
        <v>515</v>
      </c>
      <c r="L118" s="5">
        <v>11511</v>
      </c>
      <c r="M118" s="12">
        <f t="shared" si="68"/>
        <v>148</v>
      </c>
      <c r="N118" s="13">
        <v>43744</v>
      </c>
      <c r="O118" s="6">
        <f t="shared" si="69"/>
        <v>289</v>
      </c>
      <c r="P118" s="5">
        <v>13830</v>
      </c>
      <c r="Q118" s="12">
        <f t="shared" si="70"/>
        <v>143</v>
      </c>
      <c r="R118" s="13">
        <v>76296</v>
      </c>
      <c r="S118" s="6">
        <f t="shared" si="71"/>
        <v>576</v>
      </c>
      <c r="T118" s="5">
        <v>16377</v>
      </c>
      <c r="U118" s="12">
        <f t="shared" si="72"/>
        <v>156</v>
      </c>
      <c r="V118" s="13">
        <v>48639</v>
      </c>
      <c r="W118" s="6">
        <f t="shared" si="73"/>
        <v>0</v>
      </c>
      <c r="X118" s="5">
        <v>60039</v>
      </c>
      <c r="Y118" s="6">
        <f t="shared" si="74"/>
        <v>550</v>
      </c>
      <c r="Z118" s="5">
        <v>81</v>
      </c>
      <c r="AA118" s="91">
        <f t="shared" si="75"/>
        <v>0</v>
      </c>
      <c r="AB118" s="5">
        <v>19368</v>
      </c>
      <c r="AC118" s="16">
        <f t="shared" si="76"/>
        <v>174</v>
      </c>
      <c r="AD118" s="5">
        <v>6755</v>
      </c>
      <c r="AE118" s="16">
        <f t="shared" si="77"/>
        <v>0</v>
      </c>
      <c r="AF118" s="5">
        <v>11429</v>
      </c>
      <c r="AG118" s="16">
        <f t="shared" si="78"/>
        <v>0</v>
      </c>
      <c r="AH118" s="5">
        <v>60271</v>
      </c>
      <c r="AI118" s="16">
        <f t="shared" si="79"/>
        <v>1540</v>
      </c>
      <c r="AJ118" s="18">
        <f t="shared" si="80"/>
        <v>6885</v>
      </c>
      <c r="AK118" s="19">
        <f t="shared" si="81"/>
        <v>397</v>
      </c>
    </row>
    <row r="119" spans="2:37" ht="21" customHeight="1" x14ac:dyDescent="0.3">
      <c r="B119" s="9" t="s">
        <v>69</v>
      </c>
      <c r="C119" s="34">
        <v>45947</v>
      </c>
      <c r="D119" s="5">
        <v>329482</v>
      </c>
      <c r="E119" s="16">
        <f t="shared" si="64"/>
        <v>4517</v>
      </c>
      <c r="F119" s="5">
        <v>114215</v>
      </c>
      <c r="G119" s="16">
        <f t="shared" si="65"/>
        <v>2827</v>
      </c>
      <c r="H119" s="5">
        <v>138097</v>
      </c>
      <c r="I119" s="16">
        <f t="shared" si="66"/>
        <v>2793</v>
      </c>
      <c r="J119" s="13">
        <v>55738</v>
      </c>
      <c r="K119" s="16">
        <f t="shared" si="67"/>
        <v>465</v>
      </c>
      <c r="L119" s="5">
        <v>11659</v>
      </c>
      <c r="M119" s="12">
        <f t="shared" si="68"/>
        <v>143</v>
      </c>
      <c r="N119" s="13">
        <v>44033</v>
      </c>
      <c r="O119" s="6">
        <f t="shared" si="69"/>
        <v>331</v>
      </c>
      <c r="P119" s="5">
        <v>13973</v>
      </c>
      <c r="Q119" s="12">
        <f t="shared" si="70"/>
        <v>129</v>
      </c>
      <c r="R119" s="13">
        <v>76872</v>
      </c>
      <c r="S119" s="6">
        <f t="shared" si="71"/>
        <v>583</v>
      </c>
      <c r="T119" s="5">
        <v>16533</v>
      </c>
      <c r="U119" s="12">
        <f t="shared" si="72"/>
        <v>211</v>
      </c>
      <c r="V119" s="13">
        <v>48639</v>
      </c>
      <c r="W119" s="6">
        <f t="shared" si="73"/>
        <v>0</v>
      </c>
      <c r="X119" s="5">
        <v>60589</v>
      </c>
      <c r="Y119" s="6">
        <f t="shared" si="74"/>
        <v>566</v>
      </c>
      <c r="Z119" s="5">
        <v>81</v>
      </c>
      <c r="AA119" s="91">
        <f t="shared" si="75"/>
        <v>0</v>
      </c>
      <c r="AB119" s="5">
        <v>19542</v>
      </c>
      <c r="AC119" s="16">
        <f t="shared" si="76"/>
        <v>172</v>
      </c>
      <c r="AD119" s="5">
        <v>6755</v>
      </c>
      <c r="AE119" s="16">
        <f t="shared" si="77"/>
        <v>0</v>
      </c>
      <c r="AF119" s="5">
        <v>11429</v>
      </c>
      <c r="AG119" s="16">
        <f t="shared" si="78"/>
        <v>0</v>
      </c>
      <c r="AH119" s="5">
        <v>61811</v>
      </c>
      <c r="AI119" s="16">
        <f t="shared" si="79"/>
        <v>1555</v>
      </c>
      <c r="AJ119" s="18">
        <f t="shared" si="80"/>
        <v>6982</v>
      </c>
      <c r="AK119" s="19">
        <f t="shared" si="81"/>
        <v>328</v>
      </c>
    </row>
    <row r="120" spans="2:37" ht="21" customHeight="1" x14ac:dyDescent="0.3">
      <c r="B120" s="9" t="s">
        <v>70</v>
      </c>
      <c r="C120" s="34">
        <v>45948</v>
      </c>
      <c r="D120" s="5">
        <v>333999</v>
      </c>
      <c r="E120" s="16">
        <f t="shared" si="64"/>
        <v>4413</v>
      </c>
      <c r="F120" s="5">
        <v>117042</v>
      </c>
      <c r="G120" s="16">
        <f t="shared" si="65"/>
        <v>2753</v>
      </c>
      <c r="H120" s="5">
        <v>140890</v>
      </c>
      <c r="I120" s="16">
        <f t="shared" si="66"/>
        <v>2756</v>
      </c>
      <c r="J120" s="13">
        <v>56203</v>
      </c>
      <c r="K120" s="16">
        <f t="shared" si="67"/>
        <v>391</v>
      </c>
      <c r="L120" s="5">
        <v>11802</v>
      </c>
      <c r="M120" s="12">
        <f t="shared" si="68"/>
        <v>160</v>
      </c>
      <c r="N120" s="13">
        <v>44364</v>
      </c>
      <c r="O120" s="6">
        <f t="shared" si="69"/>
        <v>346</v>
      </c>
      <c r="P120" s="5">
        <v>14102</v>
      </c>
      <c r="Q120" s="12">
        <f t="shared" si="70"/>
        <v>134</v>
      </c>
      <c r="R120" s="13">
        <v>77455</v>
      </c>
      <c r="S120" s="6">
        <f t="shared" si="71"/>
        <v>578</v>
      </c>
      <c r="T120" s="5">
        <v>16744</v>
      </c>
      <c r="U120" s="12">
        <f t="shared" si="72"/>
        <v>207</v>
      </c>
      <c r="V120" s="13">
        <v>48639</v>
      </c>
      <c r="W120" s="6">
        <f t="shared" si="73"/>
        <v>0</v>
      </c>
      <c r="X120" s="5">
        <v>61155</v>
      </c>
      <c r="Y120" s="6">
        <f t="shared" si="74"/>
        <v>618</v>
      </c>
      <c r="Z120" s="5">
        <v>81</v>
      </c>
      <c r="AA120" s="91">
        <f t="shared" si="75"/>
        <v>0</v>
      </c>
      <c r="AB120" s="5">
        <v>19714</v>
      </c>
      <c r="AC120" s="16">
        <f t="shared" si="76"/>
        <v>158</v>
      </c>
      <c r="AD120" s="5">
        <v>6755</v>
      </c>
      <c r="AE120" s="16">
        <f t="shared" si="77"/>
        <v>0</v>
      </c>
      <c r="AF120" s="5">
        <v>11429</v>
      </c>
      <c r="AG120" s="16">
        <f t="shared" si="78"/>
        <v>0</v>
      </c>
      <c r="AH120" s="5">
        <v>63366</v>
      </c>
      <c r="AI120" s="16">
        <f t="shared" si="79"/>
        <v>1528</v>
      </c>
      <c r="AJ120" s="18">
        <f t="shared" si="80"/>
        <v>6873</v>
      </c>
      <c r="AK120" s="19">
        <f t="shared" si="81"/>
        <v>296</v>
      </c>
    </row>
    <row r="121" spans="2:37" ht="21" customHeight="1" x14ac:dyDescent="0.3">
      <c r="B121" s="9" t="s">
        <v>71</v>
      </c>
      <c r="C121" s="34">
        <v>45949</v>
      </c>
      <c r="D121" s="5">
        <v>338412</v>
      </c>
      <c r="E121" s="16">
        <f t="shared" si="64"/>
        <v>2394</v>
      </c>
      <c r="F121" s="5">
        <v>119795</v>
      </c>
      <c r="G121" s="16">
        <f t="shared" si="65"/>
        <v>2062</v>
      </c>
      <c r="H121" s="5">
        <v>143646</v>
      </c>
      <c r="I121" s="16">
        <f t="shared" si="66"/>
        <v>1865</v>
      </c>
      <c r="J121" s="13">
        <v>56594</v>
      </c>
      <c r="K121" s="16">
        <f t="shared" si="67"/>
        <v>328</v>
      </c>
      <c r="L121" s="5">
        <v>11962</v>
      </c>
      <c r="M121" s="12">
        <f t="shared" si="68"/>
        <v>73</v>
      </c>
      <c r="N121" s="13">
        <v>44710</v>
      </c>
      <c r="O121" s="6">
        <f t="shared" si="69"/>
        <v>33</v>
      </c>
      <c r="P121" s="5">
        <v>14236</v>
      </c>
      <c r="Q121" s="12">
        <f t="shared" si="70"/>
        <v>7</v>
      </c>
      <c r="R121" s="13">
        <v>78033</v>
      </c>
      <c r="S121" s="6">
        <f t="shared" si="71"/>
        <v>31</v>
      </c>
      <c r="T121" s="5">
        <v>16951</v>
      </c>
      <c r="U121" s="12">
        <f t="shared" si="72"/>
        <v>9</v>
      </c>
      <c r="V121" s="13">
        <v>48639</v>
      </c>
      <c r="W121" s="6">
        <f t="shared" si="73"/>
        <v>0</v>
      </c>
      <c r="X121" s="5">
        <v>61773</v>
      </c>
      <c r="Y121" s="6">
        <f t="shared" si="74"/>
        <v>471</v>
      </c>
      <c r="Z121" s="5">
        <v>81</v>
      </c>
      <c r="AA121" s="91">
        <f t="shared" si="75"/>
        <v>0</v>
      </c>
      <c r="AB121" s="5">
        <v>19872</v>
      </c>
      <c r="AC121" s="16">
        <f t="shared" si="76"/>
        <v>148</v>
      </c>
      <c r="AD121" s="5">
        <v>6755</v>
      </c>
      <c r="AE121" s="16">
        <f t="shared" si="77"/>
        <v>0</v>
      </c>
      <c r="AF121" s="5">
        <v>11429</v>
      </c>
      <c r="AG121" s="16">
        <f t="shared" si="78"/>
        <v>0</v>
      </c>
      <c r="AH121" s="5">
        <v>64894</v>
      </c>
      <c r="AI121" s="16">
        <f t="shared" si="79"/>
        <v>880</v>
      </c>
      <c r="AJ121" s="18">
        <f>SUM(G121,K121,M121,O121,Q121,S121,U121,W121,Y121,AA121,AC121,AE121,AG121,AI121)</f>
        <v>4042</v>
      </c>
      <c r="AK121" s="19">
        <f>(E121+I121)-AJ121</f>
        <v>217</v>
      </c>
    </row>
    <row r="122" spans="2:37" ht="21" customHeight="1" x14ac:dyDescent="0.3">
      <c r="B122" s="9" t="s">
        <v>72</v>
      </c>
      <c r="C122" s="34">
        <v>45950</v>
      </c>
      <c r="D122" s="5">
        <v>340806</v>
      </c>
      <c r="E122" s="16">
        <f t="shared" si="64"/>
        <v>6396</v>
      </c>
      <c r="F122" s="5">
        <v>121857</v>
      </c>
      <c r="G122" s="16">
        <f t="shared" si="65"/>
        <v>2948</v>
      </c>
      <c r="H122" s="5">
        <v>145511</v>
      </c>
      <c r="I122" s="16">
        <f t="shared" si="66"/>
        <v>743</v>
      </c>
      <c r="J122" s="13">
        <v>56922</v>
      </c>
      <c r="K122" s="16">
        <f t="shared" si="67"/>
        <v>477</v>
      </c>
      <c r="L122" s="5">
        <v>12035</v>
      </c>
      <c r="M122" s="12">
        <f t="shared" si="68"/>
        <v>160</v>
      </c>
      <c r="N122" s="13">
        <v>44743</v>
      </c>
      <c r="O122" s="6">
        <f t="shared" si="69"/>
        <v>308</v>
      </c>
      <c r="P122" s="5">
        <v>14243</v>
      </c>
      <c r="Q122" s="12">
        <f t="shared" si="70"/>
        <v>142</v>
      </c>
      <c r="R122" s="13">
        <v>78064</v>
      </c>
      <c r="S122" s="6">
        <f t="shared" si="71"/>
        <v>645</v>
      </c>
      <c r="T122" s="5">
        <v>16960</v>
      </c>
      <c r="U122" s="12">
        <f t="shared" si="72"/>
        <v>229</v>
      </c>
      <c r="V122" s="13">
        <v>48639</v>
      </c>
      <c r="W122" s="6">
        <f t="shared" si="73"/>
        <v>0</v>
      </c>
      <c r="X122" s="5">
        <v>62244</v>
      </c>
      <c r="Y122" s="6">
        <f t="shared" si="74"/>
        <v>598</v>
      </c>
      <c r="Z122" s="5">
        <v>81</v>
      </c>
      <c r="AA122" s="91">
        <f t="shared" si="75"/>
        <v>0</v>
      </c>
      <c r="AB122" s="5">
        <v>20020</v>
      </c>
      <c r="AC122" s="16">
        <f t="shared" si="76"/>
        <v>165</v>
      </c>
      <c r="AD122" s="5">
        <v>6755</v>
      </c>
      <c r="AE122" s="16">
        <f t="shared" si="77"/>
        <v>0</v>
      </c>
      <c r="AF122" s="5">
        <v>11429</v>
      </c>
      <c r="AG122" s="16">
        <f t="shared" si="78"/>
        <v>0</v>
      </c>
      <c r="AH122" s="5">
        <v>65774</v>
      </c>
      <c r="AI122" s="16">
        <f t="shared" si="79"/>
        <v>1685</v>
      </c>
      <c r="AJ122" s="18">
        <f>SUM(G122,K122,M122,O122,Q122,S122,U122,W122,Y122,AA122,AC122,AE122,AG122,AI122)</f>
        <v>7357</v>
      </c>
      <c r="AK122" s="19">
        <f>(E122+I122)-AJ122</f>
        <v>-218</v>
      </c>
    </row>
    <row r="123" spans="2:37" ht="21" customHeight="1" x14ac:dyDescent="0.3">
      <c r="B123" s="9" t="s">
        <v>66</v>
      </c>
      <c r="C123" s="34">
        <v>45951</v>
      </c>
      <c r="D123" s="5">
        <v>347202</v>
      </c>
      <c r="E123" s="16">
        <f t="shared" si="64"/>
        <v>4751</v>
      </c>
      <c r="F123" s="5">
        <v>124805</v>
      </c>
      <c r="G123" s="16">
        <f t="shared" si="65"/>
        <v>2435</v>
      </c>
      <c r="H123" s="5">
        <v>146254</v>
      </c>
      <c r="I123" s="16">
        <f t="shared" si="66"/>
        <v>2656</v>
      </c>
      <c r="J123" s="13">
        <v>57399</v>
      </c>
      <c r="K123" s="16">
        <f t="shared" si="67"/>
        <v>564</v>
      </c>
      <c r="L123" s="5">
        <v>12195</v>
      </c>
      <c r="M123" s="12">
        <f t="shared" si="68"/>
        <v>148</v>
      </c>
      <c r="N123" s="13">
        <v>45051</v>
      </c>
      <c r="O123" s="6">
        <f t="shared" si="69"/>
        <v>332</v>
      </c>
      <c r="P123" s="5">
        <v>14385</v>
      </c>
      <c r="Q123" s="12">
        <f t="shared" si="70"/>
        <v>145</v>
      </c>
      <c r="R123" s="13">
        <v>78709</v>
      </c>
      <c r="S123" s="6">
        <f t="shared" si="71"/>
        <v>604</v>
      </c>
      <c r="T123" s="5">
        <v>17189</v>
      </c>
      <c r="U123" s="12">
        <f t="shared" si="72"/>
        <v>217</v>
      </c>
      <c r="V123" s="13">
        <v>48639</v>
      </c>
      <c r="W123" s="6">
        <f t="shared" si="73"/>
        <v>0</v>
      </c>
      <c r="X123" s="5">
        <v>62842</v>
      </c>
      <c r="Y123" s="6">
        <f t="shared" si="74"/>
        <v>508</v>
      </c>
      <c r="Z123" s="5">
        <v>81</v>
      </c>
      <c r="AA123" s="91">
        <f t="shared" si="75"/>
        <v>0</v>
      </c>
      <c r="AB123" s="5">
        <v>20185</v>
      </c>
      <c r="AC123" s="16">
        <f t="shared" si="76"/>
        <v>170</v>
      </c>
      <c r="AD123" s="5">
        <v>6755</v>
      </c>
      <c r="AE123" s="16">
        <f t="shared" si="77"/>
        <v>0</v>
      </c>
      <c r="AF123" s="5">
        <v>11429</v>
      </c>
      <c r="AG123" s="16">
        <f t="shared" si="78"/>
        <v>0</v>
      </c>
      <c r="AH123" s="5">
        <v>67459</v>
      </c>
      <c r="AI123" s="16">
        <f t="shared" si="79"/>
        <v>1498</v>
      </c>
      <c r="AJ123" s="18">
        <f>SUM(G123,K123,M123,O123,Q123,S123,U123,W123,Y123,AA123,AC123,AE123,AG123,AI123)</f>
        <v>6621</v>
      </c>
      <c r="AK123" s="19">
        <f>(E123+I123)-AJ123</f>
        <v>786</v>
      </c>
    </row>
    <row r="124" spans="2:37" ht="21" customHeight="1" x14ac:dyDescent="0.3">
      <c r="B124" s="9" t="s">
        <v>67</v>
      </c>
      <c r="C124" s="34">
        <v>45952</v>
      </c>
      <c r="D124" s="5">
        <v>351953</v>
      </c>
      <c r="E124" s="16">
        <f t="shared" si="64"/>
        <v>4915</v>
      </c>
      <c r="F124" s="5">
        <v>127240</v>
      </c>
      <c r="G124" s="16">
        <f t="shared" si="65"/>
        <v>2724</v>
      </c>
      <c r="H124" s="5">
        <v>148910</v>
      </c>
      <c r="I124" s="16">
        <f t="shared" si="66"/>
        <v>2550</v>
      </c>
      <c r="J124" s="13">
        <v>57963</v>
      </c>
      <c r="K124" s="16">
        <f t="shared" si="67"/>
        <v>701</v>
      </c>
      <c r="L124" s="5">
        <v>12343</v>
      </c>
      <c r="M124" s="12">
        <f t="shared" si="68"/>
        <v>158</v>
      </c>
      <c r="N124" s="13">
        <v>45383</v>
      </c>
      <c r="O124" s="6">
        <f t="shared" si="69"/>
        <v>291</v>
      </c>
      <c r="P124" s="5">
        <v>14530</v>
      </c>
      <c r="Q124" s="12">
        <f t="shared" si="70"/>
        <v>136</v>
      </c>
      <c r="R124" s="13">
        <v>79313</v>
      </c>
      <c r="S124" s="6">
        <f t="shared" si="71"/>
        <v>699</v>
      </c>
      <c r="T124" s="5">
        <v>17406</v>
      </c>
      <c r="U124" s="12">
        <f t="shared" si="72"/>
        <v>240</v>
      </c>
      <c r="V124" s="13">
        <v>48639</v>
      </c>
      <c r="W124" s="6">
        <f t="shared" si="73"/>
        <v>0</v>
      </c>
      <c r="X124" s="5">
        <v>63350</v>
      </c>
      <c r="Y124" s="6">
        <f t="shared" si="74"/>
        <v>680</v>
      </c>
      <c r="Z124" s="5">
        <v>81</v>
      </c>
      <c r="AA124" s="91">
        <f t="shared" si="75"/>
        <v>0</v>
      </c>
      <c r="AB124" s="5">
        <v>20355</v>
      </c>
      <c r="AC124" s="16">
        <f t="shared" si="76"/>
        <v>158</v>
      </c>
      <c r="AD124" s="5">
        <v>6755</v>
      </c>
      <c r="AE124" s="16">
        <f t="shared" si="77"/>
        <v>0</v>
      </c>
      <c r="AF124" s="5">
        <v>11429</v>
      </c>
      <c r="AG124" s="16">
        <f t="shared" si="78"/>
        <v>0</v>
      </c>
      <c r="AH124" s="5">
        <v>68957</v>
      </c>
      <c r="AI124" s="16">
        <f t="shared" si="79"/>
        <v>1380</v>
      </c>
      <c r="AJ124" s="18">
        <f>SUM(G124,K124,M124,O124,Q124,S124,U124,W124,Y124,AA124,AC124,AE124,AG124,AI124)</f>
        <v>7167</v>
      </c>
      <c r="AK124" s="19">
        <f>(E124+I124)-AJ124</f>
        <v>298</v>
      </c>
    </row>
    <row r="125" spans="2:37" ht="21" customHeight="1" x14ac:dyDescent="0.3">
      <c r="B125" s="9" t="s">
        <v>68</v>
      </c>
      <c r="C125" s="34">
        <v>45953</v>
      </c>
      <c r="D125" s="5">
        <v>356868</v>
      </c>
      <c r="E125" s="16">
        <f t="shared" si="64"/>
        <v>4777</v>
      </c>
      <c r="F125" s="5">
        <v>129964</v>
      </c>
      <c r="G125" s="16">
        <f t="shared" si="65"/>
        <v>2852</v>
      </c>
      <c r="H125" s="5">
        <v>151460</v>
      </c>
      <c r="I125" s="16">
        <f t="shared" si="66"/>
        <v>2615</v>
      </c>
      <c r="J125" s="13">
        <v>58664</v>
      </c>
      <c r="K125" s="16">
        <f t="shared" si="67"/>
        <v>643</v>
      </c>
      <c r="L125" s="5">
        <v>12501</v>
      </c>
      <c r="M125" s="12">
        <f t="shared" si="68"/>
        <v>122</v>
      </c>
      <c r="N125" s="13">
        <v>45674</v>
      </c>
      <c r="O125" s="6">
        <f t="shared" si="69"/>
        <v>298</v>
      </c>
      <c r="P125" s="5">
        <v>14666</v>
      </c>
      <c r="Q125" s="12">
        <f t="shared" si="70"/>
        <v>140</v>
      </c>
      <c r="R125" s="13">
        <v>80012</v>
      </c>
      <c r="S125" s="6">
        <f t="shared" si="71"/>
        <v>584</v>
      </c>
      <c r="T125" s="5">
        <v>17646</v>
      </c>
      <c r="U125" s="12">
        <f t="shared" si="72"/>
        <v>210</v>
      </c>
      <c r="V125" s="13">
        <v>48639</v>
      </c>
      <c r="W125" s="6">
        <f t="shared" si="73"/>
        <v>0</v>
      </c>
      <c r="X125" s="5">
        <v>64030</v>
      </c>
      <c r="Y125" s="6">
        <f t="shared" si="74"/>
        <v>630</v>
      </c>
      <c r="Z125" s="5">
        <v>81</v>
      </c>
      <c r="AA125" s="91">
        <f t="shared" si="75"/>
        <v>0</v>
      </c>
      <c r="AB125" s="5">
        <v>20513</v>
      </c>
      <c r="AC125" s="16">
        <f t="shared" si="76"/>
        <v>159</v>
      </c>
      <c r="AD125" s="5">
        <v>6755</v>
      </c>
      <c r="AE125" s="16">
        <f t="shared" si="77"/>
        <v>0</v>
      </c>
      <c r="AF125" s="5">
        <v>11429</v>
      </c>
      <c r="AG125" s="16">
        <f t="shared" si="78"/>
        <v>0</v>
      </c>
      <c r="AH125" s="5">
        <v>70337</v>
      </c>
      <c r="AI125" s="16">
        <f t="shared" si="79"/>
        <v>1453</v>
      </c>
      <c r="AJ125" s="18">
        <f>SUM(G125,K125,M125,O125,Q125,S125,U125,W125,Y125,AA125,AC125,AE125,AG125,AI125)</f>
        <v>7091</v>
      </c>
      <c r="AK125" s="19">
        <f>(E125+I125)-AJ125</f>
        <v>301</v>
      </c>
    </row>
    <row r="126" spans="2:37" ht="21" customHeight="1" x14ac:dyDescent="0.3">
      <c r="B126" s="9" t="s">
        <v>69</v>
      </c>
      <c r="C126" s="34">
        <v>45954</v>
      </c>
      <c r="D126" s="5">
        <v>361645</v>
      </c>
      <c r="E126" s="16">
        <f t="shared" si="64"/>
        <v>5030</v>
      </c>
      <c r="F126" s="5">
        <v>132816</v>
      </c>
      <c r="G126" s="16">
        <f t="shared" si="65"/>
        <v>2605</v>
      </c>
      <c r="H126" s="5">
        <v>154075</v>
      </c>
      <c r="I126" s="16">
        <f t="shared" si="66"/>
        <v>2402</v>
      </c>
      <c r="J126" s="13">
        <v>59307</v>
      </c>
      <c r="K126" s="16">
        <f t="shared" si="67"/>
        <v>771</v>
      </c>
      <c r="L126" s="5">
        <v>12623</v>
      </c>
      <c r="M126" s="12">
        <f t="shared" si="68"/>
        <v>134</v>
      </c>
      <c r="N126" s="13">
        <v>45972</v>
      </c>
      <c r="O126" s="6">
        <f t="shared" si="69"/>
        <v>311</v>
      </c>
      <c r="P126" s="5">
        <v>14806</v>
      </c>
      <c r="Q126" s="12">
        <f t="shared" si="70"/>
        <v>128</v>
      </c>
      <c r="R126" s="13">
        <v>80596</v>
      </c>
      <c r="S126" s="6">
        <f t="shared" si="71"/>
        <v>555</v>
      </c>
      <c r="T126" s="5">
        <v>17856</v>
      </c>
      <c r="U126" s="12">
        <f t="shared" si="72"/>
        <v>205</v>
      </c>
      <c r="V126" s="13">
        <v>48639</v>
      </c>
      <c r="W126" s="6">
        <f t="shared" si="73"/>
        <v>0</v>
      </c>
      <c r="X126" s="5">
        <v>64660</v>
      </c>
      <c r="Y126" s="6">
        <f t="shared" si="74"/>
        <v>686</v>
      </c>
      <c r="Z126" s="5">
        <v>81</v>
      </c>
      <c r="AA126" s="91">
        <f t="shared" si="75"/>
        <v>0</v>
      </c>
      <c r="AB126" s="5">
        <v>20672</v>
      </c>
      <c r="AC126" s="16">
        <f t="shared" si="76"/>
        <v>167</v>
      </c>
      <c r="AD126" s="5">
        <v>6755</v>
      </c>
      <c r="AE126" s="16">
        <f t="shared" si="77"/>
        <v>0</v>
      </c>
      <c r="AF126" s="5">
        <v>11429</v>
      </c>
      <c r="AG126" s="16">
        <f t="shared" si="78"/>
        <v>0</v>
      </c>
      <c r="AH126" s="5">
        <v>71790</v>
      </c>
      <c r="AI126" s="16">
        <f t="shared" si="79"/>
        <v>1616</v>
      </c>
      <c r="AJ126" s="18">
        <f t="shared" ref="AJ126:AJ134" si="82">SUM(G126,K126,M126,O126,Q126,S126,U126,W126,Y126,AA126,AC126,AE126,AG126,AI126)</f>
        <v>7178</v>
      </c>
      <c r="AK126" s="19">
        <f t="shared" ref="AK126:AK134" si="83">(E126+I126)-AJ126</f>
        <v>254</v>
      </c>
    </row>
    <row r="127" spans="2:37" ht="21" customHeight="1" x14ac:dyDescent="0.3">
      <c r="B127" s="9" t="s">
        <v>70</v>
      </c>
      <c r="C127" s="34">
        <v>45955</v>
      </c>
      <c r="D127" s="5">
        <v>366675</v>
      </c>
      <c r="E127" s="16">
        <f t="shared" si="64"/>
        <v>4489</v>
      </c>
      <c r="F127" s="5">
        <v>135421</v>
      </c>
      <c r="G127" s="16">
        <f t="shared" si="65"/>
        <v>2532</v>
      </c>
      <c r="H127" s="5">
        <v>156477</v>
      </c>
      <c r="I127" s="16">
        <f t="shared" si="66"/>
        <v>2826</v>
      </c>
      <c r="J127" s="13">
        <v>60078</v>
      </c>
      <c r="K127" s="16">
        <f t="shared" si="67"/>
        <v>727</v>
      </c>
      <c r="L127" s="5">
        <v>12757</v>
      </c>
      <c r="M127" s="12">
        <f t="shared" si="68"/>
        <v>136</v>
      </c>
      <c r="N127" s="13">
        <v>46283</v>
      </c>
      <c r="O127" s="6">
        <f t="shared" si="69"/>
        <v>260</v>
      </c>
      <c r="P127" s="5">
        <v>14934</v>
      </c>
      <c r="Q127" s="12">
        <f t="shared" si="70"/>
        <v>136</v>
      </c>
      <c r="R127" s="13">
        <v>81151</v>
      </c>
      <c r="S127" s="6">
        <f t="shared" si="71"/>
        <v>682</v>
      </c>
      <c r="T127" s="5">
        <v>18061</v>
      </c>
      <c r="U127" s="12">
        <f t="shared" si="72"/>
        <v>198</v>
      </c>
      <c r="V127" s="13">
        <v>48639</v>
      </c>
      <c r="W127" s="6">
        <f t="shared" si="73"/>
        <v>0</v>
      </c>
      <c r="X127" s="5">
        <v>65346</v>
      </c>
      <c r="Y127" s="6">
        <f t="shared" si="74"/>
        <v>615</v>
      </c>
      <c r="Z127" s="5">
        <v>81</v>
      </c>
      <c r="AA127" s="91">
        <f t="shared" si="75"/>
        <v>0</v>
      </c>
      <c r="AB127" s="5">
        <v>20839</v>
      </c>
      <c r="AC127" s="16">
        <f t="shared" si="76"/>
        <v>172</v>
      </c>
      <c r="AD127" s="5">
        <v>6755</v>
      </c>
      <c r="AE127" s="16">
        <f t="shared" si="77"/>
        <v>0</v>
      </c>
      <c r="AF127" s="5">
        <v>11429</v>
      </c>
      <c r="AG127" s="16">
        <f t="shared" si="78"/>
        <v>0</v>
      </c>
      <c r="AH127" s="5">
        <v>73406</v>
      </c>
      <c r="AI127" s="16">
        <f t="shared" si="79"/>
        <v>1468</v>
      </c>
      <c r="AJ127" s="18">
        <f t="shared" si="82"/>
        <v>6926</v>
      </c>
      <c r="AK127" s="19">
        <f t="shared" si="83"/>
        <v>389</v>
      </c>
    </row>
    <row r="128" spans="2:37" ht="21" customHeight="1" x14ac:dyDescent="0.3">
      <c r="B128" s="9" t="s">
        <v>71</v>
      </c>
      <c r="C128" s="34">
        <v>45956</v>
      </c>
      <c r="D128" s="5">
        <v>371164</v>
      </c>
      <c r="E128" s="16">
        <f t="shared" si="64"/>
        <v>460</v>
      </c>
      <c r="F128" s="5">
        <v>137953</v>
      </c>
      <c r="G128" s="16">
        <f t="shared" si="65"/>
        <v>44</v>
      </c>
      <c r="H128" s="5">
        <v>159303</v>
      </c>
      <c r="I128" s="16">
        <f t="shared" si="66"/>
        <v>1187</v>
      </c>
      <c r="J128" s="13">
        <v>60805</v>
      </c>
      <c r="K128" s="16">
        <f t="shared" si="67"/>
        <v>528</v>
      </c>
      <c r="L128" s="5">
        <v>12893</v>
      </c>
      <c r="M128" s="12">
        <f t="shared" si="68"/>
        <v>123</v>
      </c>
      <c r="N128" s="13">
        <v>46543</v>
      </c>
      <c r="O128" s="6">
        <f t="shared" si="69"/>
        <v>31</v>
      </c>
      <c r="P128" s="5">
        <v>15070</v>
      </c>
      <c r="Q128" s="12">
        <f t="shared" si="70"/>
        <v>15</v>
      </c>
      <c r="R128" s="13">
        <v>81833</v>
      </c>
      <c r="S128" s="6">
        <f t="shared" si="71"/>
        <v>31</v>
      </c>
      <c r="T128" s="5">
        <v>18259</v>
      </c>
      <c r="U128" s="12">
        <f t="shared" si="72"/>
        <v>12</v>
      </c>
      <c r="V128" s="13">
        <v>48639</v>
      </c>
      <c r="W128" s="6">
        <f t="shared" si="73"/>
        <v>0</v>
      </c>
      <c r="X128" s="5">
        <v>65961</v>
      </c>
      <c r="Y128" s="6">
        <f t="shared" si="74"/>
        <v>20</v>
      </c>
      <c r="Z128" s="5">
        <v>81</v>
      </c>
      <c r="AA128" s="91">
        <f t="shared" si="75"/>
        <v>0</v>
      </c>
      <c r="AB128" s="5">
        <v>21011</v>
      </c>
      <c r="AC128" s="16">
        <f t="shared" si="76"/>
        <v>110</v>
      </c>
      <c r="AD128" s="5">
        <v>6755</v>
      </c>
      <c r="AE128" s="16">
        <f t="shared" si="77"/>
        <v>0</v>
      </c>
      <c r="AF128" s="5">
        <v>11429</v>
      </c>
      <c r="AG128" s="16">
        <f t="shared" si="78"/>
        <v>0</v>
      </c>
      <c r="AH128" s="5">
        <v>74874</v>
      </c>
      <c r="AI128" s="16">
        <f t="shared" si="79"/>
        <v>285</v>
      </c>
      <c r="AJ128" s="18">
        <f t="shared" si="82"/>
        <v>1199</v>
      </c>
      <c r="AK128" s="19">
        <f t="shared" si="83"/>
        <v>448</v>
      </c>
    </row>
    <row r="129" spans="2:37" ht="21" customHeight="1" x14ac:dyDescent="0.3">
      <c r="B129" s="9" t="s">
        <v>72</v>
      </c>
      <c r="C129" s="34">
        <v>45957</v>
      </c>
      <c r="D129" s="5">
        <v>371624</v>
      </c>
      <c r="E129" s="16">
        <f t="shared" si="64"/>
        <v>4932</v>
      </c>
      <c r="F129" s="5">
        <v>137997</v>
      </c>
      <c r="G129" s="16">
        <f t="shared" si="65"/>
        <v>2581</v>
      </c>
      <c r="H129" s="5">
        <v>160490</v>
      </c>
      <c r="I129" s="16">
        <f t="shared" si="66"/>
        <v>2090</v>
      </c>
      <c r="J129" s="13">
        <v>61333</v>
      </c>
      <c r="K129" s="16">
        <f t="shared" si="67"/>
        <v>698</v>
      </c>
      <c r="L129" s="5">
        <v>13016</v>
      </c>
      <c r="M129" s="12">
        <f t="shared" si="68"/>
        <v>142</v>
      </c>
      <c r="N129" s="13">
        <v>46574</v>
      </c>
      <c r="O129" s="6">
        <f t="shared" si="69"/>
        <v>285</v>
      </c>
      <c r="P129" s="5">
        <v>15085</v>
      </c>
      <c r="Q129" s="12">
        <f t="shared" si="70"/>
        <v>141</v>
      </c>
      <c r="R129" s="13">
        <v>81864</v>
      </c>
      <c r="S129" s="6">
        <f t="shared" si="71"/>
        <v>549</v>
      </c>
      <c r="T129" s="5">
        <v>18271</v>
      </c>
      <c r="U129" s="12">
        <f t="shared" si="72"/>
        <v>189</v>
      </c>
      <c r="V129" s="13">
        <v>48639</v>
      </c>
      <c r="W129" s="6">
        <f t="shared" si="73"/>
        <v>0</v>
      </c>
      <c r="X129" s="5">
        <v>65981</v>
      </c>
      <c r="Y129" s="6">
        <f t="shared" si="74"/>
        <v>756</v>
      </c>
      <c r="Z129" s="5">
        <v>81</v>
      </c>
      <c r="AA129" s="91">
        <f t="shared" si="75"/>
        <v>0</v>
      </c>
      <c r="AB129" s="5">
        <v>21121</v>
      </c>
      <c r="AC129" s="16">
        <f t="shared" si="76"/>
        <v>126</v>
      </c>
      <c r="AD129" s="5">
        <v>6755</v>
      </c>
      <c r="AE129" s="16">
        <f t="shared" si="77"/>
        <v>0</v>
      </c>
      <c r="AF129" s="5">
        <v>11429</v>
      </c>
      <c r="AG129" s="16">
        <f t="shared" si="78"/>
        <v>0</v>
      </c>
      <c r="AH129" s="5">
        <v>75159</v>
      </c>
      <c r="AI129" s="16">
        <f t="shared" si="79"/>
        <v>1310</v>
      </c>
      <c r="AJ129" s="18">
        <f t="shared" si="82"/>
        <v>6777</v>
      </c>
      <c r="AK129" s="19">
        <f t="shared" si="83"/>
        <v>245</v>
      </c>
    </row>
    <row r="130" spans="2:37" ht="21" customHeight="1" x14ac:dyDescent="0.3">
      <c r="B130" s="9" t="s">
        <v>66</v>
      </c>
      <c r="C130" s="34">
        <v>45958</v>
      </c>
      <c r="D130" s="5">
        <v>376556</v>
      </c>
      <c r="E130" s="16">
        <f t="shared" si="64"/>
        <v>4728</v>
      </c>
      <c r="F130" s="5">
        <v>140578</v>
      </c>
      <c r="G130" s="16">
        <f t="shared" si="65"/>
        <v>2615</v>
      </c>
      <c r="H130" s="5">
        <v>162580</v>
      </c>
      <c r="I130" s="16">
        <f t="shared" si="66"/>
        <v>2311</v>
      </c>
      <c r="J130" s="13">
        <v>62031</v>
      </c>
      <c r="K130" s="16">
        <f t="shared" si="67"/>
        <v>684</v>
      </c>
      <c r="L130" s="5">
        <v>13158</v>
      </c>
      <c r="M130" s="12">
        <f t="shared" si="68"/>
        <v>124</v>
      </c>
      <c r="N130" s="13">
        <v>46859</v>
      </c>
      <c r="O130" s="6">
        <f t="shared" si="69"/>
        <v>273</v>
      </c>
      <c r="P130" s="5">
        <v>15226</v>
      </c>
      <c r="Q130" s="12">
        <f t="shared" si="70"/>
        <v>129</v>
      </c>
      <c r="R130" s="13">
        <v>82413</v>
      </c>
      <c r="S130" s="6">
        <f t="shared" si="71"/>
        <v>593</v>
      </c>
      <c r="T130" s="5">
        <v>18460</v>
      </c>
      <c r="U130" s="12">
        <f t="shared" si="72"/>
        <v>176</v>
      </c>
      <c r="V130" s="13">
        <v>48639</v>
      </c>
      <c r="W130" s="6">
        <f t="shared" si="73"/>
        <v>0</v>
      </c>
      <c r="X130" s="5">
        <v>66737</v>
      </c>
      <c r="Y130" s="6">
        <f t="shared" si="74"/>
        <v>711</v>
      </c>
      <c r="Z130" s="5">
        <v>81</v>
      </c>
      <c r="AA130" s="91">
        <f t="shared" si="75"/>
        <v>0</v>
      </c>
      <c r="AB130" s="5">
        <v>21247</v>
      </c>
      <c r="AC130" s="16">
        <f t="shared" si="76"/>
        <v>0</v>
      </c>
      <c r="AD130" s="5">
        <v>6755</v>
      </c>
      <c r="AE130" s="16">
        <f t="shared" si="77"/>
        <v>0</v>
      </c>
      <c r="AF130" s="5">
        <v>11429</v>
      </c>
      <c r="AG130" s="16">
        <f t="shared" si="78"/>
        <v>0</v>
      </c>
      <c r="AH130" s="5">
        <v>76469</v>
      </c>
      <c r="AI130" s="16">
        <f t="shared" si="79"/>
        <v>1350</v>
      </c>
      <c r="AJ130" s="18">
        <f t="shared" si="82"/>
        <v>6655</v>
      </c>
      <c r="AK130" s="19">
        <f t="shared" si="83"/>
        <v>384</v>
      </c>
    </row>
    <row r="131" spans="2:37" ht="21" customHeight="1" x14ac:dyDescent="0.3">
      <c r="B131" s="9" t="s">
        <v>67</v>
      </c>
      <c r="C131" s="34">
        <v>45959</v>
      </c>
      <c r="D131" s="5">
        <v>381284</v>
      </c>
      <c r="E131" s="16">
        <f t="shared" si="64"/>
        <v>5243</v>
      </c>
      <c r="F131" s="5">
        <v>143193</v>
      </c>
      <c r="G131" s="16">
        <f t="shared" si="65"/>
        <v>2478</v>
      </c>
      <c r="H131" s="5">
        <v>164891</v>
      </c>
      <c r="I131" s="16">
        <f t="shared" si="66"/>
        <v>1616</v>
      </c>
      <c r="J131" s="13">
        <v>62715</v>
      </c>
      <c r="K131" s="16">
        <f t="shared" si="67"/>
        <v>699</v>
      </c>
      <c r="L131" s="5">
        <v>13282</v>
      </c>
      <c r="M131" s="12">
        <f t="shared" si="68"/>
        <v>144</v>
      </c>
      <c r="N131" s="13">
        <v>47132</v>
      </c>
      <c r="O131" s="6">
        <f t="shared" si="69"/>
        <v>265</v>
      </c>
      <c r="P131" s="5">
        <v>15355</v>
      </c>
      <c r="Q131" s="12">
        <f t="shared" si="70"/>
        <v>123</v>
      </c>
      <c r="R131" s="13">
        <v>83006</v>
      </c>
      <c r="S131" s="6">
        <f t="shared" si="71"/>
        <v>543</v>
      </c>
      <c r="T131" s="5">
        <v>18636</v>
      </c>
      <c r="U131" s="12">
        <f t="shared" si="72"/>
        <v>184</v>
      </c>
      <c r="V131" s="13">
        <v>48639</v>
      </c>
      <c r="W131" s="6">
        <f t="shared" si="73"/>
        <v>0</v>
      </c>
      <c r="X131" s="5">
        <v>67448</v>
      </c>
      <c r="Y131" s="6">
        <f t="shared" si="74"/>
        <v>742</v>
      </c>
      <c r="Z131" s="5">
        <v>81</v>
      </c>
      <c r="AA131" s="91">
        <f t="shared" si="75"/>
        <v>0</v>
      </c>
      <c r="AB131" s="5">
        <v>21247</v>
      </c>
      <c r="AC131" s="16">
        <f t="shared" si="76"/>
        <v>271</v>
      </c>
      <c r="AD131" s="5">
        <v>6755</v>
      </c>
      <c r="AE131" s="16">
        <f t="shared" si="77"/>
        <v>0</v>
      </c>
      <c r="AF131" s="5">
        <v>11429</v>
      </c>
      <c r="AG131" s="16">
        <f t="shared" si="78"/>
        <v>0</v>
      </c>
      <c r="AH131" s="5">
        <v>77819</v>
      </c>
      <c r="AI131" s="16">
        <f t="shared" si="79"/>
        <v>1312</v>
      </c>
      <c r="AJ131" s="18">
        <f t="shared" si="82"/>
        <v>6761</v>
      </c>
      <c r="AK131" s="19">
        <f t="shared" si="83"/>
        <v>98</v>
      </c>
    </row>
    <row r="132" spans="2:37" ht="21" customHeight="1" x14ac:dyDescent="0.3">
      <c r="B132" s="9" t="s">
        <v>68</v>
      </c>
      <c r="C132" s="34">
        <v>45960</v>
      </c>
      <c r="D132" s="5">
        <v>386527</v>
      </c>
      <c r="E132" s="16">
        <f t="shared" si="64"/>
        <v>4937</v>
      </c>
      <c r="F132" s="5">
        <v>145671</v>
      </c>
      <c r="G132" s="16">
        <f t="shared" si="65"/>
        <v>2725</v>
      </c>
      <c r="H132" s="5">
        <v>166507</v>
      </c>
      <c r="I132" s="16">
        <f t="shared" si="66"/>
        <v>1835</v>
      </c>
      <c r="J132" s="13">
        <v>63414</v>
      </c>
      <c r="K132" s="16">
        <f t="shared" si="67"/>
        <v>575</v>
      </c>
      <c r="L132" s="5">
        <v>13426</v>
      </c>
      <c r="M132" s="12">
        <f>IF(L133&lt;&gt;"",L133-L132,"")</f>
        <v>137</v>
      </c>
      <c r="N132" s="13">
        <v>47397</v>
      </c>
      <c r="O132" s="6">
        <f t="shared" si="69"/>
        <v>256</v>
      </c>
      <c r="P132" s="5">
        <v>15478</v>
      </c>
      <c r="Q132" s="12">
        <f t="shared" si="70"/>
        <v>112</v>
      </c>
      <c r="R132" s="13">
        <v>83549</v>
      </c>
      <c r="S132" s="6">
        <f t="shared" si="71"/>
        <v>525</v>
      </c>
      <c r="T132" s="5">
        <v>18820</v>
      </c>
      <c r="U132" s="12">
        <f t="shared" si="72"/>
        <v>136</v>
      </c>
      <c r="V132" s="13">
        <v>48639</v>
      </c>
      <c r="W132" s="6">
        <f t="shared" si="73"/>
        <v>0</v>
      </c>
      <c r="X132" s="5">
        <v>68190</v>
      </c>
      <c r="Y132" s="6">
        <f t="shared" si="74"/>
        <v>686</v>
      </c>
      <c r="Z132" s="5">
        <v>81</v>
      </c>
      <c r="AA132" s="91">
        <f t="shared" si="75"/>
        <v>0</v>
      </c>
      <c r="AB132" s="5">
        <v>21518</v>
      </c>
      <c r="AC132" s="16">
        <f t="shared" si="76"/>
        <v>127</v>
      </c>
      <c r="AD132" s="5">
        <v>6755</v>
      </c>
      <c r="AE132" s="16">
        <f t="shared" si="77"/>
        <v>0</v>
      </c>
      <c r="AF132" s="5">
        <v>11429</v>
      </c>
      <c r="AG132" s="16">
        <f t="shared" si="78"/>
        <v>0</v>
      </c>
      <c r="AH132" s="5">
        <v>79131</v>
      </c>
      <c r="AI132" s="16">
        <f t="shared" si="79"/>
        <v>1295</v>
      </c>
      <c r="AJ132" s="18">
        <f t="shared" si="82"/>
        <v>6574</v>
      </c>
      <c r="AK132" s="19">
        <f t="shared" si="83"/>
        <v>198</v>
      </c>
    </row>
    <row r="133" spans="2:37" ht="21" customHeight="1" x14ac:dyDescent="0.3">
      <c r="B133" s="9" t="s">
        <v>69</v>
      </c>
      <c r="C133" s="34">
        <v>45961</v>
      </c>
      <c r="D133" s="5">
        <v>391464</v>
      </c>
      <c r="E133" s="16">
        <f t="shared" si="64"/>
        <v>3799</v>
      </c>
      <c r="F133" s="5">
        <v>148396</v>
      </c>
      <c r="G133" s="16">
        <f t="shared" si="65"/>
        <v>2391</v>
      </c>
      <c r="H133" s="5">
        <v>168342</v>
      </c>
      <c r="I133" s="16">
        <f t="shared" si="66"/>
        <v>2265</v>
      </c>
      <c r="J133" s="13">
        <v>63989</v>
      </c>
      <c r="K133" s="16">
        <f t="shared" si="67"/>
        <v>534</v>
      </c>
      <c r="L133" s="5">
        <v>13563</v>
      </c>
      <c r="M133" s="12">
        <f>IF(L134&lt;&gt;"",L134-L133,"")</f>
        <v>119</v>
      </c>
      <c r="N133" s="13">
        <v>47653</v>
      </c>
      <c r="O133" s="6">
        <f t="shared" si="69"/>
        <v>193</v>
      </c>
      <c r="P133" s="5">
        <v>15590</v>
      </c>
      <c r="Q133" s="12">
        <f t="shared" si="70"/>
        <v>98</v>
      </c>
      <c r="R133" s="13">
        <v>84074</v>
      </c>
      <c r="S133" s="6">
        <f t="shared" si="71"/>
        <v>519</v>
      </c>
      <c r="T133" s="5">
        <v>18956</v>
      </c>
      <c r="U133" s="12">
        <f t="shared" si="72"/>
        <v>122</v>
      </c>
      <c r="V133" s="13">
        <v>48639</v>
      </c>
      <c r="W133" s="6">
        <f t="shared" si="73"/>
        <v>0</v>
      </c>
      <c r="X133" s="5">
        <v>68876</v>
      </c>
      <c r="Y133" s="6">
        <f t="shared" si="74"/>
        <v>588</v>
      </c>
      <c r="Z133" s="5">
        <v>81</v>
      </c>
      <c r="AA133" s="91">
        <f t="shared" si="75"/>
        <v>0</v>
      </c>
      <c r="AB133" s="5">
        <v>21645</v>
      </c>
      <c r="AC133" s="16">
        <f t="shared" si="76"/>
        <v>115</v>
      </c>
      <c r="AD133" s="5">
        <v>6755</v>
      </c>
      <c r="AE133" s="16">
        <f t="shared" si="77"/>
        <v>0</v>
      </c>
      <c r="AF133" s="5">
        <v>11429</v>
      </c>
      <c r="AG133" s="16">
        <f t="shared" si="78"/>
        <v>0</v>
      </c>
      <c r="AH133" s="5">
        <v>80426</v>
      </c>
      <c r="AI133" s="16">
        <f t="shared" si="79"/>
        <v>1128</v>
      </c>
      <c r="AJ133" s="18">
        <f t="shared" si="82"/>
        <v>5807</v>
      </c>
      <c r="AK133" s="19">
        <f t="shared" si="83"/>
        <v>257</v>
      </c>
    </row>
    <row r="134" spans="2:37" ht="21" customHeight="1" x14ac:dyDescent="0.3">
      <c r="B134" s="9" t="s">
        <v>70</v>
      </c>
      <c r="C134" s="34">
        <v>45962</v>
      </c>
      <c r="D134" s="8">
        <v>395263</v>
      </c>
      <c r="E134" s="16" t="str">
        <f t="shared" si="64"/>
        <v/>
      </c>
      <c r="F134" s="8">
        <v>150787</v>
      </c>
      <c r="G134" s="16" t="str">
        <f t="shared" si="65"/>
        <v/>
      </c>
      <c r="H134" s="8">
        <v>170607</v>
      </c>
      <c r="I134" s="16" t="str">
        <f t="shared" si="66"/>
        <v/>
      </c>
      <c r="J134" s="8">
        <v>64523</v>
      </c>
      <c r="K134" s="16" t="str">
        <f t="shared" si="67"/>
        <v/>
      </c>
      <c r="L134" s="8">
        <v>13682</v>
      </c>
      <c r="M134" s="12" t="str">
        <f>IF(L135&lt;&gt;"",L135-L134,"")</f>
        <v/>
      </c>
      <c r="N134" s="8">
        <v>47846</v>
      </c>
      <c r="O134" s="6" t="str">
        <f t="shared" si="69"/>
        <v/>
      </c>
      <c r="P134" s="8">
        <v>15688</v>
      </c>
      <c r="Q134" s="12" t="str">
        <f t="shared" si="70"/>
        <v/>
      </c>
      <c r="R134" s="8">
        <v>84593</v>
      </c>
      <c r="S134" s="6" t="str">
        <f t="shared" si="71"/>
        <v/>
      </c>
      <c r="T134" s="8">
        <v>19078</v>
      </c>
      <c r="U134" s="12" t="str">
        <f t="shared" si="72"/>
        <v/>
      </c>
      <c r="V134" s="8">
        <v>48639</v>
      </c>
      <c r="W134" s="6" t="str">
        <f t="shared" si="73"/>
        <v/>
      </c>
      <c r="X134" s="8">
        <v>69464</v>
      </c>
      <c r="Y134" s="6" t="str">
        <f t="shared" si="74"/>
        <v/>
      </c>
      <c r="Z134" s="8">
        <v>81</v>
      </c>
      <c r="AA134" s="91" t="str">
        <f t="shared" si="75"/>
        <v/>
      </c>
      <c r="AB134" s="8">
        <v>21760</v>
      </c>
      <c r="AC134" s="16" t="str">
        <f t="shared" si="76"/>
        <v/>
      </c>
      <c r="AD134" s="8">
        <v>6755</v>
      </c>
      <c r="AE134" s="16" t="str">
        <f t="shared" si="77"/>
        <v/>
      </c>
      <c r="AF134" s="8">
        <v>11429</v>
      </c>
      <c r="AG134" s="16" t="str">
        <f t="shared" si="78"/>
        <v/>
      </c>
      <c r="AH134" s="8">
        <v>81554</v>
      </c>
      <c r="AI134" s="16" t="str">
        <f t="shared" si="79"/>
        <v/>
      </c>
      <c r="AJ134" s="18">
        <f t="shared" si="82"/>
        <v>0</v>
      </c>
      <c r="AK134" s="19" t="e">
        <f t="shared" si="83"/>
        <v>#VALUE!</v>
      </c>
    </row>
    <row r="135" spans="2:37" ht="44.4" customHeight="1" x14ac:dyDescent="0.3">
      <c r="B135" s="152" t="s">
        <v>191</v>
      </c>
      <c r="C135" s="153"/>
      <c r="D135" s="8"/>
      <c r="E135" s="22">
        <f>SUM(E103:E133)</f>
        <v>123920</v>
      </c>
      <c r="F135" s="8"/>
      <c r="G135" s="11">
        <f>SUM(G103:G134)</f>
        <v>68466</v>
      </c>
      <c r="H135" s="8"/>
      <c r="I135" s="11">
        <f>SUM(I103:I133)</f>
        <v>68792</v>
      </c>
      <c r="J135" s="8"/>
      <c r="K135" s="11">
        <f>SUM(K103:K133)</f>
        <v>16353</v>
      </c>
      <c r="L135" s="8"/>
      <c r="M135" s="11">
        <f>SUM(M103:M133)</f>
        <v>4224</v>
      </c>
      <c r="N135" s="8"/>
      <c r="O135" s="11">
        <f>SUM(O103:O133)</f>
        <v>8790</v>
      </c>
      <c r="P135" s="8"/>
      <c r="Q135" s="11">
        <f>SUM(Q103:Q133)</f>
        <v>3914</v>
      </c>
      <c r="R135" s="8"/>
      <c r="S135" s="11">
        <f>SUM(S103:S133)</f>
        <v>16359</v>
      </c>
      <c r="T135" s="8"/>
      <c r="U135" s="11">
        <f>SUM(U103:U133)</f>
        <v>5213</v>
      </c>
      <c r="V135" s="8"/>
      <c r="W135" s="11">
        <f>SUM(W104:W133)</f>
        <v>0</v>
      </c>
      <c r="X135" s="8"/>
      <c r="Y135" s="11">
        <f>SUM(Y103:Y133)</f>
        <v>17259</v>
      </c>
      <c r="Z135" s="8"/>
      <c r="AA135" s="11">
        <f>SUM(AA104:AA133)</f>
        <v>1</v>
      </c>
      <c r="AB135" s="8"/>
      <c r="AC135" s="11">
        <f>SUM(AC103:AC133)</f>
        <v>5124</v>
      </c>
      <c r="AD135" s="8"/>
      <c r="AE135" s="11">
        <f>SUM(AE104:AE133)</f>
        <v>0</v>
      </c>
      <c r="AF135" s="8"/>
      <c r="AG135" s="11">
        <f>SUM(AG104:AG133)</f>
        <v>0</v>
      </c>
      <c r="AH135" s="8"/>
      <c r="AI135" s="11">
        <f>SUM(AI103:AI133)</f>
        <v>36706</v>
      </c>
      <c r="AJ135" s="18">
        <f>SUM(G135,K135,M135,O135,Q135,S135,U135,W135,Y135,AA135,AC135,AE135,AG135,AI135)</f>
        <v>182409</v>
      </c>
      <c r="AK135" s="19">
        <f>(E135+I135)-AJ135</f>
        <v>10303</v>
      </c>
    </row>
    <row r="136" spans="2:37" s="90" customFormat="1" ht="49.95" customHeight="1" x14ac:dyDescent="0.45">
      <c r="B136" s="158" t="s">
        <v>192</v>
      </c>
      <c r="C136" s="158"/>
      <c r="D136" s="92"/>
      <c r="E136" s="92">
        <f>G136+K136+M136+O136+Q136+S136+U136+Y136</f>
        <v>147440</v>
      </c>
      <c r="F136" s="92"/>
      <c r="G136" s="92">
        <f>'LT-Wshng'!E135</f>
        <v>68413</v>
      </c>
      <c r="H136" s="92"/>
      <c r="I136" s="11">
        <f>I135</f>
        <v>68792</v>
      </c>
      <c r="J136" s="93"/>
      <c r="K136" s="93">
        <f>'LT GF'!D135</f>
        <v>16266</v>
      </c>
      <c r="L136" s="93"/>
      <c r="M136" s="93">
        <f>'LT GF'!P135</f>
        <v>6701</v>
      </c>
      <c r="N136" s="93"/>
      <c r="O136" s="93">
        <f>'LT FF'!D135</f>
        <v>8676</v>
      </c>
      <c r="P136" s="93"/>
      <c r="Q136" s="93">
        <f>'LT FF'!P135</f>
        <v>5665</v>
      </c>
      <c r="R136" s="93"/>
      <c r="S136" s="93">
        <f>'LT 2F'!D135</f>
        <v>16235</v>
      </c>
      <c r="T136" s="93"/>
      <c r="U136" s="93">
        <f>'LT 2F'!P135</f>
        <v>8252</v>
      </c>
      <c r="V136" s="93"/>
      <c r="W136" s="93">
        <f>W135</f>
        <v>0</v>
      </c>
      <c r="X136" s="93"/>
      <c r="Y136" s="22">
        <f>'LT-Wshng'!U135</f>
        <v>17232</v>
      </c>
      <c r="Z136" s="92"/>
      <c r="AA136" s="92">
        <f>AA135</f>
        <v>1</v>
      </c>
      <c r="AB136" s="92"/>
      <c r="AC136" s="92">
        <f>AC135</f>
        <v>5124</v>
      </c>
      <c r="AD136" s="92"/>
      <c r="AE136" s="92"/>
      <c r="AF136" s="92"/>
      <c r="AG136" s="92"/>
      <c r="AH136" s="92"/>
      <c r="AI136" s="92">
        <f>AI135</f>
        <v>36706</v>
      </c>
      <c r="AJ136" s="104">
        <f>SUM(G136,K136,M136,O136,Q136,S136,U136,W136,Y136,AA136,AC136,AE136,AG136,AI136)</f>
        <v>189271</v>
      </c>
      <c r="AK136" s="19">
        <f>(E136+I136)-AJ136</f>
        <v>26961</v>
      </c>
    </row>
    <row r="137" spans="2:37" s="89" customFormat="1" ht="23.4" x14ac:dyDescent="0.45">
      <c r="B137" s="159" t="s">
        <v>193</v>
      </c>
      <c r="C137" s="159"/>
      <c r="D137" s="94"/>
      <c r="E137" s="94">
        <f>E135-E136</f>
        <v>-23520</v>
      </c>
      <c r="F137" s="94"/>
      <c r="G137" s="94">
        <f>G135-G136</f>
        <v>53</v>
      </c>
      <c r="H137" s="94"/>
      <c r="I137" s="94">
        <f>I135-I136</f>
        <v>0</v>
      </c>
      <c r="J137" s="95"/>
      <c r="K137" s="94">
        <f>K135-K136</f>
        <v>87</v>
      </c>
      <c r="L137" s="95"/>
      <c r="M137" s="94">
        <f>M135-M136</f>
        <v>-2477</v>
      </c>
      <c r="N137" s="95"/>
      <c r="O137" s="94">
        <f>O135-O136</f>
        <v>114</v>
      </c>
      <c r="P137" s="95"/>
      <c r="Q137" s="94">
        <f>Q135-Q136</f>
        <v>-1751</v>
      </c>
      <c r="R137" s="95"/>
      <c r="S137" s="94">
        <f>S135-S136</f>
        <v>124</v>
      </c>
      <c r="T137" s="95"/>
      <c r="U137" s="94">
        <f>U135-U136</f>
        <v>-3039</v>
      </c>
      <c r="V137" s="95"/>
      <c r="W137" s="95"/>
      <c r="X137" s="95"/>
      <c r="Y137" s="94">
        <f>Y135-Y136</f>
        <v>27</v>
      </c>
      <c r="Z137" s="94"/>
      <c r="AA137" s="94">
        <f>AA135-AA136</f>
        <v>0</v>
      </c>
      <c r="AB137" s="94"/>
      <c r="AC137" s="94">
        <f>AC135-AC136</f>
        <v>0</v>
      </c>
      <c r="AD137" s="94"/>
      <c r="AE137" s="94">
        <f>AE135-AE136</f>
        <v>0</v>
      </c>
      <c r="AF137" s="94"/>
      <c r="AG137" s="94">
        <f>AG135-AG136</f>
        <v>0</v>
      </c>
      <c r="AH137" s="94"/>
      <c r="AI137" s="94">
        <f>AI135-AI136</f>
        <v>0</v>
      </c>
      <c r="AJ137" s="94">
        <f>AJ135-AJ136</f>
        <v>-6862</v>
      </c>
      <c r="AK137" s="94">
        <f>AK135-AK136</f>
        <v>-16658</v>
      </c>
    </row>
    <row r="138" spans="2:37" ht="21" customHeight="1" x14ac:dyDescent="0.3">
      <c r="B138" s="9" t="s">
        <v>70</v>
      </c>
      <c r="C138" s="34">
        <v>45962</v>
      </c>
      <c r="D138" s="8">
        <v>395263</v>
      </c>
      <c r="E138" s="16">
        <f>IF(D139&lt;&gt;"",D139-D138,"")</f>
        <v>3058</v>
      </c>
      <c r="F138" s="8">
        <v>150787</v>
      </c>
      <c r="G138" s="16">
        <f>IF(F139&lt;&gt;"",F139-F138,"")</f>
        <v>1899</v>
      </c>
      <c r="H138" s="8">
        <v>170607</v>
      </c>
      <c r="I138" s="16">
        <f>IF(H139&lt;&gt;"",H139-H138,"")</f>
        <v>2730</v>
      </c>
      <c r="J138" s="8">
        <v>64523</v>
      </c>
      <c r="K138" s="16">
        <f>IF(J139&lt;&gt;"",J139-J138,"")</f>
        <v>490</v>
      </c>
      <c r="L138" s="8">
        <v>13682</v>
      </c>
      <c r="M138" s="12">
        <f>IF(L139&lt;&gt;"",L139-L138,"")</f>
        <v>131</v>
      </c>
      <c r="N138" s="8">
        <v>47846</v>
      </c>
      <c r="O138" s="6">
        <f>IF(N139&lt;&gt;"",N139-N138,"")</f>
        <v>175</v>
      </c>
      <c r="P138" s="8">
        <v>15688</v>
      </c>
      <c r="Q138" s="12">
        <f>IF(P139&lt;&gt;"",P139-P138,"")</f>
        <v>107</v>
      </c>
      <c r="R138" s="8">
        <v>84593</v>
      </c>
      <c r="S138" s="6">
        <f>IF(R139&lt;&gt;"",R139-R138,"")</f>
        <v>521</v>
      </c>
      <c r="T138" s="8">
        <v>19078</v>
      </c>
      <c r="U138" s="12">
        <f>IF(T139&lt;&gt;"",T139-T138,"")</f>
        <v>143</v>
      </c>
      <c r="V138" s="8">
        <v>48639</v>
      </c>
      <c r="W138" s="6">
        <f>IF(V139&lt;&gt;"",V139-V138,"")</f>
        <v>0</v>
      </c>
      <c r="X138" s="8">
        <v>69464</v>
      </c>
      <c r="Y138" s="6">
        <f>IF(X139&lt;&gt;"",X139-X138,"")</f>
        <v>540</v>
      </c>
      <c r="Z138" s="8">
        <v>81</v>
      </c>
      <c r="AA138" s="91">
        <f>IF(Z139&lt;&gt;"",Z139-Z138,"")</f>
        <v>0</v>
      </c>
      <c r="AB138" s="8">
        <v>21760</v>
      </c>
      <c r="AC138" s="16">
        <f>IF(AB139&lt;&gt;"",AB139-AB138,"")</f>
        <v>138</v>
      </c>
      <c r="AD138" s="8">
        <v>6755</v>
      </c>
      <c r="AE138" s="16">
        <f>IF(AD139&lt;&gt;"",AD139-AD138,"")</f>
        <v>0</v>
      </c>
      <c r="AF138" s="8">
        <v>11429</v>
      </c>
      <c r="AG138" s="16">
        <f>IF(AF139&lt;&gt;"",AF139-AF138,"")</f>
        <v>0</v>
      </c>
      <c r="AH138" s="8">
        <v>81554</v>
      </c>
      <c r="AI138" s="16">
        <f>IF(AH139&lt;&gt;"",AH139-AH138,"")</f>
        <v>916</v>
      </c>
      <c r="AJ138" s="18">
        <f>SUM(G138,K138,M138,O138,Q138,S138,U138,W138,Y138,AA138,AC138,AE138,AG138,AI138)</f>
        <v>5060</v>
      </c>
      <c r="AK138" s="19">
        <f>(E138+I138)-AJ138</f>
        <v>728</v>
      </c>
    </row>
    <row r="139" spans="2:37" ht="21" customHeight="1" x14ac:dyDescent="0.3">
      <c r="B139" s="9" t="s">
        <v>71</v>
      </c>
      <c r="C139" s="34">
        <v>45963</v>
      </c>
      <c r="D139" s="5">
        <v>398321</v>
      </c>
      <c r="E139" s="16">
        <f t="shared" ref="E139:E169" si="84">IF(D140&lt;&gt;"",D140-D139,"")</f>
        <v>191</v>
      </c>
      <c r="F139" s="5">
        <v>152686</v>
      </c>
      <c r="G139" s="16">
        <f t="shared" ref="G139:G169" si="85">IF(F140&lt;&gt;"",F140-F139,"")</f>
        <v>16</v>
      </c>
      <c r="H139" s="5">
        <v>173337</v>
      </c>
      <c r="I139" s="16">
        <f t="shared" ref="I139:I169" si="86">IF(H140&lt;&gt;"",H140-H139,"")</f>
        <v>671</v>
      </c>
      <c r="J139" s="13">
        <v>65013</v>
      </c>
      <c r="K139" s="16">
        <f t="shared" ref="K139:K169" si="87">IF(J140&lt;&gt;"",J140-J139,"")</f>
        <v>46</v>
      </c>
      <c r="L139" s="5">
        <v>13813</v>
      </c>
      <c r="M139" s="12">
        <f t="shared" ref="M139:M166" si="88">IF(L140&lt;&gt;"",L140-L139,"")</f>
        <v>14</v>
      </c>
      <c r="N139" s="13">
        <v>48021</v>
      </c>
      <c r="O139" s="6">
        <f t="shared" ref="O139:O169" si="89">IF(N140&lt;&gt;"",N140-N139,"")</f>
        <v>36</v>
      </c>
      <c r="P139" s="5">
        <v>15795</v>
      </c>
      <c r="Q139" s="12">
        <f t="shared" ref="Q139:Q169" si="90">IF(P140&lt;&gt;"",P140-P139,"")</f>
        <v>28</v>
      </c>
      <c r="R139" s="13">
        <v>85114</v>
      </c>
      <c r="S139" s="6">
        <f t="shared" ref="S139:S169" si="91">IF(R140&lt;&gt;"",R140-R139,"")</f>
        <v>75</v>
      </c>
      <c r="T139" s="5">
        <v>19221</v>
      </c>
      <c r="U139" s="12">
        <f t="shared" ref="U139:U169" si="92">IF(T140&lt;&gt;"",T140-T139,"")</f>
        <v>33</v>
      </c>
      <c r="V139" s="13">
        <v>48639</v>
      </c>
      <c r="W139" s="6">
        <f t="shared" ref="W139:W169" si="93">IF(V140&lt;&gt;"",V140-V139,"")</f>
        <v>0</v>
      </c>
      <c r="X139" s="5">
        <v>70004</v>
      </c>
      <c r="Y139" s="6">
        <f t="shared" ref="Y139:Y169" si="94">IF(X140&lt;&gt;"",X140-X139,"")</f>
        <v>33</v>
      </c>
      <c r="Z139" s="5">
        <v>81</v>
      </c>
      <c r="AA139" s="91">
        <f t="shared" ref="AA139:AA169" si="95">IF(Z140&lt;&gt;"",Z140-Z139,"")</f>
        <v>0</v>
      </c>
      <c r="AB139" s="5">
        <v>21898</v>
      </c>
      <c r="AC139" s="16">
        <f t="shared" ref="AC139:AC169" si="96">IF(AB140&lt;&gt;"",AB140-AB139,"")</f>
        <v>112</v>
      </c>
      <c r="AD139" s="5">
        <v>6755</v>
      </c>
      <c r="AE139" s="16">
        <f t="shared" ref="AE139:AE169" si="97">IF(AD140&lt;&gt;"",AD140-AD139,"")</f>
        <v>0</v>
      </c>
      <c r="AF139" s="5">
        <v>11429</v>
      </c>
      <c r="AG139" s="16">
        <f t="shared" ref="AG139:AG169" si="98">IF(AF140&lt;&gt;"",AF140-AF139,"")</f>
        <v>0</v>
      </c>
      <c r="AH139" s="5">
        <v>82470</v>
      </c>
      <c r="AI139" s="16">
        <f t="shared" ref="AI139:AI169" si="99">IF(AH140&lt;&gt;"",AH140-AH139,"")</f>
        <v>20</v>
      </c>
      <c r="AJ139" s="18">
        <f t="shared" ref="AJ139:AJ155" si="100">SUM(G139,K139,M139,O139,Q139,S139,U139,W139,Y139,AA139,AC139,AE139,AG139,AI139)</f>
        <v>413</v>
      </c>
      <c r="AK139" s="19">
        <f t="shared" ref="AK139:AK155" si="101">(E139+I139)-AJ139</f>
        <v>449</v>
      </c>
    </row>
    <row r="140" spans="2:37" ht="21" customHeight="1" x14ac:dyDescent="0.3">
      <c r="B140" s="9" t="s">
        <v>72</v>
      </c>
      <c r="C140" s="34">
        <v>45964</v>
      </c>
      <c r="D140" s="5">
        <v>398512</v>
      </c>
      <c r="E140" s="16">
        <f t="shared" si="84"/>
        <v>3323</v>
      </c>
      <c r="F140" s="5">
        <v>152702</v>
      </c>
      <c r="G140" s="16">
        <f t="shared" si="85"/>
        <v>2001</v>
      </c>
      <c r="H140" s="5">
        <v>174008</v>
      </c>
      <c r="I140" s="16">
        <f t="shared" si="86"/>
        <v>2095</v>
      </c>
      <c r="J140" s="13">
        <v>65059</v>
      </c>
      <c r="K140" s="16">
        <f t="shared" si="87"/>
        <v>499</v>
      </c>
      <c r="L140" s="5">
        <v>13827</v>
      </c>
      <c r="M140" s="12">
        <f t="shared" si="88"/>
        <v>122</v>
      </c>
      <c r="N140" s="13">
        <v>48057</v>
      </c>
      <c r="O140" s="6">
        <f t="shared" si="89"/>
        <v>173</v>
      </c>
      <c r="P140" s="5">
        <v>15823</v>
      </c>
      <c r="Q140" s="12">
        <f t="shared" si="90"/>
        <v>113</v>
      </c>
      <c r="R140" s="13">
        <v>85189</v>
      </c>
      <c r="S140" s="6">
        <f t="shared" si="91"/>
        <v>431</v>
      </c>
      <c r="T140" s="5">
        <v>19254</v>
      </c>
      <c r="U140" s="12">
        <f t="shared" si="92"/>
        <v>126</v>
      </c>
      <c r="V140" s="13">
        <v>48639</v>
      </c>
      <c r="W140" s="6">
        <f t="shared" si="93"/>
        <v>0</v>
      </c>
      <c r="X140" s="5">
        <v>70037</v>
      </c>
      <c r="Y140" s="6">
        <f t="shared" si="94"/>
        <v>543</v>
      </c>
      <c r="Z140" s="5">
        <v>81</v>
      </c>
      <c r="AA140" s="91">
        <f t="shared" si="95"/>
        <v>0</v>
      </c>
      <c r="AB140" s="5">
        <v>22010</v>
      </c>
      <c r="AC140" s="16">
        <f t="shared" si="96"/>
        <v>94</v>
      </c>
      <c r="AD140" s="5">
        <v>6755</v>
      </c>
      <c r="AE140" s="16">
        <f t="shared" si="97"/>
        <v>0</v>
      </c>
      <c r="AF140" s="5">
        <v>11429</v>
      </c>
      <c r="AG140" s="16">
        <f t="shared" si="98"/>
        <v>0</v>
      </c>
      <c r="AH140" s="5">
        <v>82490</v>
      </c>
      <c r="AI140" s="16">
        <f t="shared" si="99"/>
        <v>1005</v>
      </c>
      <c r="AJ140" s="18">
        <f t="shared" si="100"/>
        <v>5107</v>
      </c>
      <c r="AK140" s="19">
        <f t="shared" si="101"/>
        <v>311</v>
      </c>
    </row>
    <row r="141" spans="2:37" ht="21" customHeight="1" x14ac:dyDescent="0.3">
      <c r="B141" s="9" t="s">
        <v>66</v>
      </c>
      <c r="C141" s="34">
        <v>45965</v>
      </c>
      <c r="D141" s="5">
        <v>401835</v>
      </c>
      <c r="E141" s="16">
        <f t="shared" si="84"/>
        <v>3501</v>
      </c>
      <c r="F141" s="5">
        <v>154703</v>
      </c>
      <c r="G141" s="16">
        <f t="shared" si="85"/>
        <v>2054</v>
      </c>
      <c r="H141" s="5">
        <v>176103</v>
      </c>
      <c r="I141" s="16">
        <f t="shared" si="86"/>
        <v>2017</v>
      </c>
      <c r="J141" s="13">
        <v>65558</v>
      </c>
      <c r="K141" s="16">
        <f t="shared" si="87"/>
        <v>502</v>
      </c>
      <c r="L141" s="5">
        <v>13949</v>
      </c>
      <c r="M141" s="12">
        <f t="shared" si="88"/>
        <v>167</v>
      </c>
      <c r="N141" s="13">
        <v>48230</v>
      </c>
      <c r="O141" s="6">
        <f t="shared" si="89"/>
        <v>184</v>
      </c>
      <c r="P141" s="5">
        <v>15936</v>
      </c>
      <c r="Q141" s="12">
        <f t="shared" si="90"/>
        <v>96</v>
      </c>
      <c r="R141" s="13">
        <v>85620</v>
      </c>
      <c r="S141" s="6">
        <f t="shared" si="91"/>
        <v>470</v>
      </c>
      <c r="T141" s="5">
        <v>19380</v>
      </c>
      <c r="U141" s="12">
        <f t="shared" si="92"/>
        <v>146</v>
      </c>
      <c r="V141" s="13">
        <v>48639</v>
      </c>
      <c r="W141" s="6">
        <f t="shared" si="93"/>
        <v>0</v>
      </c>
      <c r="X141" s="5">
        <v>70580</v>
      </c>
      <c r="Y141" s="6">
        <f t="shared" si="94"/>
        <v>498</v>
      </c>
      <c r="Z141" s="5">
        <v>81</v>
      </c>
      <c r="AA141" s="91">
        <f t="shared" si="95"/>
        <v>0</v>
      </c>
      <c r="AB141" s="5">
        <v>22104</v>
      </c>
      <c r="AC141" s="16">
        <f t="shared" si="96"/>
        <v>114</v>
      </c>
      <c r="AD141" s="5">
        <v>6755</v>
      </c>
      <c r="AE141" s="16">
        <f t="shared" si="97"/>
        <v>0</v>
      </c>
      <c r="AF141" s="5">
        <v>11429</v>
      </c>
      <c r="AG141" s="16">
        <f t="shared" si="98"/>
        <v>0</v>
      </c>
      <c r="AH141" s="5">
        <v>83495</v>
      </c>
      <c r="AI141" s="16">
        <f t="shared" si="99"/>
        <v>1070</v>
      </c>
      <c r="AJ141" s="18">
        <f t="shared" si="100"/>
        <v>5301</v>
      </c>
      <c r="AK141" s="19">
        <f t="shared" si="101"/>
        <v>217</v>
      </c>
    </row>
    <row r="142" spans="2:37" ht="21" customHeight="1" x14ac:dyDescent="0.3">
      <c r="B142" s="9" t="s">
        <v>67</v>
      </c>
      <c r="C142" s="34">
        <v>45966</v>
      </c>
      <c r="D142" s="5">
        <v>405336</v>
      </c>
      <c r="E142" s="16">
        <f t="shared" si="84"/>
        <v>2851</v>
      </c>
      <c r="F142" s="5">
        <v>156757</v>
      </c>
      <c r="G142" s="16">
        <f t="shared" si="85"/>
        <v>1883</v>
      </c>
      <c r="H142" s="5">
        <v>178120</v>
      </c>
      <c r="I142" s="16">
        <f t="shared" si="86"/>
        <v>2555</v>
      </c>
      <c r="J142" s="13">
        <v>66060</v>
      </c>
      <c r="K142" s="16">
        <f t="shared" si="87"/>
        <v>433</v>
      </c>
      <c r="L142" s="5">
        <v>14116</v>
      </c>
      <c r="M142" s="12">
        <f t="shared" si="88"/>
        <v>157</v>
      </c>
      <c r="N142" s="13">
        <v>48414</v>
      </c>
      <c r="O142" s="6">
        <f t="shared" si="89"/>
        <v>189</v>
      </c>
      <c r="P142" s="5">
        <v>16032</v>
      </c>
      <c r="Q142" s="12">
        <f t="shared" si="90"/>
        <v>108</v>
      </c>
      <c r="R142" s="13">
        <v>86090</v>
      </c>
      <c r="S142" s="6">
        <f t="shared" si="91"/>
        <v>425</v>
      </c>
      <c r="T142" s="5">
        <v>19526</v>
      </c>
      <c r="U142" s="12">
        <f t="shared" si="92"/>
        <v>123</v>
      </c>
      <c r="V142" s="13">
        <v>48639</v>
      </c>
      <c r="W142" s="6">
        <f t="shared" si="93"/>
        <v>0</v>
      </c>
      <c r="X142" s="5">
        <v>71078</v>
      </c>
      <c r="Y142" s="6">
        <f t="shared" si="94"/>
        <v>444</v>
      </c>
      <c r="Z142" s="5">
        <v>81</v>
      </c>
      <c r="AA142" s="91">
        <f t="shared" si="95"/>
        <v>0</v>
      </c>
      <c r="AB142" s="5">
        <v>22218</v>
      </c>
      <c r="AC142" s="16">
        <f t="shared" si="96"/>
        <v>127</v>
      </c>
      <c r="AD142" s="5">
        <v>6755</v>
      </c>
      <c r="AE142" s="16">
        <f t="shared" si="97"/>
        <v>0</v>
      </c>
      <c r="AF142" s="5">
        <v>11429</v>
      </c>
      <c r="AG142" s="16">
        <f t="shared" si="98"/>
        <v>0</v>
      </c>
      <c r="AH142" s="5">
        <v>84565</v>
      </c>
      <c r="AI142" s="16">
        <f t="shared" si="99"/>
        <v>996</v>
      </c>
      <c r="AJ142" s="18">
        <f t="shared" si="100"/>
        <v>4885</v>
      </c>
      <c r="AK142" s="19">
        <f t="shared" si="101"/>
        <v>521</v>
      </c>
    </row>
    <row r="143" spans="2:37" ht="21" customHeight="1" x14ac:dyDescent="0.3">
      <c r="B143" s="9" t="s">
        <v>68</v>
      </c>
      <c r="C143" s="34">
        <v>45967</v>
      </c>
      <c r="D143" s="5">
        <v>408187</v>
      </c>
      <c r="E143" s="16">
        <f t="shared" si="84"/>
        <v>2609</v>
      </c>
      <c r="F143" s="5">
        <v>158640</v>
      </c>
      <c r="G143" s="16">
        <f t="shared" si="85"/>
        <v>1937</v>
      </c>
      <c r="H143" s="5">
        <v>180675</v>
      </c>
      <c r="I143" s="16">
        <f t="shared" si="86"/>
        <v>2740</v>
      </c>
      <c r="J143" s="13">
        <v>66493</v>
      </c>
      <c r="K143" s="16">
        <f t="shared" si="87"/>
        <v>499</v>
      </c>
      <c r="L143" s="5">
        <v>14273</v>
      </c>
      <c r="M143" s="12">
        <f t="shared" si="88"/>
        <v>154</v>
      </c>
      <c r="N143" s="13">
        <v>48603</v>
      </c>
      <c r="O143" s="6">
        <f t="shared" si="89"/>
        <v>203</v>
      </c>
      <c r="P143" s="5">
        <v>16140</v>
      </c>
      <c r="Q143" s="12">
        <f t="shared" si="90"/>
        <v>120</v>
      </c>
      <c r="R143" s="13">
        <v>86515</v>
      </c>
      <c r="S143" s="6">
        <f t="shared" si="91"/>
        <v>336</v>
      </c>
      <c r="T143" s="5">
        <v>19649</v>
      </c>
      <c r="U143" s="12">
        <f t="shared" si="92"/>
        <v>124</v>
      </c>
      <c r="V143" s="13">
        <v>48639</v>
      </c>
      <c r="W143" s="6">
        <f t="shared" si="93"/>
        <v>0</v>
      </c>
      <c r="X143" s="5">
        <v>71522</v>
      </c>
      <c r="Y143" s="6">
        <f t="shared" si="94"/>
        <v>410</v>
      </c>
      <c r="Z143" s="5">
        <v>81</v>
      </c>
      <c r="AA143" s="91">
        <f t="shared" si="95"/>
        <v>0</v>
      </c>
      <c r="AB143" s="5">
        <v>22345</v>
      </c>
      <c r="AC143" s="16">
        <f t="shared" si="96"/>
        <v>128</v>
      </c>
      <c r="AD143" s="5">
        <v>6755</v>
      </c>
      <c r="AE143" s="16">
        <f t="shared" si="97"/>
        <v>0</v>
      </c>
      <c r="AF143" s="5">
        <v>11429</v>
      </c>
      <c r="AG143" s="16">
        <f t="shared" si="98"/>
        <v>0</v>
      </c>
      <c r="AH143" s="5">
        <v>85561</v>
      </c>
      <c r="AI143" s="16">
        <f t="shared" si="99"/>
        <v>1045</v>
      </c>
      <c r="AJ143" s="18">
        <f t="shared" si="100"/>
        <v>4956</v>
      </c>
      <c r="AK143" s="19">
        <f t="shared" si="101"/>
        <v>393</v>
      </c>
    </row>
    <row r="144" spans="2:37" ht="21" customHeight="1" x14ac:dyDescent="0.3">
      <c r="B144" s="9" t="s">
        <v>69</v>
      </c>
      <c r="C144" s="34">
        <v>45968</v>
      </c>
      <c r="D144" s="5">
        <v>410796</v>
      </c>
      <c r="E144" s="16">
        <f t="shared" si="84"/>
        <v>3059</v>
      </c>
      <c r="F144" s="5">
        <v>160577</v>
      </c>
      <c r="G144" s="16">
        <f t="shared" si="85"/>
        <v>2254</v>
      </c>
      <c r="H144" s="5">
        <v>183415</v>
      </c>
      <c r="I144" s="16">
        <f t="shared" si="86"/>
        <v>2548</v>
      </c>
      <c r="J144" s="13">
        <v>66992</v>
      </c>
      <c r="K144" s="16">
        <f t="shared" si="87"/>
        <v>499</v>
      </c>
      <c r="L144" s="5">
        <v>14427</v>
      </c>
      <c r="M144" s="12">
        <f t="shared" si="88"/>
        <v>167</v>
      </c>
      <c r="N144" s="13">
        <v>48806</v>
      </c>
      <c r="O144" s="6">
        <f t="shared" si="89"/>
        <v>145</v>
      </c>
      <c r="P144" s="5">
        <v>16260</v>
      </c>
      <c r="Q144" s="12">
        <f t="shared" si="90"/>
        <v>103</v>
      </c>
      <c r="R144" s="13">
        <v>86851</v>
      </c>
      <c r="S144" s="6">
        <f t="shared" si="91"/>
        <v>354</v>
      </c>
      <c r="T144" s="5">
        <v>19773</v>
      </c>
      <c r="U144" s="12">
        <f t="shared" si="92"/>
        <v>112</v>
      </c>
      <c r="V144" s="13">
        <v>48639</v>
      </c>
      <c r="W144" s="6">
        <f t="shared" si="93"/>
        <v>0</v>
      </c>
      <c r="X144" s="5">
        <v>71932</v>
      </c>
      <c r="Y144" s="6">
        <f t="shared" si="94"/>
        <v>496</v>
      </c>
      <c r="Z144" s="5">
        <v>81</v>
      </c>
      <c r="AA144" s="91">
        <f t="shared" si="95"/>
        <v>0</v>
      </c>
      <c r="AB144" s="5">
        <v>22473</v>
      </c>
      <c r="AC144" s="16">
        <f t="shared" si="96"/>
        <v>127</v>
      </c>
      <c r="AD144" s="5">
        <v>6755</v>
      </c>
      <c r="AE144" s="16">
        <f t="shared" si="97"/>
        <v>0</v>
      </c>
      <c r="AF144" s="5">
        <v>11429</v>
      </c>
      <c r="AG144" s="16">
        <f t="shared" si="98"/>
        <v>0</v>
      </c>
      <c r="AH144" s="5">
        <v>86606</v>
      </c>
      <c r="AI144" s="16">
        <f t="shared" si="99"/>
        <v>987</v>
      </c>
      <c r="AJ144" s="18">
        <f t="shared" si="100"/>
        <v>5244</v>
      </c>
      <c r="AK144" s="19">
        <f t="shared" si="101"/>
        <v>363</v>
      </c>
    </row>
    <row r="145" spans="2:37" ht="21" customHeight="1" x14ac:dyDescent="0.3">
      <c r="B145" s="9" t="s">
        <v>70</v>
      </c>
      <c r="C145" s="34">
        <v>45969</v>
      </c>
      <c r="D145" s="5">
        <v>413855</v>
      </c>
      <c r="E145" s="16">
        <f t="shared" si="84"/>
        <v>3090</v>
      </c>
      <c r="F145" s="5">
        <v>162831</v>
      </c>
      <c r="G145" s="16">
        <f t="shared" si="85"/>
        <v>2145</v>
      </c>
      <c r="H145" s="5">
        <v>185963</v>
      </c>
      <c r="I145" s="16">
        <f t="shared" si="86"/>
        <v>2471</v>
      </c>
      <c r="J145" s="13">
        <v>67491</v>
      </c>
      <c r="K145" s="16">
        <f t="shared" si="87"/>
        <v>576</v>
      </c>
      <c r="L145" s="5">
        <v>14594</v>
      </c>
      <c r="M145" s="12">
        <f t="shared" si="88"/>
        <v>160</v>
      </c>
      <c r="N145" s="13">
        <v>48951</v>
      </c>
      <c r="O145" s="6">
        <f t="shared" si="89"/>
        <v>123</v>
      </c>
      <c r="P145" s="5">
        <v>16363</v>
      </c>
      <c r="Q145" s="12">
        <f t="shared" si="90"/>
        <v>102</v>
      </c>
      <c r="R145" s="13">
        <v>87205</v>
      </c>
      <c r="S145" s="6">
        <f t="shared" si="91"/>
        <v>345</v>
      </c>
      <c r="T145" s="5">
        <v>19885</v>
      </c>
      <c r="U145" s="12">
        <f t="shared" si="92"/>
        <v>113</v>
      </c>
      <c r="V145" s="13">
        <v>48639</v>
      </c>
      <c r="W145" s="6">
        <f t="shared" si="93"/>
        <v>0</v>
      </c>
      <c r="X145" s="5">
        <v>72428</v>
      </c>
      <c r="Y145" s="6">
        <f t="shared" si="94"/>
        <v>475</v>
      </c>
      <c r="Z145" s="5">
        <v>81</v>
      </c>
      <c r="AA145" s="91">
        <f t="shared" si="95"/>
        <v>0</v>
      </c>
      <c r="AB145" s="5">
        <v>22600</v>
      </c>
      <c r="AC145" s="16">
        <f t="shared" si="96"/>
        <v>128</v>
      </c>
      <c r="AD145" s="5">
        <v>6755</v>
      </c>
      <c r="AE145" s="16">
        <f t="shared" si="97"/>
        <v>0</v>
      </c>
      <c r="AF145" s="5">
        <v>11429</v>
      </c>
      <c r="AG145" s="16">
        <f t="shared" si="98"/>
        <v>0</v>
      </c>
      <c r="AH145" s="5">
        <v>87593</v>
      </c>
      <c r="AI145" s="16">
        <f t="shared" si="99"/>
        <v>957</v>
      </c>
      <c r="AJ145" s="18">
        <f t="shared" si="100"/>
        <v>5124</v>
      </c>
      <c r="AK145" s="19">
        <f t="shared" si="101"/>
        <v>437</v>
      </c>
    </row>
    <row r="146" spans="2:37" ht="21" customHeight="1" x14ac:dyDescent="0.3">
      <c r="B146" s="9" t="s">
        <v>71</v>
      </c>
      <c r="C146" s="34">
        <v>45970</v>
      </c>
      <c r="D146" s="5">
        <v>416945</v>
      </c>
      <c r="E146" s="16">
        <f t="shared" si="84"/>
        <v>1540</v>
      </c>
      <c r="F146" s="5">
        <v>164976</v>
      </c>
      <c r="G146" s="16">
        <f t="shared" si="85"/>
        <v>1441</v>
      </c>
      <c r="H146" s="5">
        <v>188434</v>
      </c>
      <c r="I146" s="16">
        <f t="shared" si="86"/>
        <v>1325</v>
      </c>
      <c r="J146" s="13">
        <v>68067</v>
      </c>
      <c r="K146" s="16">
        <f t="shared" si="87"/>
        <v>249</v>
      </c>
      <c r="L146" s="5">
        <v>14754</v>
      </c>
      <c r="M146" s="12">
        <f t="shared" si="88"/>
        <v>46</v>
      </c>
      <c r="N146" s="13">
        <v>49074</v>
      </c>
      <c r="O146" s="6">
        <f t="shared" si="89"/>
        <v>12</v>
      </c>
      <c r="P146" s="5">
        <v>16465</v>
      </c>
      <c r="Q146" s="12">
        <f t="shared" si="90"/>
        <v>6</v>
      </c>
      <c r="R146" s="13">
        <v>87550</v>
      </c>
      <c r="S146" s="6">
        <f t="shared" si="91"/>
        <v>6</v>
      </c>
      <c r="T146" s="5">
        <v>19998</v>
      </c>
      <c r="U146" s="12">
        <f t="shared" si="92"/>
        <v>11</v>
      </c>
      <c r="V146" s="13">
        <v>48639</v>
      </c>
      <c r="W146" s="6">
        <f t="shared" si="93"/>
        <v>0</v>
      </c>
      <c r="X146" s="5">
        <v>72903</v>
      </c>
      <c r="Y146" s="6">
        <f t="shared" si="94"/>
        <v>203</v>
      </c>
      <c r="Z146" s="5">
        <v>81</v>
      </c>
      <c r="AA146" s="91">
        <f t="shared" si="95"/>
        <v>0</v>
      </c>
      <c r="AB146" s="5">
        <v>22728</v>
      </c>
      <c r="AC146" s="16">
        <f t="shared" si="96"/>
        <v>119</v>
      </c>
      <c r="AD146" s="5">
        <v>6755</v>
      </c>
      <c r="AE146" s="16">
        <f t="shared" si="97"/>
        <v>0</v>
      </c>
      <c r="AF146" s="5">
        <v>11429</v>
      </c>
      <c r="AG146" s="16">
        <f t="shared" si="98"/>
        <v>0</v>
      </c>
      <c r="AH146" s="5">
        <v>88550</v>
      </c>
      <c r="AI146" s="16">
        <f t="shared" si="99"/>
        <v>581</v>
      </c>
      <c r="AJ146" s="18">
        <f t="shared" si="100"/>
        <v>2674</v>
      </c>
      <c r="AK146" s="19">
        <f t="shared" si="101"/>
        <v>191</v>
      </c>
    </row>
    <row r="147" spans="2:37" ht="21" customHeight="1" x14ac:dyDescent="0.3">
      <c r="B147" s="9" t="s">
        <v>72</v>
      </c>
      <c r="C147" s="34">
        <v>45971</v>
      </c>
      <c r="D147" s="5">
        <v>418485</v>
      </c>
      <c r="E147" s="16">
        <f t="shared" si="84"/>
        <v>3062</v>
      </c>
      <c r="F147" s="5">
        <v>166417</v>
      </c>
      <c r="G147" s="16">
        <f t="shared" si="85"/>
        <v>2132</v>
      </c>
      <c r="H147" s="5">
        <v>189759</v>
      </c>
      <c r="I147" s="16">
        <f t="shared" si="86"/>
        <v>2282</v>
      </c>
      <c r="J147" s="13">
        <v>68316</v>
      </c>
      <c r="K147" s="16">
        <f t="shared" si="87"/>
        <v>552</v>
      </c>
      <c r="L147" s="5">
        <v>14800</v>
      </c>
      <c r="M147" s="12">
        <f t="shared" si="88"/>
        <v>120</v>
      </c>
      <c r="N147" s="13">
        <v>49086</v>
      </c>
      <c r="O147" s="6">
        <f t="shared" si="89"/>
        <v>107</v>
      </c>
      <c r="P147" s="5">
        <v>16471</v>
      </c>
      <c r="Q147" s="12">
        <f t="shared" si="90"/>
        <v>110</v>
      </c>
      <c r="R147" s="13">
        <v>87556</v>
      </c>
      <c r="S147" s="6">
        <f t="shared" si="91"/>
        <v>317</v>
      </c>
      <c r="T147" s="5">
        <v>20009</v>
      </c>
      <c r="U147" s="12">
        <f t="shared" si="92"/>
        <v>132</v>
      </c>
      <c r="V147" s="13">
        <v>48639</v>
      </c>
      <c r="W147" s="6">
        <f t="shared" si="93"/>
        <v>0</v>
      </c>
      <c r="X147" s="5">
        <v>73106</v>
      </c>
      <c r="Y147" s="6">
        <f t="shared" si="94"/>
        <v>417</v>
      </c>
      <c r="Z147" s="5">
        <v>81</v>
      </c>
      <c r="AA147" s="91">
        <f t="shared" si="95"/>
        <v>0</v>
      </c>
      <c r="AB147" s="5">
        <v>22847</v>
      </c>
      <c r="AC147" s="16">
        <f t="shared" si="96"/>
        <v>128</v>
      </c>
      <c r="AD147" s="5">
        <v>6755</v>
      </c>
      <c r="AE147" s="16">
        <f t="shared" si="97"/>
        <v>0</v>
      </c>
      <c r="AF147" s="5">
        <v>11429</v>
      </c>
      <c r="AG147" s="16">
        <f t="shared" si="98"/>
        <v>0</v>
      </c>
      <c r="AH147" s="5">
        <v>89131</v>
      </c>
      <c r="AI147" s="16">
        <f t="shared" si="99"/>
        <v>966</v>
      </c>
      <c r="AJ147" s="18">
        <f t="shared" si="100"/>
        <v>4981</v>
      </c>
      <c r="AK147" s="19">
        <f t="shared" si="101"/>
        <v>363</v>
      </c>
    </row>
    <row r="148" spans="2:37" ht="21" customHeight="1" x14ac:dyDescent="0.3">
      <c r="B148" s="9" t="s">
        <v>66</v>
      </c>
      <c r="C148" s="34">
        <v>45972</v>
      </c>
      <c r="D148" s="5">
        <v>421547</v>
      </c>
      <c r="E148" s="16">
        <f t="shared" si="84"/>
        <v>2523</v>
      </c>
      <c r="F148" s="5">
        <v>168549</v>
      </c>
      <c r="G148" s="16">
        <f t="shared" si="85"/>
        <v>1686</v>
      </c>
      <c r="H148" s="5">
        <v>192041</v>
      </c>
      <c r="I148" s="16">
        <f t="shared" si="86"/>
        <v>2113</v>
      </c>
      <c r="J148" s="13">
        <v>68868</v>
      </c>
      <c r="K148" s="16">
        <f t="shared" si="87"/>
        <v>482</v>
      </c>
      <c r="L148" s="5">
        <v>14920</v>
      </c>
      <c r="M148" s="12">
        <f t="shared" si="88"/>
        <v>139</v>
      </c>
      <c r="N148" s="13">
        <v>49193</v>
      </c>
      <c r="O148" s="6">
        <f t="shared" si="89"/>
        <v>110</v>
      </c>
      <c r="P148" s="5">
        <v>16581</v>
      </c>
      <c r="Q148" s="12">
        <f t="shared" si="90"/>
        <v>98</v>
      </c>
      <c r="R148" s="13">
        <v>87873</v>
      </c>
      <c r="S148" s="6">
        <f t="shared" si="91"/>
        <v>332</v>
      </c>
      <c r="T148" s="5">
        <v>20141</v>
      </c>
      <c r="U148" s="12">
        <f t="shared" si="92"/>
        <v>128</v>
      </c>
      <c r="V148" s="13">
        <v>48639</v>
      </c>
      <c r="W148" s="6">
        <f t="shared" si="93"/>
        <v>0</v>
      </c>
      <c r="X148" s="5">
        <v>73523</v>
      </c>
      <c r="Y148" s="6">
        <f t="shared" si="94"/>
        <v>415</v>
      </c>
      <c r="Z148" s="5">
        <v>81</v>
      </c>
      <c r="AA148" s="91">
        <f t="shared" si="95"/>
        <v>0</v>
      </c>
      <c r="AB148" s="5">
        <v>22975</v>
      </c>
      <c r="AC148" s="16">
        <f t="shared" si="96"/>
        <v>127</v>
      </c>
      <c r="AD148" s="5">
        <v>6755</v>
      </c>
      <c r="AE148" s="16">
        <f t="shared" si="97"/>
        <v>0</v>
      </c>
      <c r="AF148" s="5">
        <v>11429</v>
      </c>
      <c r="AG148" s="16">
        <f t="shared" si="98"/>
        <v>0</v>
      </c>
      <c r="AH148" s="5">
        <v>90097</v>
      </c>
      <c r="AI148" s="16">
        <f t="shared" si="99"/>
        <v>819</v>
      </c>
      <c r="AJ148" s="18">
        <f t="shared" si="100"/>
        <v>4336</v>
      </c>
      <c r="AK148" s="19">
        <f t="shared" si="101"/>
        <v>300</v>
      </c>
    </row>
    <row r="149" spans="2:37" ht="21" customHeight="1" x14ac:dyDescent="0.3">
      <c r="B149" s="9" t="s">
        <v>67</v>
      </c>
      <c r="C149" s="34">
        <v>45973</v>
      </c>
      <c r="D149" s="5">
        <v>424070</v>
      </c>
      <c r="E149" s="16">
        <f t="shared" si="84"/>
        <v>2264</v>
      </c>
      <c r="F149" s="5">
        <v>170235</v>
      </c>
      <c r="G149" s="16">
        <f t="shared" si="85"/>
        <v>1513</v>
      </c>
      <c r="H149" s="5">
        <v>194154</v>
      </c>
      <c r="I149" s="16">
        <f t="shared" si="86"/>
        <v>2541</v>
      </c>
      <c r="J149" s="13">
        <v>69350</v>
      </c>
      <c r="K149" s="16">
        <f t="shared" si="87"/>
        <v>535</v>
      </c>
      <c r="L149" s="5">
        <v>15059</v>
      </c>
      <c r="M149" s="12">
        <f t="shared" si="88"/>
        <v>199</v>
      </c>
      <c r="N149" s="13">
        <v>49303</v>
      </c>
      <c r="O149" s="6">
        <f t="shared" si="89"/>
        <v>104</v>
      </c>
      <c r="P149" s="5">
        <v>16679</v>
      </c>
      <c r="Q149" s="12">
        <f t="shared" si="90"/>
        <v>104</v>
      </c>
      <c r="R149" s="13">
        <v>88205</v>
      </c>
      <c r="S149" s="6">
        <f t="shared" si="91"/>
        <v>418</v>
      </c>
      <c r="T149" s="5">
        <v>20269</v>
      </c>
      <c r="U149" s="12">
        <f t="shared" si="92"/>
        <v>138</v>
      </c>
      <c r="V149" s="13">
        <v>48639</v>
      </c>
      <c r="W149" s="6">
        <f t="shared" si="93"/>
        <v>0</v>
      </c>
      <c r="X149" s="5">
        <v>73938</v>
      </c>
      <c r="Y149" s="6">
        <f t="shared" si="94"/>
        <v>411</v>
      </c>
      <c r="Z149" s="5">
        <v>81</v>
      </c>
      <c r="AA149" s="91">
        <f t="shared" si="95"/>
        <v>0</v>
      </c>
      <c r="AB149" s="5">
        <v>23102</v>
      </c>
      <c r="AC149" s="16">
        <f t="shared" si="96"/>
        <v>135</v>
      </c>
      <c r="AD149" s="5">
        <v>6755</v>
      </c>
      <c r="AE149" s="16">
        <f t="shared" si="97"/>
        <v>0</v>
      </c>
      <c r="AF149" s="5">
        <v>11429</v>
      </c>
      <c r="AG149" s="16">
        <f t="shared" si="98"/>
        <v>0</v>
      </c>
      <c r="AH149" s="5">
        <v>90916</v>
      </c>
      <c r="AI149" s="16">
        <f t="shared" si="99"/>
        <v>814</v>
      </c>
      <c r="AJ149" s="18">
        <f t="shared" si="100"/>
        <v>4371</v>
      </c>
      <c r="AK149" s="19">
        <f t="shared" si="101"/>
        <v>434</v>
      </c>
    </row>
    <row r="150" spans="2:37" ht="21" customHeight="1" x14ac:dyDescent="0.3">
      <c r="B150" s="9" t="s">
        <v>68</v>
      </c>
      <c r="C150" s="34">
        <v>45974</v>
      </c>
      <c r="D150" s="5">
        <v>426334</v>
      </c>
      <c r="E150" s="16">
        <f t="shared" si="84"/>
        <v>2579</v>
      </c>
      <c r="F150" s="5">
        <v>171748</v>
      </c>
      <c r="G150" s="16">
        <f t="shared" si="85"/>
        <v>1735</v>
      </c>
      <c r="H150" s="5">
        <v>196695</v>
      </c>
      <c r="I150" s="16">
        <f t="shared" si="86"/>
        <v>1993</v>
      </c>
      <c r="J150" s="13">
        <v>69885</v>
      </c>
      <c r="K150" s="16">
        <f t="shared" si="87"/>
        <v>355</v>
      </c>
      <c r="L150" s="5">
        <v>15258</v>
      </c>
      <c r="M150" s="12">
        <f t="shared" si="88"/>
        <v>156</v>
      </c>
      <c r="N150" s="13">
        <v>49407</v>
      </c>
      <c r="O150" s="6">
        <f t="shared" si="89"/>
        <v>92</v>
      </c>
      <c r="P150" s="5">
        <v>16783</v>
      </c>
      <c r="Q150" s="12">
        <f t="shared" si="90"/>
        <v>84</v>
      </c>
      <c r="R150" s="13">
        <v>88623</v>
      </c>
      <c r="S150" s="6">
        <f t="shared" si="91"/>
        <v>322</v>
      </c>
      <c r="T150" s="5">
        <v>20407</v>
      </c>
      <c r="U150" s="12">
        <f t="shared" si="92"/>
        <v>114</v>
      </c>
      <c r="V150" s="13">
        <v>48639</v>
      </c>
      <c r="W150" s="6">
        <f t="shared" si="93"/>
        <v>0</v>
      </c>
      <c r="X150" s="5">
        <v>74349</v>
      </c>
      <c r="Y150" s="6">
        <f t="shared" si="94"/>
        <v>391</v>
      </c>
      <c r="Z150" s="5">
        <v>81</v>
      </c>
      <c r="AA150" s="91">
        <f t="shared" si="95"/>
        <v>0</v>
      </c>
      <c r="AB150" s="5">
        <v>23237</v>
      </c>
      <c r="AC150" s="16">
        <f t="shared" si="96"/>
        <v>117</v>
      </c>
      <c r="AD150" s="5">
        <v>6755</v>
      </c>
      <c r="AE150" s="16">
        <f t="shared" si="97"/>
        <v>0</v>
      </c>
      <c r="AF150" s="5">
        <v>11429</v>
      </c>
      <c r="AG150" s="16">
        <f t="shared" si="98"/>
        <v>0</v>
      </c>
      <c r="AH150" s="5">
        <v>91730</v>
      </c>
      <c r="AI150" s="16">
        <f t="shared" si="99"/>
        <v>873</v>
      </c>
      <c r="AJ150" s="18">
        <f t="shared" si="100"/>
        <v>4239</v>
      </c>
      <c r="AK150" s="19">
        <f t="shared" si="101"/>
        <v>333</v>
      </c>
    </row>
    <row r="151" spans="2:37" ht="21" customHeight="1" x14ac:dyDescent="0.3">
      <c r="B151" s="9" t="s">
        <v>69</v>
      </c>
      <c r="C151" s="34">
        <v>45975</v>
      </c>
      <c r="D151" s="5">
        <v>428913</v>
      </c>
      <c r="E151" s="16">
        <f t="shared" si="84"/>
        <v>2775</v>
      </c>
      <c r="F151" s="5">
        <v>173483</v>
      </c>
      <c r="G151" s="16">
        <f t="shared" si="85"/>
        <v>1867</v>
      </c>
      <c r="H151" s="5">
        <v>198688</v>
      </c>
      <c r="I151" s="16">
        <f t="shared" si="86"/>
        <v>2065</v>
      </c>
      <c r="J151" s="13">
        <v>70240</v>
      </c>
      <c r="K151" s="16">
        <f t="shared" si="87"/>
        <v>426</v>
      </c>
      <c r="L151" s="5">
        <v>15414</v>
      </c>
      <c r="M151" s="12">
        <f t="shared" si="88"/>
        <v>126</v>
      </c>
      <c r="N151" s="13">
        <v>49499</v>
      </c>
      <c r="O151" s="6">
        <f t="shared" si="89"/>
        <v>85</v>
      </c>
      <c r="P151" s="5">
        <v>16867</v>
      </c>
      <c r="Q151" s="12">
        <f t="shared" si="90"/>
        <v>101</v>
      </c>
      <c r="R151" s="13">
        <v>88945</v>
      </c>
      <c r="S151" s="6">
        <f t="shared" si="91"/>
        <v>329</v>
      </c>
      <c r="T151" s="5">
        <v>20521</v>
      </c>
      <c r="U151" s="12">
        <f t="shared" si="92"/>
        <v>133</v>
      </c>
      <c r="V151" s="13">
        <v>48639</v>
      </c>
      <c r="W151" s="6">
        <f t="shared" si="93"/>
        <v>0</v>
      </c>
      <c r="X151" s="5">
        <v>74740</v>
      </c>
      <c r="Y151" s="6">
        <f t="shared" si="94"/>
        <v>369</v>
      </c>
      <c r="Z151" s="5">
        <v>81</v>
      </c>
      <c r="AA151" s="91">
        <f t="shared" si="95"/>
        <v>0</v>
      </c>
      <c r="AB151" s="5">
        <v>23354</v>
      </c>
      <c r="AC151" s="16">
        <f t="shared" si="96"/>
        <v>120</v>
      </c>
      <c r="AD151" s="5">
        <v>6755</v>
      </c>
      <c r="AE151" s="16">
        <f t="shared" si="97"/>
        <v>0</v>
      </c>
      <c r="AF151" s="5">
        <v>11429</v>
      </c>
      <c r="AG151" s="16">
        <f t="shared" si="98"/>
        <v>0</v>
      </c>
      <c r="AH151" s="5">
        <v>92603</v>
      </c>
      <c r="AI151" s="16">
        <f t="shared" si="99"/>
        <v>998</v>
      </c>
      <c r="AJ151" s="18">
        <f t="shared" si="100"/>
        <v>4554</v>
      </c>
      <c r="AK151" s="19">
        <f t="shared" si="101"/>
        <v>286</v>
      </c>
    </row>
    <row r="152" spans="2:37" ht="21" customHeight="1" x14ac:dyDescent="0.3">
      <c r="B152" s="9" t="s">
        <v>70</v>
      </c>
      <c r="C152" s="34">
        <v>45976</v>
      </c>
      <c r="D152" s="5">
        <v>431688</v>
      </c>
      <c r="E152" s="16">
        <f t="shared" si="84"/>
        <v>2442</v>
      </c>
      <c r="F152" s="5">
        <v>175350</v>
      </c>
      <c r="G152" s="16">
        <f t="shared" si="85"/>
        <v>1786</v>
      </c>
      <c r="H152" s="5">
        <v>200753</v>
      </c>
      <c r="I152" s="16">
        <f t="shared" si="86"/>
        <v>2276</v>
      </c>
      <c r="J152" s="13">
        <v>70666</v>
      </c>
      <c r="K152" s="16">
        <f t="shared" si="87"/>
        <v>490</v>
      </c>
      <c r="L152" s="5">
        <v>15540</v>
      </c>
      <c r="M152" s="12">
        <f t="shared" si="88"/>
        <v>118</v>
      </c>
      <c r="N152" s="13">
        <v>49584</v>
      </c>
      <c r="O152" s="6">
        <f t="shared" si="89"/>
        <v>111</v>
      </c>
      <c r="P152" s="5">
        <v>16968</v>
      </c>
      <c r="Q152" s="12">
        <f t="shared" si="90"/>
        <v>95</v>
      </c>
      <c r="R152" s="13">
        <v>89274</v>
      </c>
      <c r="S152" s="6">
        <f t="shared" si="91"/>
        <v>343</v>
      </c>
      <c r="T152" s="5">
        <v>20654</v>
      </c>
      <c r="U152" s="12">
        <f t="shared" si="92"/>
        <v>132</v>
      </c>
      <c r="V152" s="13">
        <v>48639</v>
      </c>
      <c r="W152" s="6">
        <f t="shared" si="93"/>
        <v>0</v>
      </c>
      <c r="X152" s="5">
        <v>75109</v>
      </c>
      <c r="Y152" s="6">
        <f t="shared" si="94"/>
        <v>317</v>
      </c>
      <c r="Z152" s="5">
        <v>81</v>
      </c>
      <c r="AA152" s="91">
        <f t="shared" si="95"/>
        <v>0</v>
      </c>
      <c r="AB152" s="5">
        <v>23474</v>
      </c>
      <c r="AC152" s="16">
        <f t="shared" si="96"/>
        <v>126</v>
      </c>
      <c r="AD152" s="5">
        <v>6755</v>
      </c>
      <c r="AE152" s="16">
        <f t="shared" si="97"/>
        <v>0</v>
      </c>
      <c r="AF152" s="5">
        <v>11429</v>
      </c>
      <c r="AG152" s="16">
        <f t="shared" si="98"/>
        <v>0</v>
      </c>
      <c r="AH152" s="5">
        <v>93601</v>
      </c>
      <c r="AI152" s="16">
        <f t="shared" si="99"/>
        <v>845</v>
      </c>
      <c r="AJ152" s="18">
        <f t="shared" si="100"/>
        <v>4363</v>
      </c>
      <c r="AK152" s="19">
        <f t="shared" si="101"/>
        <v>355</v>
      </c>
    </row>
    <row r="153" spans="2:37" ht="21" customHeight="1" x14ac:dyDescent="0.3">
      <c r="B153" s="9" t="s">
        <v>71</v>
      </c>
      <c r="C153" s="34">
        <v>45977</v>
      </c>
      <c r="D153" s="5">
        <v>434130</v>
      </c>
      <c r="E153" s="16">
        <f t="shared" si="84"/>
        <v>126</v>
      </c>
      <c r="F153" s="5">
        <v>177136</v>
      </c>
      <c r="G153" s="16">
        <f t="shared" si="85"/>
        <v>24</v>
      </c>
      <c r="H153" s="5">
        <v>203029</v>
      </c>
      <c r="I153" s="16">
        <f t="shared" si="86"/>
        <v>678</v>
      </c>
      <c r="J153" s="13">
        <v>71156</v>
      </c>
      <c r="K153" s="16">
        <f t="shared" si="87"/>
        <v>20</v>
      </c>
      <c r="L153" s="5">
        <v>15658</v>
      </c>
      <c r="M153" s="12">
        <f t="shared" si="88"/>
        <v>1</v>
      </c>
      <c r="N153" s="13">
        <v>49695</v>
      </c>
      <c r="O153" s="6">
        <f t="shared" si="89"/>
        <v>11</v>
      </c>
      <c r="P153" s="5">
        <v>17063</v>
      </c>
      <c r="Q153" s="12">
        <f t="shared" si="90"/>
        <v>5</v>
      </c>
      <c r="R153" s="13">
        <v>89617</v>
      </c>
      <c r="S153" s="6">
        <f t="shared" si="91"/>
        <v>2</v>
      </c>
      <c r="T153" s="5">
        <v>20786</v>
      </c>
      <c r="U153" s="12">
        <f t="shared" si="92"/>
        <v>2</v>
      </c>
      <c r="V153" s="13">
        <v>48639</v>
      </c>
      <c r="W153" s="6">
        <f t="shared" si="93"/>
        <v>0</v>
      </c>
      <c r="X153" s="5">
        <v>75426</v>
      </c>
      <c r="Y153" s="6">
        <f t="shared" si="94"/>
        <v>42</v>
      </c>
      <c r="Z153" s="5">
        <v>81</v>
      </c>
      <c r="AA153" s="91">
        <f t="shared" si="95"/>
        <v>0</v>
      </c>
      <c r="AB153" s="5">
        <v>23600</v>
      </c>
      <c r="AC153" s="16">
        <f t="shared" si="96"/>
        <v>106</v>
      </c>
      <c r="AD153" s="5">
        <v>6755</v>
      </c>
      <c r="AE153" s="16">
        <f t="shared" si="97"/>
        <v>0</v>
      </c>
      <c r="AF153" s="5">
        <v>11429</v>
      </c>
      <c r="AG153" s="16">
        <f t="shared" si="98"/>
        <v>0</v>
      </c>
      <c r="AH153" s="5">
        <v>94446</v>
      </c>
      <c r="AI153" s="16">
        <f t="shared" si="99"/>
        <v>11</v>
      </c>
      <c r="AJ153" s="18">
        <f t="shared" si="100"/>
        <v>224</v>
      </c>
      <c r="AK153" s="19">
        <f t="shared" si="101"/>
        <v>580</v>
      </c>
    </row>
    <row r="154" spans="2:37" ht="21" customHeight="1" x14ac:dyDescent="0.3">
      <c r="B154" s="9" t="s">
        <v>72</v>
      </c>
      <c r="C154" s="34">
        <v>45978</v>
      </c>
      <c r="D154" s="5">
        <v>434256</v>
      </c>
      <c r="E154" s="16">
        <f t="shared" si="84"/>
        <v>2345</v>
      </c>
      <c r="F154" s="5">
        <v>177160</v>
      </c>
      <c r="G154" s="16">
        <f t="shared" si="85"/>
        <v>1713</v>
      </c>
      <c r="H154" s="5">
        <v>203707</v>
      </c>
      <c r="I154" s="16">
        <f t="shared" si="86"/>
        <v>1922</v>
      </c>
      <c r="J154" s="13">
        <v>71176</v>
      </c>
      <c r="K154" s="16">
        <f t="shared" si="87"/>
        <v>382</v>
      </c>
      <c r="L154" s="5">
        <v>15659</v>
      </c>
      <c r="M154" s="12">
        <f t="shared" si="88"/>
        <v>141</v>
      </c>
      <c r="N154" s="13">
        <v>49706</v>
      </c>
      <c r="O154" s="6">
        <f t="shared" si="89"/>
        <v>59</v>
      </c>
      <c r="P154" s="5">
        <v>17068</v>
      </c>
      <c r="Q154" s="12">
        <f t="shared" si="90"/>
        <v>99</v>
      </c>
      <c r="R154" s="13">
        <v>89619</v>
      </c>
      <c r="S154" s="6">
        <f t="shared" si="91"/>
        <v>338</v>
      </c>
      <c r="T154" s="5">
        <v>20788</v>
      </c>
      <c r="U154" s="12">
        <f t="shared" si="92"/>
        <v>126</v>
      </c>
      <c r="V154" s="13">
        <v>48639</v>
      </c>
      <c r="W154" s="6">
        <f t="shared" si="93"/>
        <v>0</v>
      </c>
      <c r="X154" s="5">
        <v>75468</v>
      </c>
      <c r="Y154" s="6">
        <f t="shared" si="94"/>
        <v>287</v>
      </c>
      <c r="Z154" s="5">
        <v>81</v>
      </c>
      <c r="AA154" s="91">
        <f t="shared" si="95"/>
        <v>0</v>
      </c>
      <c r="AB154" s="5">
        <v>23706</v>
      </c>
      <c r="AC154" s="16">
        <f t="shared" si="96"/>
        <v>116</v>
      </c>
      <c r="AD154" s="5">
        <v>6755</v>
      </c>
      <c r="AE154" s="16">
        <f t="shared" si="97"/>
        <v>0</v>
      </c>
      <c r="AF154" s="5">
        <v>11429</v>
      </c>
      <c r="AG154" s="16">
        <f t="shared" si="98"/>
        <v>0</v>
      </c>
      <c r="AH154" s="5">
        <v>94457</v>
      </c>
      <c r="AI154" s="16">
        <f t="shared" si="99"/>
        <v>757</v>
      </c>
      <c r="AJ154" s="18">
        <f t="shared" si="100"/>
        <v>4018</v>
      </c>
      <c r="AK154" s="19">
        <f t="shared" si="101"/>
        <v>249</v>
      </c>
    </row>
    <row r="155" spans="2:37" ht="21" customHeight="1" x14ac:dyDescent="0.3">
      <c r="B155" s="9" t="s">
        <v>66</v>
      </c>
      <c r="C155" s="34">
        <v>45979</v>
      </c>
      <c r="D155" s="5">
        <v>436601</v>
      </c>
      <c r="E155" s="16">
        <f t="shared" si="84"/>
        <v>2982</v>
      </c>
      <c r="F155" s="5">
        <v>178873</v>
      </c>
      <c r="G155" s="16">
        <f t="shared" si="85"/>
        <v>1904</v>
      </c>
      <c r="H155" s="5">
        <v>205629</v>
      </c>
      <c r="I155" s="16">
        <f t="shared" si="86"/>
        <v>1746</v>
      </c>
      <c r="J155" s="13">
        <v>71558</v>
      </c>
      <c r="K155" s="16">
        <f t="shared" si="87"/>
        <v>386</v>
      </c>
      <c r="L155" s="5">
        <v>15800</v>
      </c>
      <c r="M155" s="12">
        <f t="shared" si="88"/>
        <v>157</v>
      </c>
      <c r="N155" s="13">
        <v>49765</v>
      </c>
      <c r="O155" s="6">
        <f t="shared" si="89"/>
        <v>82</v>
      </c>
      <c r="P155" s="5">
        <v>17167</v>
      </c>
      <c r="Q155" s="12">
        <f t="shared" si="90"/>
        <v>104</v>
      </c>
      <c r="R155" s="13">
        <v>89957</v>
      </c>
      <c r="S155" s="6">
        <f t="shared" si="91"/>
        <v>348</v>
      </c>
      <c r="T155" s="5">
        <v>20914</v>
      </c>
      <c r="U155" s="12">
        <f t="shared" si="92"/>
        <v>147</v>
      </c>
      <c r="V155" s="13">
        <v>48639</v>
      </c>
      <c r="W155" s="6">
        <f t="shared" si="93"/>
        <v>0</v>
      </c>
      <c r="X155" s="5">
        <v>75755</v>
      </c>
      <c r="Y155" s="6">
        <f t="shared" si="94"/>
        <v>291</v>
      </c>
      <c r="Z155" s="5">
        <v>81</v>
      </c>
      <c r="AA155" s="91">
        <f t="shared" si="95"/>
        <v>0</v>
      </c>
      <c r="AB155" s="5">
        <v>23822</v>
      </c>
      <c r="AC155" s="16">
        <f t="shared" si="96"/>
        <v>116</v>
      </c>
      <c r="AD155" s="5">
        <v>6755</v>
      </c>
      <c r="AE155" s="16">
        <f t="shared" si="97"/>
        <v>0</v>
      </c>
      <c r="AF155" s="5">
        <v>11429</v>
      </c>
      <c r="AG155" s="16">
        <f t="shared" si="98"/>
        <v>0</v>
      </c>
      <c r="AH155" s="5">
        <v>95214</v>
      </c>
      <c r="AI155" s="16">
        <f t="shared" si="99"/>
        <v>895</v>
      </c>
      <c r="AJ155" s="18">
        <f t="shared" si="100"/>
        <v>4430</v>
      </c>
      <c r="AK155" s="19">
        <f t="shared" si="101"/>
        <v>298</v>
      </c>
    </row>
    <row r="156" spans="2:37" ht="21" customHeight="1" x14ac:dyDescent="0.3">
      <c r="B156" s="9" t="s">
        <v>67</v>
      </c>
      <c r="C156" s="34">
        <v>45980</v>
      </c>
      <c r="D156" s="5">
        <v>439583</v>
      </c>
      <c r="E156" s="16">
        <f t="shared" si="84"/>
        <v>2621</v>
      </c>
      <c r="F156" s="5">
        <v>180777</v>
      </c>
      <c r="G156" s="16">
        <f t="shared" si="85"/>
        <v>1642</v>
      </c>
      <c r="H156" s="5">
        <v>207375</v>
      </c>
      <c r="I156" s="16">
        <f t="shared" si="86"/>
        <v>1861</v>
      </c>
      <c r="J156" s="13">
        <v>71944</v>
      </c>
      <c r="K156" s="16">
        <f t="shared" si="87"/>
        <v>420</v>
      </c>
      <c r="L156" s="5">
        <v>15957</v>
      </c>
      <c r="M156" s="12">
        <f t="shared" si="88"/>
        <v>154</v>
      </c>
      <c r="N156" s="13">
        <v>49847</v>
      </c>
      <c r="O156" s="6">
        <f t="shared" si="89"/>
        <v>128</v>
      </c>
      <c r="P156" s="5">
        <v>17271</v>
      </c>
      <c r="Q156" s="12">
        <f t="shared" si="90"/>
        <v>94</v>
      </c>
      <c r="R156" s="13">
        <v>90305</v>
      </c>
      <c r="S156" s="6">
        <f t="shared" si="91"/>
        <v>374</v>
      </c>
      <c r="T156" s="5">
        <v>21061</v>
      </c>
      <c r="U156" s="12">
        <f t="shared" si="92"/>
        <v>144</v>
      </c>
      <c r="V156" s="13">
        <v>48639</v>
      </c>
      <c r="W156" s="6">
        <f t="shared" si="93"/>
        <v>0</v>
      </c>
      <c r="X156" s="5">
        <v>76046</v>
      </c>
      <c r="Y156" s="6">
        <f t="shared" si="94"/>
        <v>311</v>
      </c>
      <c r="Z156" s="5">
        <v>81</v>
      </c>
      <c r="AA156" s="91">
        <f t="shared" si="95"/>
        <v>0</v>
      </c>
      <c r="AB156" s="5">
        <v>23938</v>
      </c>
      <c r="AC156" s="16">
        <f t="shared" si="96"/>
        <v>119</v>
      </c>
      <c r="AD156" s="5">
        <v>6755</v>
      </c>
      <c r="AE156" s="16">
        <f t="shared" si="97"/>
        <v>0</v>
      </c>
      <c r="AF156" s="5">
        <v>11429</v>
      </c>
      <c r="AG156" s="16">
        <f t="shared" si="98"/>
        <v>0</v>
      </c>
      <c r="AH156" s="5">
        <v>96109</v>
      </c>
      <c r="AI156" s="16">
        <f t="shared" si="99"/>
        <v>824</v>
      </c>
      <c r="AJ156" s="18">
        <f>SUM(G156,K156,M156,O156,Q156,S156,U156,W156,Y156,AA156,AC156,AE156,AG156,AI156)</f>
        <v>4210</v>
      </c>
      <c r="AK156" s="19">
        <f>(E156+I156)-AJ156</f>
        <v>272</v>
      </c>
    </row>
    <row r="157" spans="2:37" ht="21" customHeight="1" x14ac:dyDescent="0.3">
      <c r="B157" s="9" t="s">
        <v>68</v>
      </c>
      <c r="C157" s="34">
        <v>45981</v>
      </c>
      <c r="D157" s="5">
        <v>442204</v>
      </c>
      <c r="E157" s="16">
        <f t="shared" si="84"/>
        <v>2464</v>
      </c>
      <c r="F157" s="5">
        <v>182419</v>
      </c>
      <c r="G157" s="16">
        <f t="shared" si="85"/>
        <v>1491</v>
      </c>
      <c r="H157" s="5">
        <v>209236</v>
      </c>
      <c r="I157" s="16">
        <f t="shared" si="86"/>
        <v>1808</v>
      </c>
      <c r="J157" s="13">
        <v>72364</v>
      </c>
      <c r="K157" s="16">
        <f t="shared" si="87"/>
        <v>454</v>
      </c>
      <c r="L157" s="5">
        <v>16111</v>
      </c>
      <c r="M157" s="12">
        <f t="shared" si="88"/>
        <v>151</v>
      </c>
      <c r="N157" s="13">
        <v>49975</v>
      </c>
      <c r="O157" s="6">
        <f t="shared" si="89"/>
        <v>123</v>
      </c>
      <c r="P157" s="5">
        <v>17365</v>
      </c>
      <c r="Q157" s="12">
        <f t="shared" si="90"/>
        <v>93</v>
      </c>
      <c r="R157" s="13">
        <v>90679</v>
      </c>
      <c r="S157" s="6">
        <f t="shared" si="91"/>
        <v>339</v>
      </c>
      <c r="T157" s="5">
        <v>21205</v>
      </c>
      <c r="U157" s="12">
        <f t="shared" si="92"/>
        <v>113</v>
      </c>
      <c r="V157" s="13">
        <v>48639</v>
      </c>
      <c r="W157" s="6">
        <f t="shared" si="93"/>
        <v>0</v>
      </c>
      <c r="X157" s="5">
        <v>76357</v>
      </c>
      <c r="Y157" s="6">
        <f t="shared" si="94"/>
        <v>304</v>
      </c>
      <c r="Z157" s="5">
        <v>81</v>
      </c>
      <c r="AA157" s="91">
        <f t="shared" si="95"/>
        <v>0</v>
      </c>
      <c r="AB157" s="5">
        <v>24057</v>
      </c>
      <c r="AC157" s="16">
        <f t="shared" si="96"/>
        <v>112</v>
      </c>
      <c r="AD157" s="5">
        <v>6755</v>
      </c>
      <c r="AE157" s="16">
        <f t="shared" si="97"/>
        <v>0</v>
      </c>
      <c r="AF157" s="5">
        <v>11429</v>
      </c>
      <c r="AG157" s="16">
        <f t="shared" si="98"/>
        <v>0</v>
      </c>
      <c r="AH157" s="5">
        <v>96933</v>
      </c>
      <c r="AI157" s="16">
        <f t="shared" si="99"/>
        <v>829</v>
      </c>
      <c r="AJ157" s="18">
        <f>SUM(G157,K157,M157,O157,Q157,S157,U157,W157,Y157,AA157,AC157,AE157,AG157,AI157)</f>
        <v>4009</v>
      </c>
      <c r="AK157" s="19">
        <f>(E157+I157)-AJ157</f>
        <v>263</v>
      </c>
    </row>
    <row r="158" spans="2:37" ht="21" customHeight="1" x14ac:dyDescent="0.3">
      <c r="B158" s="9" t="s">
        <v>69</v>
      </c>
      <c r="C158" s="34">
        <v>45982</v>
      </c>
      <c r="D158" s="5">
        <v>444668</v>
      </c>
      <c r="E158" s="16">
        <f t="shared" si="84"/>
        <v>2220</v>
      </c>
      <c r="F158" s="5">
        <v>183910</v>
      </c>
      <c r="G158" s="16">
        <f t="shared" si="85"/>
        <v>1240</v>
      </c>
      <c r="H158" s="5">
        <v>211044</v>
      </c>
      <c r="I158" s="16">
        <f t="shared" si="86"/>
        <v>1759</v>
      </c>
      <c r="J158" s="13">
        <v>72818</v>
      </c>
      <c r="K158" s="16">
        <f t="shared" si="87"/>
        <v>423</v>
      </c>
      <c r="L158" s="5">
        <v>16262</v>
      </c>
      <c r="M158" s="12">
        <f t="shared" si="88"/>
        <v>151</v>
      </c>
      <c r="N158" s="13">
        <v>50098</v>
      </c>
      <c r="O158" s="6">
        <f t="shared" si="89"/>
        <v>108</v>
      </c>
      <c r="P158" s="5">
        <v>17458</v>
      </c>
      <c r="Q158" s="12">
        <f t="shared" si="90"/>
        <v>82</v>
      </c>
      <c r="R158" s="13">
        <v>91018</v>
      </c>
      <c r="S158" s="6">
        <f t="shared" si="91"/>
        <v>334</v>
      </c>
      <c r="T158" s="5">
        <v>21318</v>
      </c>
      <c r="U158" s="12">
        <f t="shared" si="92"/>
        <v>109</v>
      </c>
      <c r="V158" s="13">
        <v>48639</v>
      </c>
      <c r="W158" s="6">
        <f t="shared" si="93"/>
        <v>0</v>
      </c>
      <c r="X158" s="5">
        <v>76661</v>
      </c>
      <c r="Y158" s="6">
        <f t="shared" si="94"/>
        <v>364</v>
      </c>
      <c r="Z158" s="5">
        <v>81</v>
      </c>
      <c r="AA158" s="91">
        <f t="shared" si="95"/>
        <v>0</v>
      </c>
      <c r="AB158" s="5">
        <v>24169</v>
      </c>
      <c r="AC158" s="16">
        <f t="shared" si="96"/>
        <v>118</v>
      </c>
      <c r="AD158" s="5">
        <v>6755</v>
      </c>
      <c r="AE158" s="16">
        <f t="shared" si="97"/>
        <v>0</v>
      </c>
      <c r="AF158" s="5">
        <v>11429</v>
      </c>
      <c r="AG158" s="16">
        <f t="shared" si="98"/>
        <v>0</v>
      </c>
      <c r="AH158" s="5">
        <v>97762</v>
      </c>
      <c r="AI158" s="16">
        <f t="shared" si="99"/>
        <v>794</v>
      </c>
      <c r="AJ158" s="18">
        <f>SUM(G158,K158,M158,O158,Q158,S158,U158,W158,Y158,AA158,AC158,AE158,AG158,AI158)</f>
        <v>3723</v>
      </c>
      <c r="AK158" s="19">
        <f>(E158+I158)-AJ158</f>
        <v>256</v>
      </c>
    </row>
    <row r="159" spans="2:37" ht="21" customHeight="1" x14ac:dyDescent="0.3">
      <c r="B159" s="9" t="s">
        <v>70</v>
      </c>
      <c r="C159" s="34">
        <v>45983</v>
      </c>
      <c r="D159" s="5">
        <v>446888</v>
      </c>
      <c r="E159" s="16">
        <f t="shared" si="84"/>
        <v>2285</v>
      </c>
      <c r="F159" s="5">
        <v>185150</v>
      </c>
      <c r="G159" s="16">
        <f t="shared" si="85"/>
        <v>1346</v>
      </c>
      <c r="H159" s="5">
        <v>212803</v>
      </c>
      <c r="I159" s="16">
        <f t="shared" si="86"/>
        <v>1862</v>
      </c>
      <c r="J159" s="13">
        <v>73241</v>
      </c>
      <c r="K159" s="16">
        <f t="shared" si="87"/>
        <v>411</v>
      </c>
      <c r="L159" s="5">
        <v>16413</v>
      </c>
      <c r="M159" s="12">
        <f t="shared" si="88"/>
        <v>163</v>
      </c>
      <c r="N159" s="13">
        <v>50206</v>
      </c>
      <c r="O159" s="6">
        <f t="shared" si="89"/>
        <v>85</v>
      </c>
      <c r="P159" s="5">
        <v>17540</v>
      </c>
      <c r="Q159" s="12">
        <f t="shared" si="90"/>
        <v>84</v>
      </c>
      <c r="R159" s="13">
        <v>91352</v>
      </c>
      <c r="S159" s="6">
        <f t="shared" si="91"/>
        <v>362</v>
      </c>
      <c r="T159" s="5">
        <v>21427</v>
      </c>
      <c r="U159" s="12">
        <f t="shared" si="92"/>
        <v>113</v>
      </c>
      <c r="V159" s="13">
        <v>48639</v>
      </c>
      <c r="W159" s="6">
        <f t="shared" si="93"/>
        <v>0</v>
      </c>
      <c r="X159" s="5">
        <v>77025</v>
      </c>
      <c r="Y159" s="6">
        <f t="shared" si="94"/>
        <v>398</v>
      </c>
      <c r="Z159" s="5">
        <v>81</v>
      </c>
      <c r="AA159" s="91">
        <f t="shared" si="95"/>
        <v>0</v>
      </c>
      <c r="AB159" s="5">
        <v>24287</v>
      </c>
      <c r="AC159" s="16">
        <f t="shared" si="96"/>
        <v>119</v>
      </c>
      <c r="AD159" s="5">
        <v>6755</v>
      </c>
      <c r="AE159" s="16">
        <f t="shared" si="97"/>
        <v>0</v>
      </c>
      <c r="AF159" s="5">
        <v>11429</v>
      </c>
      <c r="AG159" s="16">
        <f t="shared" si="98"/>
        <v>0</v>
      </c>
      <c r="AH159" s="5">
        <v>98556</v>
      </c>
      <c r="AI159" s="16">
        <f t="shared" si="99"/>
        <v>763</v>
      </c>
      <c r="AJ159" s="18">
        <f>SUM(G159,K159,M159,O159,Q159,S159,U159,W159,Y159,AA159,AC159,AE159,AG159,AI159)</f>
        <v>3844</v>
      </c>
      <c r="AK159" s="19">
        <f>(E159+I159)-AJ159</f>
        <v>303</v>
      </c>
    </row>
    <row r="160" spans="2:37" ht="21" customHeight="1" x14ac:dyDescent="0.3">
      <c r="B160" s="9" t="s">
        <v>71</v>
      </c>
      <c r="C160" s="34">
        <v>45984</v>
      </c>
      <c r="D160" s="5">
        <v>449173</v>
      </c>
      <c r="E160" s="16">
        <f t="shared" si="84"/>
        <v>138</v>
      </c>
      <c r="F160" s="5">
        <v>186496</v>
      </c>
      <c r="G160" s="16">
        <f t="shared" si="85"/>
        <v>62</v>
      </c>
      <c r="H160" s="5">
        <v>214665</v>
      </c>
      <c r="I160" s="16">
        <f t="shared" si="86"/>
        <v>1158</v>
      </c>
      <c r="J160" s="13">
        <v>73652</v>
      </c>
      <c r="K160" s="16">
        <f t="shared" si="87"/>
        <v>7</v>
      </c>
      <c r="L160" s="5">
        <v>16576</v>
      </c>
      <c r="M160" s="12">
        <f t="shared" si="88"/>
        <v>4</v>
      </c>
      <c r="N160" s="13">
        <v>50291</v>
      </c>
      <c r="O160" s="6">
        <f t="shared" si="89"/>
        <v>8</v>
      </c>
      <c r="P160" s="5">
        <v>17624</v>
      </c>
      <c r="Q160" s="12">
        <f t="shared" si="90"/>
        <v>7</v>
      </c>
      <c r="R160" s="13">
        <v>91714</v>
      </c>
      <c r="S160" s="6">
        <f t="shared" si="91"/>
        <v>11</v>
      </c>
      <c r="T160" s="5">
        <v>21540</v>
      </c>
      <c r="U160" s="12">
        <f t="shared" si="92"/>
        <v>11</v>
      </c>
      <c r="V160" s="13">
        <v>48639</v>
      </c>
      <c r="W160" s="6">
        <f t="shared" si="93"/>
        <v>0</v>
      </c>
      <c r="X160" s="5">
        <v>77423</v>
      </c>
      <c r="Y160" s="6">
        <f t="shared" si="94"/>
        <v>35</v>
      </c>
      <c r="Z160" s="5">
        <v>81</v>
      </c>
      <c r="AA160" s="91">
        <f t="shared" si="95"/>
        <v>0</v>
      </c>
      <c r="AB160" s="5">
        <v>24406</v>
      </c>
      <c r="AC160" s="16">
        <f t="shared" si="96"/>
        <v>102</v>
      </c>
      <c r="AD160" s="5">
        <v>6755</v>
      </c>
      <c r="AE160" s="16">
        <f t="shared" si="97"/>
        <v>0</v>
      </c>
      <c r="AF160" s="5">
        <v>11429</v>
      </c>
      <c r="AG160" s="16">
        <f t="shared" si="98"/>
        <v>0</v>
      </c>
      <c r="AH160" s="5">
        <v>99319</v>
      </c>
      <c r="AI160" s="16">
        <f t="shared" si="99"/>
        <v>3</v>
      </c>
      <c r="AJ160" s="18">
        <f>SUM(G160,K160,M160,O160,Q160,S160,U160,W160,Y160,AA160,AC160,AE160,AG160,AI160)</f>
        <v>250</v>
      </c>
      <c r="AK160" s="19">
        <f>(E160+I160)-AJ160</f>
        <v>1046</v>
      </c>
    </row>
    <row r="161" spans="2:37" ht="21" customHeight="1" x14ac:dyDescent="0.3">
      <c r="B161" s="9" t="s">
        <v>72</v>
      </c>
      <c r="C161" s="34">
        <v>45985</v>
      </c>
      <c r="D161" s="5">
        <v>449311</v>
      </c>
      <c r="E161" s="16">
        <f t="shared" si="84"/>
        <v>2352</v>
      </c>
      <c r="F161" s="5">
        <v>186558</v>
      </c>
      <c r="G161" s="16">
        <f t="shared" si="85"/>
        <v>1630</v>
      </c>
      <c r="H161" s="5">
        <v>215823</v>
      </c>
      <c r="I161" s="16">
        <f t="shared" si="86"/>
        <v>1964</v>
      </c>
      <c r="J161" s="13">
        <v>73659</v>
      </c>
      <c r="K161" s="16">
        <f t="shared" si="87"/>
        <v>362</v>
      </c>
      <c r="L161" s="5">
        <v>16580</v>
      </c>
      <c r="M161" s="12">
        <f t="shared" si="88"/>
        <v>163</v>
      </c>
      <c r="N161" s="13">
        <v>50299</v>
      </c>
      <c r="O161" s="6">
        <f t="shared" si="89"/>
        <v>69</v>
      </c>
      <c r="P161" s="5">
        <v>17631</v>
      </c>
      <c r="Q161" s="12">
        <f t="shared" si="90"/>
        <v>83</v>
      </c>
      <c r="R161" s="13">
        <v>91725</v>
      </c>
      <c r="S161" s="6">
        <f t="shared" si="91"/>
        <v>358</v>
      </c>
      <c r="T161" s="5">
        <v>21551</v>
      </c>
      <c r="U161" s="12">
        <f t="shared" si="92"/>
        <v>109</v>
      </c>
      <c r="V161" s="13">
        <v>48639</v>
      </c>
      <c r="W161" s="6">
        <f t="shared" si="93"/>
        <v>0</v>
      </c>
      <c r="X161" s="5">
        <v>77458</v>
      </c>
      <c r="Y161" s="6">
        <f t="shared" si="94"/>
        <v>315</v>
      </c>
      <c r="Z161" s="5">
        <v>81</v>
      </c>
      <c r="AA161" s="91">
        <f t="shared" si="95"/>
        <v>0</v>
      </c>
      <c r="AB161" s="5">
        <v>24508</v>
      </c>
      <c r="AC161" s="16">
        <f t="shared" si="96"/>
        <v>107</v>
      </c>
      <c r="AD161" s="5">
        <v>6755</v>
      </c>
      <c r="AE161" s="16">
        <f t="shared" si="97"/>
        <v>0</v>
      </c>
      <c r="AF161" s="5">
        <v>11429</v>
      </c>
      <c r="AG161" s="16">
        <f t="shared" si="98"/>
        <v>0</v>
      </c>
      <c r="AH161" s="5">
        <v>99322</v>
      </c>
      <c r="AI161" s="16">
        <f t="shared" si="99"/>
        <v>738</v>
      </c>
      <c r="AJ161" s="18">
        <f t="shared" ref="AJ161:AJ169" si="102">SUM(G161,K161,M161,O161,Q161,S161,U161,W161,Y161,AA161,AC161,AE161,AG161,AI161)</f>
        <v>3934</v>
      </c>
      <c r="AK161" s="19">
        <f t="shared" ref="AK161:AK169" si="103">(E161+I161)-AJ161</f>
        <v>382</v>
      </c>
    </row>
    <row r="162" spans="2:37" ht="21" customHeight="1" x14ac:dyDescent="0.3">
      <c r="B162" s="9" t="s">
        <v>66</v>
      </c>
      <c r="C162" s="34">
        <v>45986</v>
      </c>
      <c r="D162" s="5">
        <v>451663</v>
      </c>
      <c r="E162" s="16">
        <f t="shared" si="84"/>
        <v>2049</v>
      </c>
      <c r="F162" s="5">
        <v>188188</v>
      </c>
      <c r="G162" s="16">
        <f t="shared" si="85"/>
        <v>1312</v>
      </c>
      <c r="H162" s="5">
        <v>217787</v>
      </c>
      <c r="I162" s="16">
        <f t="shared" si="86"/>
        <v>1945</v>
      </c>
      <c r="J162" s="13">
        <v>74021</v>
      </c>
      <c r="K162" s="16">
        <f t="shared" si="87"/>
        <v>399</v>
      </c>
      <c r="L162" s="5">
        <v>16743</v>
      </c>
      <c r="M162" s="12">
        <f t="shared" si="88"/>
        <v>152</v>
      </c>
      <c r="N162" s="13">
        <v>50368</v>
      </c>
      <c r="O162" s="6">
        <f t="shared" si="89"/>
        <v>66</v>
      </c>
      <c r="P162" s="5">
        <v>17714</v>
      </c>
      <c r="Q162" s="12">
        <f t="shared" si="90"/>
        <v>86</v>
      </c>
      <c r="R162" s="13">
        <v>92083</v>
      </c>
      <c r="S162" s="6">
        <f t="shared" si="91"/>
        <v>361</v>
      </c>
      <c r="T162" s="5">
        <v>21660</v>
      </c>
      <c r="U162" s="12">
        <f t="shared" si="92"/>
        <v>118</v>
      </c>
      <c r="V162" s="13">
        <v>48639</v>
      </c>
      <c r="W162" s="6">
        <f t="shared" si="93"/>
        <v>0</v>
      </c>
      <c r="X162" s="5">
        <v>77773</v>
      </c>
      <c r="Y162" s="6">
        <f t="shared" si="94"/>
        <v>385</v>
      </c>
      <c r="Z162" s="5">
        <v>81</v>
      </c>
      <c r="AA162" s="91">
        <f t="shared" si="95"/>
        <v>0</v>
      </c>
      <c r="AB162" s="5">
        <v>24615</v>
      </c>
      <c r="AC162" s="16">
        <f t="shared" si="96"/>
        <v>102</v>
      </c>
      <c r="AD162" s="5">
        <v>6755</v>
      </c>
      <c r="AE162" s="16">
        <f t="shared" si="97"/>
        <v>0</v>
      </c>
      <c r="AF162" s="5">
        <v>11429</v>
      </c>
      <c r="AG162" s="16">
        <f t="shared" si="98"/>
        <v>0</v>
      </c>
      <c r="AH162" s="5">
        <v>100060</v>
      </c>
      <c r="AI162" s="16">
        <f t="shared" si="99"/>
        <v>710</v>
      </c>
      <c r="AJ162" s="18">
        <f t="shared" si="102"/>
        <v>3691</v>
      </c>
      <c r="AK162" s="19">
        <f t="shared" si="103"/>
        <v>303</v>
      </c>
    </row>
    <row r="163" spans="2:37" ht="21" customHeight="1" x14ac:dyDescent="0.3">
      <c r="B163" s="9" t="s">
        <v>67</v>
      </c>
      <c r="C163" s="34">
        <v>45987</v>
      </c>
      <c r="D163" s="5">
        <v>453712</v>
      </c>
      <c r="E163" s="16">
        <f t="shared" si="84"/>
        <v>1883</v>
      </c>
      <c r="F163" s="5">
        <v>189500</v>
      </c>
      <c r="G163" s="16">
        <f t="shared" si="85"/>
        <v>1285</v>
      </c>
      <c r="H163" s="5">
        <v>219732</v>
      </c>
      <c r="I163" s="16">
        <f t="shared" si="86"/>
        <v>2150</v>
      </c>
      <c r="J163" s="13">
        <v>74420</v>
      </c>
      <c r="K163" s="16">
        <f t="shared" si="87"/>
        <v>421</v>
      </c>
      <c r="L163" s="5">
        <v>16895</v>
      </c>
      <c r="M163" s="12">
        <f t="shared" si="88"/>
        <v>142</v>
      </c>
      <c r="N163" s="13">
        <v>50434</v>
      </c>
      <c r="O163" s="6">
        <f t="shared" si="89"/>
        <v>86</v>
      </c>
      <c r="P163" s="5">
        <v>17800</v>
      </c>
      <c r="Q163" s="12">
        <f t="shared" si="90"/>
        <v>85</v>
      </c>
      <c r="R163" s="13">
        <v>92444</v>
      </c>
      <c r="S163" s="6">
        <f t="shared" si="91"/>
        <v>342</v>
      </c>
      <c r="T163" s="5">
        <v>21778</v>
      </c>
      <c r="U163" s="12">
        <f t="shared" si="92"/>
        <v>103</v>
      </c>
      <c r="V163" s="13">
        <v>48639</v>
      </c>
      <c r="W163" s="6">
        <f t="shared" si="93"/>
        <v>0</v>
      </c>
      <c r="X163" s="5">
        <v>78158</v>
      </c>
      <c r="Y163" s="6">
        <f t="shared" si="94"/>
        <v>340</v>
      </c>
      <c r="Z163" s="5">
        <v>81</v>
      </c>
      <c r="AA163" s="91">
        <f t="shared" si="95"/>
        <v>0</v>
      </c>
      <c r="AB163" s="5">
        <v>24717</v>
      </c>
      <c r="AC163" s="16">
        <f t="shared" si="96"/>
        <v>98</v>
      </c>
      <c r="AD163" s="5">
        <v>6755</v>
      </c>
      <c r="AE163" s="16">
        <f t="shared" si="97"/>
        <v>0</v>
      </c>
      <c r="AF163" s="5">
        <v>11429</v>
      </c>
      <c r="AG163" s="16">
        <f t="shared" si="98"/>
        <v>0</v>
      </c>
      <c r="AH163" s="5">
        <v>100770</v>
      </c>
      <c r="AI163" s="16">
        <f t="shared" si="99"/>
        <v>678</v>
      </c>
      <c r="AJ163" s="18">
        <f t="shared" si="102"/>
        <v>3580</v>
      </c>
      <c r="AK163" s="19">
        <f t="shared" si="103"/>
        <v>453</v>
      </c>
    </row>
    <row r="164" spans="2:37" ht="21" customHeight="1" x14ac:dyDescent="0.3">
      <c r="B164" s="9" t="s">
        <v>68</v>
      </c>
      <c r="C164" s="34">
        <v>45988</v>
      </c>
      <c r="D164" s="5">
        <v>455595</v>
      </c>
      <c r="E164" s="16">
        <f t="shared" si="84"/>
        <v>1773</v>
      </c>
      <c r="F164" s="5">
        <v>190785</v>
      </c>
      <c r="G164" s="16">
        <f t="shared" si="85"/>
        <v>1205</v>
      </c>
      <c r="H164" s="5">
        <v>221882</v>
      </c>
      <c r="I164" s="16">
        <f t="shared" si="86"/>
        <v>2062</v>
      </c>
      <c r="J164" s="13">
        <v>74841</v>
      </c>
      <c r="K164" s="16">
        <f t="shared" si="87"/>
        <v>368</v>
      </c>
      <c r="L164" s="5">
        <v>17037</v>
      </c>
      <c r="M164" s="12">
        <f t="shared" si="88"/>
        <v>153</v>
      </c>
      <c r="N164" s="13">
        <v>50520</v>
      </c>
      <c r="O164" s="6">
        <f t="shared" si="89"/>
        <v>78</v>
      </c>
      <c r="P164" s="5">
        <v>17885</v>
      </c>
      <c r="Q164" s="12">
        <f t="shared" si="90"/>
        <v>83</v>
      </c>
      <c r="R164" s="13">
        <v>92786</v>
      </c>
      <c r="S164" s="6">
        <f t="shared" si="91"/>
        <v>336</v>
      </c>
      <c r="T164" s="5">
        <v>21881</v>
      </c>
      <c r="U164" s="12">
        <f t="shared" si="92"/>
        <v>138</v>
      </c>
      <c r="V164" s="13">
        <v>48639</v>
      </c>
      <c r="W164" s="6">
        <f t="shared" si="93"/>
        <v>0</v>
      </c>
      <c r="X164" s="5">
        <v>78498</v>
      </c>
      <c r="Y164" s="6">
        <f t="shared" si="94"/>
        <v>314</v>
      </c>
      <c r="Z164" s="5">
        <v>81</v>
      </c>
      <c r="AA164" s="91">
        <f t="shared" si="95"/>
        <v>0</v>
      </c>
      <c r="AB164" s="5">
        <v>24815</v>
      </c>
      <c r="AC164" s="16">
        <f t="shared" si="96"/>
        <v>92</v>
      </c>
      <c r="AD164" s="5">
        <v>6755</v>
      </c>
      <c r="AE164" s="16">
        <f t="shared" si="97"/>
        <v>0</v>
      </c>
      <c r="AF164" s="5">
        <v>11429</v>
      </c>
      <c r="AG164" s="16">
        <f t="shared" si="98"/>
        <v>0</v>
      </c>
      <c r="AH164" s="5">
        <v>101448</v>
      </c>
      <c r="AI164" s="16">
        <f t="shared" si="99"/>
        <v>658</v>
      </c>
      <c r="AJ164" s="18">
        <f t="shared" si="102"/>
        <v>3425</v>
      </c>
      <c r="AK164" s="19">
        <f t="shared" si="103"/>
        <v>410</v>
      </c>
    </row>
    <row r="165" spans="2:37" ht="21" customHeight="1" x14ac:dyDescent="0.3">
      <c r="B165" s="9" t="s">
        <v>69</v>
      </c>
      <c r="C165" s="34">
        <v>45989</v>
      </c>
      <c r="D165" s="5">
        <v>457368</v>
      </c>
      <c r="E165" s="16">
        <f t="shared" si="84"/>
        <v>1815</v>
      </c>
      <c r="F165" s="5">
        <v>191990</v>
      </c>
      <c r="G165" s="16">
        <f t="shared" si="85"/>
        <v>288</v>
      </c>
      <c r="H165" s="5">
        <v>223944</v>
      </c>
      <c r="I165" s="16">
        <f t="shared" si="86"/>
        <v>2089</v>
      </c>
      <c r="J165" s="13">
        <v>75209</v>
      </c>
      <c r="K165" s="16">
        <f t="shared" si="87"/>
        <v>416</v>
      </c>
      <c r="L165" s="5">
        <v>17190</v>
      </c>
      <c r="M165" s="12">
        <f t="shared" si="88"/>
        <v>119</v>
      </c>
      <c r="N165" s="13">
        <v>50598</v>
      </c>
      <c r="O165" s="6">
        <f t="shared" si="89"/>
        <v>65</v>
      </c>
      <c r="P165" s="5">
        <v>17968</v>
      </c>
      <c r="Q165" s="12">
        <f t="shared" si="90"/>
        <v>88</v>
      </c>
      <c r="R165" s="13">
        <v>93122</v>
      </c>
      <c r="S165" s="6">
        <f t="shared" si="91"/>
        <v>342</v>
      </c>
      <c r="T165" s="5">
        <v>22019</v>
      </c>
      <c r="U165" s="12">
        <f t="shared" si="92"/>
        <v>119</v>
      </c>
      <c r="V165" s="13">
        <v>48639</v>
      </c>
      <c r="W165" s="6">
        <f t="shared" si="93"/>
        <v>0</v>
      </c>
      <c r="X165" s="5">
        <v>78812</v>
      </c>
      <c r="Y165" s="6">
        <f t="shared" si="94"/>
        <v>297</v>
      </c>
      <c r="Z165" s="5">
        <v>81</v>
      </c>
      <c r="AA165" s="91">
        <f t="shared" si="95"/>
        <v>0</v>
      </c>
      <c r="AB165" s="5">
        <v>24907</v>
      </c>
      <c r="AC165" s="16">
        <f t="shared" si="96"/>
        <v>90</v>
      </c>
      <c r="AD165" s="5">
        <v>6755</v>
      </c>
      <c r="AE165" s="16">
        <f t="shared" si="97"/>
        <v>0</v>
      </c>
      <c r="AF165" s="5">
        <v>11429</v>
      </c>
      <c r="AG165" s="16">
        <f t="shared" si="98"/>
        <v>0</v>
      </c>
      <c r="AH165" s="5">
        <v>102106</v>
      </c>
      <c r="AI165" s="16">
        <f t="shared" si="99"/>
        <v>912</v>
      </c>
      <c r="AJ165" s="18">
        <f t="shared" si="102"/>
        <v>2736</v>
      </c>
      <c r="AK165" s="19">
        <f t="shared" si="103"/>
        <v>1168</v>
      </c>
    </row>
    <row r="166" spans="2:37" ht="21" customHeight="1" x14ac:dyDescent="0.3">
      <c r="B166" s="9" t="s">
        <v>70</v>
      </c>
      <c r="C166" s="34">
        <v>45990</v>
      </c>
      <c r="D166" s="5">
        <v>459183</v>
      </c>
      <c r="E166" s="16">
        <f t="shared" si="84"/>
        <v>1626</v>
      </c>
      <c r="F166" s="5">
        <v>192278</v>
      </c>
      <c r="G166" s="16">
        <f t="shared" si="85"/>
        <v>1858</v>
      </c>
      <c r="H166" s="5">
        <v>226033</v>
      </c>
      <c r="I166" s="16">
        <f t="shared" si="86"/>
        <v>2232</v>
      </c>
      <c r="J166" s="13">
        <v>75625</v>
      </c>
      <c r="K166" s="16">
        <f t="shared" si="87"/>
        <v>474</v>
      </c>
      <c r="L166" s="5">
        <v>17309</v>
      </c>
      <c r="M166" s="12">
        <f t="shared" si="88"/>
        <v>122</v>
      </c>
      <c r="N166" s="13">
        <v>50663</v>
      </c>
      <c r="O166" s="6">
        <f t="shared" si="89"/>
        <v>79</v>
      </c>
      <c r="P166" s="5">
        <v>18056</v>
      </c>
      <c r="Q166" s="12">
        <f t="shared" si="90"/>
        <v>100</v>
      </c>
      <c r="R166" s="13">
        <v>93464</v>
      </c>
      <c r="S166" s="6">
        <f t="shared" si="91"/>
        <v>313</v>
      </c>
      <c r="T166" s="5">
        <v>22138</v>
      </c>
      <c r="U166" s="12">
        <f t="shared" si="92"/>
        <v>122</v>
      </c>
      <c r="V166" s="13">
        <v>48639</v>
      </c>
      <c r="W166" s="6">
        <f t="shared" si="93"/>
        <v>0</v>
      </c>
      <c r="X166" s="5">
        <v>79109</v>
      </c>
      <c r="Y166" s="6">
        <f t="shared" si="94"/>
        <v>275</v>
      </c>
      <c r="Z166" s="5">
        <v>81</v>
      </c>
      <c r="AA166" s="91">
        <f t="shared" si="95"/>
        <v>0</v>
      </c>
      <c r="AB166" s="5">
        <v>24997</v>
      </c>
      <c r="AC166" s="16">
        <f t="shared" si="96"/>
        <v>151</v>
      </c>
      <c r="AD166" s="5">
        <v>6755</v>
      </c>
      <c r="AE166" s="16">
        <f t="shared" si="97"/>
        <v>0</v>
      </c>
      <c r="AF166" s="5">
        <v>11429</v>
      </c>
      <c r="AG166" s="16">
        <f t="shared" si="98"/>
        <v>0</v>
      </c>
      <c r="AH166" s="5">
        <v>103018</v>
      </c>
      <c r="AI166" s="16">
        <f t="shared" si="99"/>
        <v>619</v>
      </c>
      <c r="AJ166" s="18">
        <f t="shared" si="102"/>
        <v>4113</v>
      </c>
      <c r="AK166" s="19">
        <f>(E166+I166)-AJ166</f>
        <v>-255</v>
      </c>
    </row>
    <row r="167" spans="2:37" ht="21" customHeight="1" x14ac:dyDescent="0.3">
      <c r="B167" s="9" t="s">
        <v>71</v>
      </c>
      <c r="C167" s="34">
        <v>45991</v>
      </c>
      <c r="D167" s="5">
        <v>460809</v>
      </c>
      <c r="E167" s="16">
        <f t="shared" si="84"/>
        <v>208</v>
      </c>
      <c r="F167" s="5">
        <v>194136</v>
      </c>
      <c r="G167" s="16">
        <f t="shared" si="85"/>
        <v>168</v>
      </c>
      <c r="H167" s="5">
        <v>228265</v>
      </c>
      <c r="I167" s="16">
        <f t="shared" si="86"/>
        <v>411</v>
      </c>
      <c r="J167" s="13">
        <v>76099</v>
      </c>
      <c r="K167" s="16">
        <f t="shared" si="87"/>
        <v>0</v>
      </c>
      <c r="L167" s="5">
        <v>17431</v>
      </c>
      <c r="M167" s="12">
        <f>IF(L168&lt;&gt;"",L168-L167,"")</f>
        <v>0</v>
      </c>
      <c r="N167" s="13">
        <v>50742</v>
      </c>
      <c r="O167" s="6">
        <f t="shared" si="89"/>
        <v>0</v>
      </c>
      <c r="P167" s="5">
        <v>18156</v>
      </c>
      <c r="Q167" s="12">
        <f t="shared" si="90"/>
        <v>0</v>
      </c>
      <c r="R167" s="13">
        <v>93777</v>
      </c>
      <c r="S167" s="6">
        <f t="shared" si="91"/>
        <v>0</v>
      </c>
      <c r="T167" s="5">
        <v>22260</v>
      </c>
      <c r="U167" s="12">
        <f t="shared" si="92"/>
        <v>0</v>
      </c>
      <c r="V167" s="13">
        <v>48639</v>
      </c>
      <c r="W167" s="6">
        <f t="shared" si="93"/>
        <v>0</v>
      </c>
      <c r="X167" s="5">
        <v>79384</v>
      </c>
      <c r="Y167" s="6">
        <f t="shared" si="94"/>
        <v>0</v>
      </c>
      <c r="Z167" s="5">
        <v>81</v>
      </c>
      <c r="AA167" s="91">
        <f t="shared" si="95"/>
        <v>0</v>
      </c>
      <c r="AB167" s="5">
        <v>25148</v>
      </c>
      <c r="AC167" s="16">
        <f t="shared" si="96"/>
        <v>0</v>
      </c>
      <c r="AD167" s="5">
        <v>6755</v>
      </c>
      <c r="AE167" s="16">
        <f t="shared" si="97"/>
        <v>0</v>
      </c>
      <c r="AF167" s="5">
        <v>11429</v>
      </c>
      <c r="AG167" s="16">
        <f t="shared" si="98"/>
        <v>0</v>
      </c>
      <c r="AH167" s="5">
        <v>103637</v>
      </c>
      <c r="AI167" s="16">
        <f t="shared" si="99"/>
        <v>0</v>
      </c>
      <c r="AJ167" s="18">
        <f t="shared" si="102"/>
        <v>168</v>
      </c>
      <c r="AK167" s="19">
        <f t="shared" si="103"/>
        <v>451</v>
      </c>
    </row>
    <row r="168" spans="2:37" ht="21" customHeight="1" x14ac:dyDescent="0.3">
      <c r="B168" s="9" t="s">
        <v>72</v>
      </c>
      <c r="C168" s="34">
        <v>45992</v>
      </c>
      <c r="D168" s="5">
        <v>461017</v>
      </c>
      <c r="E168" s="16" t="str">
        <f>IF(D169&lt;&gt;"",D169-D168,"")</f>
        <v/>
      </c>
      <c r="F168" s="5">
        <v>194304</v>
      </c>
      <c r="G168" s="16" t="str">
        <f>IF(F169&lt;&gt;"",F169-F168,"")</f>
        <v/>
      </c>
      <c r="H168" s="5">
        <v>228676</v>
      </c>
      <c r="I168" s="16" t="str">
        <f>IF(H169&lt;&gt;"",H169-H168,"")</f>
        <v/>
      </c>
      <c r="J168" s="13">
        <v>76099</v>
      </c>
      <c r="K168" s="16" t="str">
        <f>IF(J169&lt;&gt;"",J169-J168,"")</f>
        <v/>
      </c>
      <c r="L168" s="5">
        <v>17431</v>
      </c>
      <c r="M168" s="12" t="str">
        <f>IF(L169&lt;&gt;"",L169-L168,"")</f>
        <v/>
      </c>
      <c r="N168" s="13">
        <v>50742</v>
      </c>
      <c r="O168" s="6" t="str">
        <f>IF(N169&lt;&gt;"",N169-N168,"")</f>
        <v/>
      </c>
      <c r="P168" s="5">
        <v>18156</v>
      </c>
      <c r="Q168" s="12" t="str">
        <f>IF(P169&lt;&gt;"",P169-P168,"")</f>
        <v/>
      </c>
      <c r="R168" s="13">
        <v>93777</v>
      </c>
      <c r="S168" s="6" t="str">
        <f>IF(R169&lt;&gt;"",R169-R168,"")</f>
        <v/>
      </c>
      <c r="T168" s="5">
        <v>22260</v>
      </c>
      <c r="U168" s="12" t="str">
        <f>IF(T169&lt;&gt;"",T169-T168,"")</f>
        <v/>
      </c>
      <c r="V168" s="13">
        <v>48639</v>
      </c>
      <c r="W168" s="6" t="str">
        <f>IF(V169&lt;&gt;"",V169-V168,"")</f>
        <v/>
      </c>
      <c r="X168" s="5">
        <v>79384</v>
      </c>
      <c r="Y168" s="6" t="str">
        <f>IF(X169&lt;&gt;"",X169-X168,"")</f>
        <v/>
      </c>
      <c r="Z168" s="5">
        <v>81</v>
      </c>
      <c r="AA168" s="91" t="str">
        <f>IF(Z169&lt;&gt;"",Z169-Z168,"")</f>
        <v/>
      </c>
      <c r="AB168" s="5">
        <v>25148</v>
      </c>
      <c r="AC168" s="16" t="str">
        <f>IF(AB169&lt;&gt;"",AB169-AB168,"")</f>
        <v/>
      </c>
      <c r="AD168" s="5">
        <v>6755</v>
      </c>
      <c r="AE168" s="16" t="str">
        <f>IF(AD169&lt;&gt;"",AD169-AD168,"")</f>
        <v/>
      </c>
      <c r="AF168" s="5">
        <v>11429</v>
      </c>
      <c r="AG168" s="16" t="str">
        <f>IF(AF169&lt;&gt;"",AF169-AF168,"")</f>
        <v/>
      </c>
      <c r="AH168" s="5">
        <v>103637</v>
      </c>
      <c r="AI168" s="16" t="str">
        <f>IF(AH169&lt;&gt;"",AH169-AH168,"")</f>
        <v/>
      </c>
      <c r="AJ168" s="18">
        <f t="shared" si="102"/>
        <v>0</v>
      </c>
      <c r="AK168" s="19" t="e">
        <f t="shared" si="103"/>
        <v>#VALUE!</v>
      </c>
    </row>
    <row r="169" spans="2:37" ht="21" customHeight="1" x14ac:dyDescent="0.3">
      <c r="B169" s="9" t="s">
        <v>66</v>
      </c>
      <c r="C169" s="34">
        <v>45993</v>
      </c>
      <c r="D169" s="8"/>
      <c r="E169" s="16" t="str">
        <f t="shared" si="84"/>
        <v/>
      </c>
      <c r="F169" s="8"/>
      <c r="G169" s="16" t="str">
        <f t="shared" si="85"/>
        <v/>
      </c>
      <c r="H169" s="8"/>
      <c r="I169" s="16" t="str">
        <f t="shared" si="86"/>
        <v/>
      </c>
      <c r="J169" s="8"/>
      <c r="K169" s="16" t="str">
        <f t="shared" si="87"/>
        <v/>
      </c>
      <c r="L169" s="8"/>
      <c r="M169" s="12" t="str">
        <f>IF(L170&lt;&gt;"",L170-L169,"")</f>
        <v/>
      </c>
      <c r="N169" s="8"/>
      <c r="O169" s="6" t="str">
        <f t="shared" si="89"/>
        <v/>
      </c>
      <c r="P169" s="8"/>
      <c r="Q169" s="12" t="str">
        <f t="shared" si="90"/>
        <v/>
      </c>
      <c r="R169" s="8"/>
      <c r="S169" s="6" t="str">
        <f t="shared" si="91"/>
        <v/>
      </c>
      <c r="T169" s="8"/>
      <c r="U169" s="12" t="str">
        <f t="shared" si="92"/>
        <v/>
      </c>
      <c r="V169" s="8"/>
      <c r="W169" s="6" t="str">
        <f t="shared" si="93"/>
        <v/>
      </c>
      <c r="X169" s="8"/>
      <c r="Y169" s="6" t="str">
        <f t="shared" si="94"/>
        <v/>
      </c>
      <c r="Z169" s="8"/>
      <c r="AA169" s="91" t="str">
        <f t="shared" si="95"/>
        <v/>
      </c>
      <c r="AB169" s="8"/>
      <c r="AC169" s="16" t="str">
        <f t="shared" si="96"/>
        <v/>
      </c>
      <c r="AD169" s="8"/>
      <c r="AE169" s="16" t="str">
        <f t="shared" si="97"/>
        <v/>
      </c>
      <c r="AF169" s="8"/>
      <c r="AG169" s="16" t="str">
        <f t="shared" si="98"/>
        <v/>
      </c>
      <c r="AH169" s="8"/>
      <c r="AI169" s="16" t="str">
        <f t="shared" si="99"/>
        <v/>
      </c>
      <c r="AJ169" s="18">
        <f t="shared" si="102"/>
        <v>0</v>
      </c>
      <c r="AK169" s="19" t="e">
        <f t="shared" si="103"/>
        <v>#VALUE!</v>
      </c>
    </row>
    <row r="170" spans="2:37" ht="44.4" customHeight="1" x14ac:dyDescent="0.3">
      <c r="B170" s="152" t="s">
        <v>191</v>
      </c>
      <c r="C170" s="153"/>
      <c r="D170" s="8"/>
      <c r="E170" s="22">
        <f>SUM(E138:E168)</f>
        <v>65754</v>
      </c>
      <c r="F170" s="8"/>
      <c r="G170" s="22">
        <f>SUM(G138:G169)</f>
        <v>43517</v>
      </c>
      <c r="H170" s="21"/>
      <c r="I170" s="22">
        <f>SUM(I138:I168)</f>
        <v>58069</v>
      </c>
      <c r="J170" s="21"/>
      <c r="K170" s="22">
        <f>SUM(K138:K168)</f>
        <v>11576</v>
      </c>
      <c r="L170" s="21"/>
      <c r="M170" s="22">
        <f>SUM(M138:M168)</f>
        <v>3749</v>
      </c>
      <c r="N170" s="21"/>
      <c r="O170" s="22">
        <f>SUM(O138:O168)</f>
        <v>2896</v>
      </c>
      <c r="P170" s="21"/>
      <c r="Q170" s="22">
        <f>SUM(Q138:Q168)</f>
        <v>2468</v>
      </c>
      <c r="R170" s="21"/>
      <c r="S170" s="22">
        <f>SUM(S138:S168)</f>
        <v>9184</v>
      </c>
      <c r="T170" s="21"/>
      <c r="U170" s="22">
        <f>SUM(U138:U168)</f>
        <v>3182</v>
      </c>
      <c r="V170" s="21"/>
      <c r="W170" s="22">
        <f>SUM(W139:W168)</f>
        <v>0</v>
      </c>
      <c r="X170" s="21"/>
      <c r="Y170" s="22">
        <f>SUM(Y138:Y168)</f>
        <v>9920</v>
      </c>
      <c r="Z170" s="21"/>
      <c r="AA170" s="22">
        <f>SUM(AA138:AA168)</f>
        <v>0</v>
      </c>
      <c r="AB170" s="21"/>
      <c r="AC170" s="22">
        <f>SUM(AC138:AC168)</f>
        <v>3388</v>
      </c>
      <c r="AD170" s="21"/>
      <c r="AE170" s="22">
        <f>SUM(AE139:AE168)</f>
        <v>0</v>
      </c>
      <c r="AF170" s="21"/>
      <c r="AG170" s="22">
        <f>SUM(AG139:AG168)</f>
        <v>0</v>
      </c>
      <c r="AH170" s="21"/>
      <c r="AI170" s="22">
        <f>SUM(AI138:AI168)</f>
        <v>22083</v>
      </c>
      <c r="AJ170" s="18">
        <f>SUM(G170,K170,M170,O170,Q170,S170,U170,W170,Y170,AA170,AC170,AE170,AG170,AI170)</f>
        <v>111963</v>
      </c>
      <c r="AK170" s="19">
        <f>(E170+I170)-AJ170</f>
        <v>11860</v>
      </c>
    </row>
    <row r="171" spans="2:37" s="90" customFormat="1" ht="49.95" customHeight="1" x14ac:dyDescent="0.45">
      <c r="B171" s="158" t="s">
        <v>192</v>
      </c>
      <c r="C171" s="158"/>
      <c r="D171" s="92"/>
      <c r="E171" s="92">
        <f>G171+K171+M171+O171+Q171+S171+U171+Y171</f>
        <v>91224</v>
      </c>
      <c r="F171" s="92"/>
      <c r="G171" s="92">
        <f>'LT-Wshng'!E168</f>
        <v>43492</v>
      </c>
      <c r="H171" s="92"/>
      <c r="I171" s="22">
        <f>I170</f>
        <v>58069</v>
      </c>
      <c r="J171" s="93"/>
      <c r="K171" s="93">
        <f>'LT GF'!D168</f>
        <v>11518</v>
      </c>
      <c r="L171" s="93"/>
      <c r="M171" s="93">
        <f>'LT GF'!P168</f>
        <v>5754</v>
      </c>
      <c r="N171" s="93"/>
      <c r="O171" s="93">
        <f>'LT FF'!D168</f>
        <v>2866</v>
      </c>
      <c r="P171" s="93"/>
      <c r="Q171" s="93">
        <f>'LT FF'!P168</f>
        <v>3274</v>
      </c>
      <c r="R171" s="93"/>
      <c r="S171" s="93">
        <f>'LT 2F'!D168</f>
        <v>9143</v>
      </c>
      <c r="T171" s="93"/>
      <c r="U171" s="93">
        <f>'LT 2F'!P168</f>
        <v>5274</v>
      </c>
      <c r="V171" s="93"/>
      <c r="W171" s="93">
        <f>W170</f>
        <v>0</v>
      </c>
      <c r="X171" s="93"/>
      <c r="Y171" s="22">
        <f>'LT-Wshng'!U168</f>
        <v>9903</v>
      </c>
      <c r="Z171" s="92"/>
      <c r="AA171" s="92">
        <f>AA170</f>
        <v>0</v>
      </c>
      <c r="AB171" s="92"/>
      <c r="AC171" s="92">
        <f>AC170</f>
        <v>3388</v>
      </c>
      <c r="AD171" s="92"/>
      <c r="AE171" s="92"/>
      <c r="AF171" s="92"/>
      <c r="AG171" s="92"/>
      <c r="AH171" s="92"/>
      <c r="AI171" s="92">
        <f>AI170</f>
        <v>22083</v>
      </c>
      <c r="AJ171" s="104">
        <f>SUM(G171,K171,M171,O171,Q171,S171,U171,W171,Y171,AA171,AC171,AE171,AG171,AI171)</f>
        <v>116695</v>
      </c>
      <c r="AK171" s="19">
        <f>(E171+I171)-AJ171</f>
        <v>32598</v>
      </c>
    </row>
    <row r="172" spans="2:37" s="89" customFormat="1" ht="23.4" x14ac:dyDescent="0.45">
      <c r="B172" s="159" t="s">
        <v>193</v>
      </c>
      <c r="C172" s="159"/>
      <c r="D172" s="94"/>
      <c r="E172" s="94">
        <f>E170-E171</f>
        <v>-25470</v>
      </c>
      <c r="F172" s="94"/>
      <c r="G172" s="94">
        <f>G170-G171</f>
        <v>25</v>
      </c>
      <c r="H172" s="94"/>
      <c r="I172" s="94">
        <f>I170-I171</f>
        <v>0</v>
      </c>
      <c r="J172" s="95"/>
      <c r="K172" s="94">
        <f>K170-K171</f>
        <v>58</v>
      </c>
      <c r="L172" s="95"/>
      <c r="M172" s="105">
        <f>M170-M171</f>
        <v>-2005</v>
      </c>
      <c r="N172" s="95"/>
      <c r="O172" s="94">
        <f>O170-O171</f>
        <v>30</v>
      </c>
      <c r="P172" s="95"/>
      <c r="Q172" s="105">
        <f>Q170-Q171</f>
        <v>-806</v>
      </c>
      <c r="R172" s="95"/>
      <c r="S172" s="94">
        <f>S170-S171</f>
        <v>41</v>
      </c>
      <c r="T172" s="95"/>
      <c r="U172" s="105">
        <f>U170-U171</f>
        <v>-2092</v>
      </c>
      <c r="V172" s="95"/>
      <c r="W172" s="95"/>
      <c r="X172" s="95"/>
      <c r="Y172" s="94">
        <f>Y170-Y171</f>
        <v>17</v>
      </c>
      <c r="Z172" s="94"/>
      <c r="AA172" s="94">
        <f>AA170-AA171</f>
        <v>0</v>
      </c>
      <c r="AB172" s="94"/>
      <c r="AC172" s="94">
        <f>AC170-AC171</f>
        <v>0</v>
      </c>
      <c r="AD172" s="94"/>
      <c r="AE172" s="94">
        <f>AE170-AE171</f>
        <v>0</v>
      </c>
      <c r="AF172" s="94"/>
      <c r="AG172" s="94">
        <f>AG170-AG171</f>
        <v>0</v>
      </c>
      <c r="AH172" s="94"/>
      <c r="AI172" s="94">
        <f>AI170-AI171</f>
        <v>0</v>
      </c>
      <c r="AJ172" s="94">
        <f>AJ170-AJ171</f>
        <v>-4732</v>
      </c>
      <c r="AK172" s="94">
        <f>AK170-AK171</f>
        <v>-20738</v>
      </c>
    </row>
  </sheetData>
  <mergeCells count="59">
    <mergeCell ref="B170:C170"/>
    <mergeCell ref="B171:C171"/>
    <mergeCell ref="B172:C172"/>
    <mergeCell ref="B37:C37"/>
    <mergeCell ref="B2:B5"/>
    <mergeCell ref="B136:C136"/>
    <mergeCell ref="B137:C137"/>
    <mergeCell ref="B135:C135"/>
    <mergeCell ref="B102:C102"/>
    <mergeCell ref="C2:C5"/>
    <mergeCell ref="H2:I2"/>
    <mergeCell ref="H3:I3"/>
    <mergeCell ref="H4:I4"/>
    <mergeCell ref="L4:M4"/>
    <mergeCell ref="F2:G2"/>
    <mergeCell ref="B1:AK1"/>
    <mergeCell ref="B70:C70"/>
    <mergeCell ref="AJ2:AJ5"/>
    <mergeCell ref="AK2:AK5"/>
    <mergeCell ref="X4:Y4"/>
    <mergeCell ref="J3:K3"/>
    <mergeCell ref="L3:M3"/>
    <mergeCell ref="N3:O3"/>
    <mergeCell ref="P3:Q3"/>
    <mergeCell ref="R3:S3"/>
    <mergeCell ref="T3:U3"/>
    <mergeCell ref="V3:W3"/>
    <mergeCell ref="X3:Y3"/>
    <mergeCell ref="R2:U2"/>
    <mergeCell ref="P4:Q4"/>
    <mergeCell ref="R4:S4"/>
    <mergeCell ref="AH2:AI2"/>
    <mergeCell ref="AH3:AI3"/>
    <mergeCell ref="AH4:AI4"/>
    <mergeCell ref="AB2:AC2"/>
    <mergeCell ref="AB3:AC3"/>
    <mergeCell ref="AB4:AC4"/>
    <mergeCell ref="AD2:AE2"/>
    <mergeCell ref="AD3:AE3"/>
    <mergeCell ref="AD4:AE4"/>
    <mergeCell ref="AF2:AG2"/>
    <mergeCell ref="AF3:AG3"/>
    <mergeCell ref="AF4:AG4"/>
    <mergeCell ref="T4:U4"/>
    <mergeCell ref="D4:E4"/>
    <mergeCell ref="J4:K4"/>
    <mergeCell ref="Z2:AA2"/>
    <mergeCell ref="Z3:AA3"/>
    <mergeCell ref="Z4:AA4"/>
    <mergeCell ref="X2:Y2"/>
    <mergeCell ref="V2:W2"/>
    <mergeCell ref="V4:W4"/>
    <mergeCell ref="J2:M2"/>
    <mergeCell ref="N2:Q2"/>
    <mergeCell ref="D3:E3"/>
    <mergeCell ref="D2:E2"/>
    <mergeCell ref="N4:O4"/>
    <mergeCell ref="F3:G3"/>
    <mergeCell ref="F4:G4"/>
  </mergeCells>
  <phoneticPr fontId="3" type="noConversion"/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68"/>
  <sheetViews>
    <sheetView showGridLines="0" zoomScale="77" zoomScaleNormal="77" workbookViewId="0">
      <pane ySplit="5" topLeftCell="A111" activePane="bottomLeft" state="frozen"/>
      <selection pane="bottomLeft" activeCell="C163" sqref="C163"/>
    </sheetView>
  </sheetViews>
  <sheetFormatPr defaultRowHeight="14.4" x14ac:dyDescent="0.3"/>
  <cols>
    <col min="1" max="1" width="6.44140625" bestFit="1" customWidth="1"/>
    <col min="2" max="2" width="12.44140625" customWidth="1"/>
    <col min="3" max="3" width="7.88671875" style="3" bestFit="1" customWidth="1"/>
    <col min="4" max="4" width="10.33203125" style="3" bestFit="1" customWidth="1"/>
    <col min="5" max="5" width="7.88671875" style="2" bestFit="1" customWidth="1"/>
    <col min="6" max="6" width="10.33203125" style="2" bestFit="1" customWidth="1"/>
    <col min="7" max="7" width="7.88671875" style="2" bestFit="1" customWidth="1"/>
    <col min="8" max="8" width="10.33203125" style="2" bestFit="1" customWidth="1"/>
    <col min="9" max="9" width="7.88671875" style="2" bestFit="1" customWidth="1"/>
    <col min="10" max="10" width="10.33203125" style="2" bestFit="1" customWidth="1"/>
    <col min="11" max="11" width="7.88671875" style="2" bestFit="1" customWidth="1"/>
    <col min="12" max="12" width="10.33203125" style="2" bestFit="1" customWidth="1"/>
    <col min="13" max="13" width="7.88671875" style="2" bestFit="1" customWidth="1"/>
    <col min="14" max="14" width="10.33203125" style="2" bestFit="1" customWidth="1"/>
    <col min="15" max="15" width="7.88671875" style="2" bestFit="1" customWidth="1"/>
    <col min="16" max="16" width="10.33203125" style="2" bestFit="1" customWidth="1"/>
    <col min="17" max="17" width="7.88671875" style="2" bestFit="1" customWidth="1"/>
    <col min="18" max="18" width="10.33203125" style="2" bestFit="1" customWidth="1"/>
    <col min="19" max="19" width="7.88671875" style="2" bestFit="1" customWidth="1"/>
    <col min="20" max="20" width="10.33203125" bestFit="1" customWidth="1"/>
    <col min="21" max="21" width="7.88671875" style="2" bestFit="1" customWidth="1"/>
    <col min="22" max="22" width="10.33203125" style="2" customWidth="1"/>
    <col min="23" max="23" width="7.88671875" style="2" bestFit="1" customWidth="1"/>
    <col min="24" max="24" width="10.33203125" bestFit="1" customWidth="1"/>
    <col min="25" max="26" width="8.33203125" bestFit="1" customWidth="1"/>
    <col min="27" max="27" width="8" customWidth="1"/>
    <col min="28" max="30" width="8.33203125" bestFit="1" customWidth="1"/>
  </cols>
  <sheetData>
    <row r="1" spans="1:30" ht="21" x14ac:dyDescent="0.3">
      <c r="A1" s="166" t="s">
        <v>51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</row>
    <row r="2" spans="1:30" s="1" customFormat="1" ht="15.6" customHeight="1" x14ac:dyDescent="0.3">
      <c r="A2" s="154" t="s">
        <v>74</v>
      </c>
      <c r="B2" s="160" t="s">
        <v>0</v>
      </c>
      <c r="C2" s="163" t="s">
        <v>41</v>
      </c>
      <c r="D2" s="164"/>
      <c r="E2" s="163" t="s">
        <v>43</v>
      </c>
      <c r="F2" s="165"/>
      <c r="G2" s="165"/>
      <c r="H2" s="165"/>
      <c r="I2" s="165"/>
      <c r="J2" s="165"/>
      <c r="K2" s="165"/>
      <c r="L2" s="165"/>
      <c r="M2" s="165"/>
      <c r="N2" s="164"/>
      <c r="O2" s="163" t="s">
        <v>41</v>
      </c>
      <c r="P2" s="164"/>
      <c r="Q2" s="163" t="s">
        <v>44</v>
      </c>
      <c r="R2" s="165"/>
      <c r="S2" s="165"/>
      <c r="T2" s="165"/>
      <c r="U2" s="165"/>
      <c r="V2" s="165"/>
      <c r="W2" s="165"/>
      <c r="X2" s="164"/>
      <c r="Y2" s="154" t="s">
        <v>45</v>
      </c>
      <c r="Z2" s="154" t="s">
        <v>46</v>
      </c>
      <c r="AA2" s="154" t="s">
        <v>42</v>
      </c>
      <c r="AB2" s="154" t="s">
        <v>76</v>
      </c>
      <c r="AC2" s="154" t="s">
        <v>77</v>
      </c>
      <c r="AD2" s="154" t="s">
        <v>78</v>
      </c>
    </row>
    <row r="3" spans="1:30" ht="15.6" customHeight="1" x14ac:dyDescent="0.3">
      <c r="A3" s="155"/>
      <c r="B3" s="161"/>
      <c r="C3" s="169">
        <v>0</v>
      </c>
      <c r="D3" s="170"/>
      <c r="E3" s="136">
        <v>1</v>
      </c>
      <c r="F3" s="136"/>
      <c r="G3" s="136">
        <v>2</v>
      </c>
      <c r="H3" s="136"/>
      <c r="I3" s="136">
        <v>3</v>
      </c>
      <c r="J3" s="136"/>
      <c r="K3" s="136">
        <v>4</v>
      </c>
      <c r="L3" s="136"/>
      <c r="M3" s="136">
        <v>5</v>
      </c>
      <c r="N3" s="136"/>
      <c r="O3" s="136">
        <v>0</v>
      </c>
      <c r="P3" s="136"/>
      <c r="Q3" s="136">
        <v>1</v>
      </c>
      <c r="R3" s="136"/>
      <c r="S3" s="136">
        <v>2</v>
      </c>
      <c r="T3" s="136"/>
      <c r="U3" s="136">
        <v>3</v>
      </c>
      <c r="V3" s="136"/>
      <c r="W3" s="136">
        <v>4</v>
      </c>
      <c r="X3" s="136"/>
      <c r="Y3" s="155"/>
      <c r="Z3" s="155"/>
      <c r="AA3" s="155"/>
      <c r="AB3" s="155"/>
      <c r="AC3" s="155"/>
      <c r="AD3" s="155"/>
    </row>
    <row r="4" spans="1:30" ht="15.6" customHeight="1" x14ac:dyDescent="0.3">
      <c r="A4" s="155"/>
      <c r="B4" s="161"/>
      <c r="C4" s="136" t="s">
        <v>2</v>
      </c>
      <c r="D4" s="136"/>
      <c r="E4" s="136" t="s">
        <v>1</v>
      </c>
      <c r="F4" s="136"/>
      <c r="G4" s="136" t="s">
        <v>3</v>
      </c>
      <c r="H4" s="136"/>
      <c r="I4" s="136" t="s">
        <v>4</v>
      </c>
      <c r="J4" s="136"/>
      <c r="K4" s="136" t="s">
        <v>5</v>
      </c>
      <c r="L4" s="136"/>
      <c r="M4" s="136" t="s">
        <v>6</v>
      </c>
      <c r="N4" s="136"/>
      <c r="O4" s="136" t="s">
        <v>7</v>
      </c>
      <c r="P4" s="136"/>
      <c r="Q4" s="136" t="s">
        <v>8</v>
      </c>
      <c r="R4" s="136"/>
      <c r="S4" s="138" t="s">
        <v>9</v>
      </c>
      <c r="T4" s="168"/>
      <c r="U4" s="136" t="s">
        <v>10</v>
      </c>
      <c r="V4" s="136"/>
      <c r="W4" s="138" t="s">
        <v>21</v>
      </c>
      <c r="X4" s="168"/>
      <c r="Y4" s="155"/>
      <c r="Z4" s="155"/>
      <c r="AA4" s="155"/>
      <c r="AB4" s="155"/>
      <c r="AC4" s="155"/>
      <c r="AD4" s="155"/>
    </row>
    <row r="5" spans="1:30" ht="28.8" x14ac:dyDescent="0.3">
      <c r="A5" s="156"/>
      <c r="B5" s="162"/>
      <c r="C5" s="5" t="s">
        <v>37</v>
      </c>
      <c r="D5" s="6" t="s">
        <v>38</v>
      </c>
      <c r="E5" s="5" t="s">
        <v>37</v>
      </c>
      <c r="F5" s="6" t="s">
        <v>38</v>
      </c>
      <c r="G5" s="5" t="s">
        <v>37</v>
      </c>
      <c r="H5" s="6" t="s">
        <v>38</v>
      </c>
      <c r="I5" s="5" t="s">
        <v>37</v>
      </c>
      <c r="J5" s="6" t="s">
        <v>38</v>
      </c>
      <c r="K5" s="5" t="s">
        <v>37</v>
      </c>
      <c r="L5" s="6" t="s">
        <v>38</v>
      </c>
      <c r="M5" s="5" t="s">
        <v>39</v>
      </c>
      <c r="N5" s="12" t="s">
        <v>38</v>
      </c>
      <c r="O5" s="13" t="s">
        <v>37</v>
      </c>
      <c r="P5" s="6" t="s">
        <v>38</v>
      </c>
      <c r="Q5" s="5" t="s">
        <v>37</v>
      </c>
      <c r="R5" s="6" t="s">
        <v>38</v>
      </c>
      <c r="S5" s="5" t="s">
        <v>37</v>
      </c>
      <c r="T5" s="6" t="s">
        <v>38</v>
      </c>
      <c r="U5" s="5" t="s">
        <v>37</v>
      </c>
      <c r="V5" s="6" t="s">
        <v>38</v>
      </c>
      <c r="W5" s="5" t="s">
        <v>37</v>
      </c>
      <c r="X5" s="6" t="s">
        <v>38</v>
      </c>
      <c r="Y5" s="156"/>
      <c r="Z5" s="156"/>
      <c r="AA5" s="156"/>
      <c r="AB5" s="156"/>
      <c r="AC5" s="156"/>
      <c r="AD5" s="156"/>
    </row>
    <row r="6" spans="1:30" hidden="1" x14ac:dyDescent="0.3">
      <c r="A6" s="9" t="s">
        <v>66</v>
      </c>
      <c r="B6" s="10">
        <v>45839</v>
      </c>
      <c r="C6" s="5">
        <v>5321</v>
      </c>
      <c r="D6" s="6">
        <f>IF(C7&lt;&gt;"",C7-C6,"")</f>
        <v>363</v>
      </c>
      <c r="E6" s="5">
        <v>0</v>
      </c>
      <c r="F6" s="6">
        <f>IF(E7&lt;&gt;"",E7-E6,"")</f>
        <v>0</v>
      </c>
      <c r="G6" s="5">
        <v>10</v>
      </c>
      <c r="H6" s="6">
        <f t="shared" ref="H6:H14" si="0">IF(G7&lt;&gt;"",G7-G6,"")</f>
        <v>33</v>
      </c>
      <c r="I6" s="5">
        <v>24</v>
      </c>
      <c r="J6" s="6">
        <f>IF(I7&lt;&gt;"",I7-I6,"")</f>
        <v>10</v>
      </c>
      <c r="K6" s="5">
        <v>15</v>
      </c>
      <c r="L6" s="6">
        <f>IF(K7&lt;&gt;"",K7-K6,"")</f>
        <v>35</v>
      </c>
      <c r="M6" s="5">
        <v>0</v>
      </c>
      <c r="N6" s="12">
        <f t="shared" ref="N6:N14" si="1">IF(M7&lt;&gt;"",M7-M6,"")</f>
        <v>0</v>
      </c>
      <c r="O6" s="13">
        <v>20</v>
      </c>
      <c r="P6" s="6">
        <f t="shared" ref="P6:P14" si="2">IF(O7&lt;&gt;"",O7-O6,"")</f>
        <v>81</v>
      </c>
      <c r="Q6" s="5">
        <v>0</v>
      </c>
      <c r="R6" s="6">
        <f t="shared" ref="R6:R35" si="3">IF(Q7&lt;&gt;"",Q7-Q6,"")</f>
        <v>0</v>
      </c>
      <c r="S6" s="5">
        <v>50</v>
      </c>
      <c r="T6" s="6">
        <f t="shared" ref="T6:T14" si="4">IF(S7&lt;&gt;"",S7-S6,"")</f>
        <v>50</v>
      </c>
      <c r="U6" s="5">
        <v>171</v>
      </c>
      <c r="V6" s="6">
        <f t="shared" ref="V6:V35" si="5">IF(U7&lt;&gt;"",U7-U6,"")</f>
        <v>101</v>
      </c>
      <c r="W6" s="5">
        <v>3</v>
      </c>
      <c r="X6" s="6">
        <f t="shared" ref="X6:X14" si="6">IF(W7&lt;&gt;"",W7-W6,"")</f>
        <v>3</v>
      </c>
      <c r="Y6" s="7">
        <f>SUM(F6,H6,J6,L6,N6)</f>
        <v>78</v>
      </c>
      <c r="Z6" s="7">
        <f t="shared" ref="Z6:Z36" si="7">SUM(R6,T6,V6,X6)</f>
        <v>154</v>
      </c>
      <c r="AA6" s="7">
        <f t="shared" ref="AA6:AA36" si="8">SUM(F6,H6,J6,L6,N6,R6,T6,V6,X6)</f>
        <v>232</v>
      </c>
      <c r="AB6" s="17">
        <f>Y6-D6</f>
        <v>-285</v>
      </c>
      <c r="AC6" s="17">
        <f>Z6-P6</f>
        <v>73</v>
      </c>
      <c r="AD6" s="17">
        <f>AA6-(D6+P6)</f>
        <v>-212</v>
      </c>
    </row>
    <row r="7" spans="1:30" hidden="1" x14ac:dyDescent="0.3">
      <c r="A7" s="9" t="s">
        <v>67</v>
      </c>
      <c r="B7" s="10">
        <v>45840</v>
      </c>
      <c r="C7" s="5">
        <v>5684</v>
      </c>
      <c r="D7" s="6">
        <f>IF(C8&lt;&gt;"",C8-C7,"")</f>
        <v>304</v>
      </c>
      <c r="E7" s="5">
        <v>0</v>
      </c>
      <c r="F7" s="6">
        <f>IF(E8&lt;&gt;"",E8-E7,"")</f>
        <v>0</v>
      </c>
      <c r="G7" s="5">
        <v>43</v>
      </c>
      <c r="H7" s="6">
        <f t="shared" si="0"/>
        <v>163</v>
      </c>
      <c r="I7" s="5">
        <v>34</v>
      </c>
      <c r="J7" s="6">
        <f>IF(I8&lt;&gt;"",I8-I7,"")</f>
        <v>7</v>
      </c>
      <c r="K7" s="5">
        <v>50</v>
      </c>
      <c r="L7" s="6">
        <f>IF(K8&lt;&gt;"",K8-K7,"")</f>
        <v>75</v>
      </c>
      <c r="M7" s="5">
        <v>0</v>
      </c>
      <c r="N7" s="12">
        <f t="shared" si="1"/>
        <v>0</v>
      </c>
      <c r="O7" s="13">
        <v>101</v>
      </c>
      <c r="P7" s="6">
        <f t="shared" si="2"/>
        <v>94</v>
      </c>
      <c r="Q7" s="5">
        <v>0</v>
      </c>
      <c r="R7" s="6">
        <f t="shared" si="3"/>
        <v>0</v>
      </c>
      <c r="S7" s="5">
        <v>100</v>
      </c>
      <c r="T7" s="6">
        <f t="shared" si="4"/>
        <v>81</v>
      </c>
      <c r="U7" s="5">
        <v>272</v>
      </c>
      <c r="V7" s="6">
        <f t="shared" si="5"/>
        <v>79</v>
      </c>
      <c r="W7" s="5">
        <v>6</v>
      </c>
      <c r="X7" s="6">
        <f t="shared" si="6"/>
        <v>7</v>
      </c>
      <c r="Y7" s="7">
        <f t="shared" ref="Y7:Y36" si="9">SUM(F7,H7,J7,L7,N7)</f>
        <v>245</v>
      </c>
      <c r="Z7" s="7">
        <f t="shared" si="7"/>
        <v>167</v>
      </c>
      <c r="AA7" s="7">
        <f t="shared" si="8"/>
        <v>412</v>
      </c>
      <c r="AB7" s="17">
        <f t="shared" ref="AB7:AB36" si="10">Y7-D7</f>
        <v>-59</v>
      </c>
      <c r="AC7" s="17">
        <f t="shared" ref="AC7:AC37" si="11">Z7-P7</f>
        <v>73</v>
      </c>
      <c r="AD7" s="17">
        <f t="shared" ref="AD7:AD36" si="12">AA7-(D7+P7)</f>
        <v>14</v>
      </c>
    </row>
    <row r="8" spans="1:30" hidden="1" x14ac:dyDescent="0.3">
      <c r="A8" s="9" t="s">
        <v>68</v>
      </c>
      <c r="B8" s="10">
        <v>45841</v>
      </c>
      <c r="C8" s="5">
        <v>5988</v>
      </c>
      <c r="D8" s="6">
        <f t="shared" ref="D8:F12" si="13">IF(C9&lt;&gt;"",C9-C8,"")</f>
        <v>376</v>
      </c>
      <c r="E8" s="5">
        <v>0</v>
      </c>
      <c r="F8" s="6">
        <f t="shared" si="13"/>
        <v>0</v>
      </c>
      <c r="G8" s="5">
        <v>206</v>
      </c>
      <c r="H8" s="6">
        <f t="shared" si="0"/>
        <v>197</v>
      </c>
      <c r="I8" s="5">
        <v>41</v>
      </c>
      <c r="J8" s="6">
        <f t="shared" ref="J8:L9" si="14">IF(I9&lt;&gt;"",I9-I8,"")</f>
        <v>10</v>
      </c>
      <c r="K8" s="5">
        <v>125</v>
      </c>
      <c r="L8" s="6">
        <f t="shared" si="14"/>
        <v>90</v>
      </c>
      <c r="M8" s="5">
        <v>0</v>
      </c>
      <c r="N8" s="12">
        <f t="shared" si="1"/>
        <v>0</v>
      </c>
      <c r="O8" s="13">
        <v>195</v>
      </c>
      <c r="P8" s="6">
        <f t="shared" si="2"/>
        <v>200</v>
      </c>
      <c r="Q8" s="5">
        <v>0</v>
      </c>
      <c r="R8" s="6">
        <f t="shared" si="3"/>
        <v>0</v>
      </c>
      <c r="S8" s="5">
        <v>181</v>
      </c>
      <c r="T8" s="6">
        <f t="shared" si="4"/>
        <v>75</v>
      </c>
      <c r="U8" s="5">
        <v>351</v>
      </c>
      <c r="V8" s="6">
        <f t="shared" si="5"/>
        <v>95</v>
      </c>
      <c r="W8" s="5">
        <v>13</v>
      </c>
      <c r="X8" s="6">
        <f t="shared" si="6"/>
        <v>8</v>
      </c>
      <c r="Y8" s="7">
        <f t="shared" si="9"/>
        <v>297</v>
      </c>
      <c r="Z8" s="7">
        <f t="shared" si="7"/>
        <v>178</v>
      </c>
      <c r="AA8" s="7">
        <f t="shared" si="8"/>
        <v>475</v>
      </c>
      <c r="AB8" s="17">
        <f t="shared" si="10"/>
        <v>-79</v>
      </c>
      <c r="AC8" s="17">
        <f t="shared" si="11"/>
        <v>-22</v>
      </c>
      <c r="AD8" s="17">
        <f t="shared" si="12"/>
        <v>-101</v>
      </c>
    </row>
    <row r="9" spans="1:30" hidden="1" x14ac:dyDescent="0.3">
      <c r="A9" s="9" t="s">
        <v>69</v>
      </c>
      <c r="B9" s="10">
        <v>45842</v>
      </c>
      <c r="C9" s="5">
        <v>6364</v>
      </c>
      <c r="D9" s="6">
        <f t="shared" si="13"/>
        <v>195</v>
      </c>
      <c r="E9" s="5">
        <v>0</v>
      </c>
      <c r="F9" s="6">
        <f t="shared" si="13"/>
        <v>0</v>
      </c>
      <c r="G9" s="5">
        <v>403</v>
      </c>
      <c r="H9" s="6">
        <f t="shared" si="0"/>
        <v>89</v>
      </c>
      <c r="I9" s="5">
        <v>51</v>
      </c>
      <c r="J9" s="6">
        <f t="shared" si="14"/>
        <v>5</v>
      </c>
      <c r="K9" s="5">
        <v>215</v>
      </c>
      <c r="L9" s="6">
        <f t="shared" si="14"/>
        <v>70</v>
      </c>
      <c r="M9" s="5">
        <v>0</v>
      </c>
      <c r="N9" s="12">
        <f t="shared" si="1"/>
        <v>0</v>
      </c>
      <c r="O9" s="13">
        <v>395</v>
      </c>
      <c r="P9" s="6">
        <f t="shared" si="2"/>
        <v>106</v>
      </c>
      <c r="Q9" s="5">
        <v>0</v>
      </c>
      <c r="R9" s="6">
        <f t="shared" si="3"/>
        <v>0</v>
      </c>
      <c r="S9" s="5">
        <v>256</v>
      </c>
      <c r="T9" s="6">
        <f t="shared" si="4"/>
        <v>45</v>
      </c>
      <c r="U9" s="5">
        <v>446</v>
      </c>
      <c r="V9" s="6">
        <f t="shared" si="5"/>
        <v>49</v>
      </c>
      <c r="W9" s="5">
        <v>21</v>
      </c>
      <c r="X9" s="6">
        <f t="shared" si="6"/>
        <v>10</v>
      </c>
      <c r="Y9" s="7">
        <f t="shared" si="9"/>
        <v>164</v>
      </c>
      <c r="Z9" s="7">
        <f t="shared" si="7"/>
        <v>104</v>
      </c>
      <c r="AA9" s="7">
        <f t="shared" si="8"/>
        <v>268</v>
      </c>
      <c r="AB9" s="17">
        <f t="shared" si="10"/>
        <v>-31</v>
      </c>
      <c r="AC9" s="17">
        <f>Z9-P9</f>
        <v>-2</v>
      </c>
      <c r="AD9" s="17">
        <f t="shared" si="12"/>
        <v>-33</v>
      </c>
    </row>
    <row r="10" spans="1:30" hidden="1" x14ac:dyDescent="0.3">
      <c r="A10" s="9" t="s">
        <v>70</v>
      </c>
      <c r="B10" s="10">
        <v>45843</v>
      </c>
      <c r="C10" s="5">
        <v>6559</v>
      </c>
      <c r="D10" s="6">
        <f>IF(C11&lt;&gt;"",C11-C10,"")</f>
        <v>225</v>
      </c>
      <c r="E10" s="5">
        <v>0</v>
      </c>
      <c r="F10" s="6">
        <f>IF(E11&lt;&gt;"",E11-E10,"")</f>
        <v>0</v>
      </c>
      <c r="G10" s="5">
        <v>492</v>
      </c>
      <c r="H10" s="6">
        <f t="shared" si="0"/>
        <v>145</v>
      </c>
      <c r="I10" s="5">
        <v>56</v>
      </c>
      <c r="J10" s="6">
        <f>IF(I11&lt;&gt;"",I11-I10,"")</f>
        <v>5</v>
      </c>
      <c r="K10" s="5">
        <v>285</v>
      </c>
      <c r="L10" s="6">
        <f>IF(K11&lt;&gt;"",K11-K10,"")</f>
        <v>19</v>
      </c>
      <c r="M10" s="5">
        <v>0</v>
      </c>
      <c r="N10" s="12">
        <f t="shared" si="1"/>
        <v>1</v>
      </c>
      <c r="O10" s="13">
        <v>501</v>
      </c>
      <c r="P10" s="6">
        <f t="shared" si="2"/>
        <v>118</v>
      </c>
      <c r="Q10" s="5">
        <v>0</v>
      </c>
      <c r="R10" s="6">
        <f t="shared" si="3"/>
        <v>0</v>
      </c>
      <c r="S10" s="5">
        <v>301</v>
      </c>
      <c r="T10" s="6">
        <f t="shared" si="4"/>
        <v>51</v>
      </c>
      <c r="U10" s="5">
        <v>495</v>
      </c>
      <c r="V10" s="6">
        <f t="shared" si="5"/>
        <v>36</v>
      </c>
      <c r="W10" s="5">
        <v>31</v>
      </c>
      <c r="X10" s="6">
        <f t="shared" si="6"/>
        <v>6</v>
      </c>
      <c r="Y10" s="7">
        <f t="shared" si="9"/>
        <v>170</v>
      </c>
      <c r="Z10" s="7">
        <f t="shared" si="7"/>
        <v>93</v>
      </c>
      <c r="AA10" s="7">
        <f t="shared" si="8"/>
        <v>263</v>
      </c>
      <c r="AB10" s="17">
        <f t="shared" si="10"/>
        <v>-55</v>
      </c>
      <c r="AC10" s="17">
        <f t="shared" si="11"/>
        <v>-25</v>
      </c>
      <c r="AD10" s="17">
        <f t="shared" si="12"/>
        <v>-80</v>
      </c>
    </row>
    <row r="11" spans="1:30" hidden="1" x14ac:dyDescent="0.3">
      <c r="A11" s="9" t="s">
        <v>71</v>
      </c>
      <c r="B11" s="10">
        <v>45844</v>
      </c>
      <c r="C11" s="5">
        <v>6784</v>
      </c>
      <c r="D11" s="6">
        <f t="shared" si="13"/>
        <v>0</v>
      </c>
      <c r="E11" s="5">
        <v>0</v>
      </c>
      <c r="F11" s="6">
        <f t="shared" si="13"/>
        <v>0</v>
      </c>
      <c r="G11" s="5">
        <v>637</v>
      </c>
      <c r="H11" s="6">
        <f t="shared" si="0"/>
        <v>0</v>
      </c>
      <c r="I11" s="5">
        <v>61</v>
      </c>
      <c r="J11" s="6">
        <f t="shared" ref="J11:L12" si="15">IF(I12&lt;&gt;"",I12-I11,"")</f>
        <v>0</v>
      </c>
      <c r="K11" s="5">
        <v>304</v>
      </c>
      <c r="L11" s="6">
        <f t="shared" si="15"/>
        <v>0</v>
      </c>
      <c r="M11" s="5">
        <v>1</v>
      </c>
      <c r="N11" s="12">
        <f t="shared" si="1"/>
        <v>0</v>
      </c>
      <c r="O11" s="13">
        <v>619</v>
      </c>
      <c r="P11" s="6">
        <f t="shared" si="2"/>
        <v>0</v>
      </c>
      <c r="Q11" s="5">
        <v>0</v>
      </c>
      <c r="R11" s="6">
        <f t="shared" si="3"/>
        <v>0</v>
      </c>
      <c r="S11" s="5">
        <v>352</v>
      </c>
      <c r="T11" s="6">
        <f t="shared" si="4"/>
        <v>0</v>
      </c>
      <c r="U11" s="5">
        <v>531</v>
      </c>
      <c r="V11" s="6">
        <f t="shared" si="5"/>
        <v>0</v>
      </c>
      <c r="W11" s="5">
        <v>37</v>
      </c>
      <c r="X11" s="6">
        <f t="shared" si="6"/>
        <v>0</v>
      </c>
      <c r="Y11" s="7">
        <f t="shared" si="9"/>
        <v>0</v>
      </c>
      <c r="Z11" s="7">
        <f t="shared" si="7"/>
        <v>0</v>
      </c>
      <c r="AA11" s="7">
        <f>SUM(F11,H11,J11,L11,N11,R11,T11,V11,X11)</f>
        <v>0</v>
      </c>
      <c r="AB11" s="17">
        <f t="shared" si="10"/>
        <v>0</v>
      </c>
      <c r="AC11" s="17">
        <f t="shared" si="11"/>
        <v>0</v>
      </c>
      <c r="AD11" s="17">
        <f t="shared" si="12"/>
        <v>0</v>
      </c>
    </row>
    <row r="12" spans="1:30" hidden="1" x14ac:dyDescent="0.3">
      <c r="A12" s="9" t="s">
        <v>72</v>
      </c>
      <c r="B12" s="10">
        <v>45845</v>
      </c>
      <c r="C12" s="5">
        <v>6784</v>
      </c>
      <c r="D12" s="6">
        <f t="shared" si="13"/>
        <v>422</v>
      </c>
      <c r="E12" s="5">
        <v>0</v>
      </c>
      <c r="F12" s="6">
        <f t="shared" si="13"/>
        <v>0</v>
      </c>
      <c r="G12" s="5">
        <v>637</v>
      </c>
      <c r="H12" s="6">
        <f t="shared" si="0"/>
        <v>231</v>
      </c>
      <c r="I12" s="5">
        <v>61</v>
      </c>
      <c r="J12" s="6">
        <f t="shared" si="15"/>
        <v>13</v>
      </c>
      <c r="K12" s="5">
        <v>304</v>
      </c>
      <c r="L12" s="6">
        <f t="shared" si="15"/>
        <v>83</v>
      </c>
      <c r="M12" s="5">
        <v>1</v>
      </c>
      <c r="N12" s="12">
        <f t="shared" si="1"/>
        <v>0</v>
      </c>
      <c r="O12" s="13">
        <v>619</v>
      </c>
      <c r="P12" s="6">
        <f t="shared" si="2"/>
        <v>203</v>
      </c>
      <c r="Q12" s="5">
        <v>0</v>
      </c>
      <c r="R12" s="6">
        <f t="shared" si="3"/>
        <v>0</v>
      </c>
      <c r="S12" s="5">
        <v>352</v>
      </c>
      <c r="T12" s="6">
        <f t="shared" si="4"/>
        <v>87</v>
      </c>
      <c r="U12" s="5">
        <v>531</v>
      </c>
      <c r="V12" s="6">
        <f t="shared" si="5"/>
        <v>89</v>
      </c>
      <c r="W12" s="5">
        <v>37</v>
      </c>
      <c r="X12" s="6">
        <f t="shared" si="6"/>
        <v>6</v>
      </c>
      <c r="Y12" s="7">
        <f t="shared" si="9"/>
        <v>327</v>
      </c>
      <c r="Z12" s="7">
        <f t="shared" si="7"/>
        <v>182</v>
      </c>
      <c r="AA12" s="7">
        <f t="shared" si="8"/>
        <v>509</v>
      </c>
      <c r="AB12" s="17">
        <f t="shared" si="10"/>
        <v>-95</v>
      </c>
      <c r="AC12" s="17">
        <f t="shared" si="11"/>
        <v>-21</v>
      </c>
      <c r="AD12" s="17">
        <f t="shared" si="12"/>
        <v>-116</v>
      </c>
    </row>
    <row r="13" spans="1:30" hidden="1" x14ac:dyDescent="0.3">
      <c r="A13" s="9" t="s">
        <v>66</v>
      </c>
      <c r="B13" s="10">
        <v>45846</v>
      </c>
      <c r="C13" s="5">
        <v>7206</v>
      </c>
      <c r="D13" s="6">
        <f>IF(C14&lt;&gt;"",C14-C13,"")</f>
        <v>367</v>
      </c>
      <c r="E13" s="5">
        <v>0</v>
      </c>
      <c r="F13" s="6">
        <f>IF(E14&lt;&gt;"",E14-E13,"")</f>
        <v>0</v>
      </c>
      <c r="G13" s="5">
        <v>868</v>
      </c>
      <c r="H13" s="6">
        <f t="shared" si="0"/>
        <v>191</v>
      </c>
      <c r="I13" s="5">
        <v>74</v>
      </c>
      <c r="J13" s="6">
        <f>IF(I14&lt;&gt;"",I14-I13,"")</f>
        <v>11</v>
      </c>
      <c r="K13" s="5">
        <v>387</v>
      </c>
      <c r="L13" s="6">
        <f>IF(K14&lt;&gt;"",K14-K13,"")</f>
        <v>80</v>
      </c>
      <c r="M13" s="5">
        <v>1</v>
      </c>
      <c r="N13" s="12">
        <f t="shared" si="1"/>
        <v>0</v>
      </c>
      <c r="O13" s="13">
        <v>822</v>
      </c>
      <c r="P13" s="6">
        <f t="shared" si="2"/>
        <v>153</v>
      </c>
      <c r="Q13" s="5">
        <v>0</v>
      </c>
      <c r="R13" s="6">
        <f t="shared" si="3"/>
        <v>0</v>
      </c>
      <c r="S13" s="5">
        <v>439</v>
      </c>
      <c r="T13" s="6">
        <f t="shared" si="4"/>
        <v>58</v>
      </c>
      <c r="U13" s="5">
        <v>620</v>
      </c>
      <c r="V13" s="6">
        <f t="shared" si="5"/>
        <v>75</v>
      </c>
      <c r="W13" s="5">
        <v>43</v>
      </c>
      <c r="X13" s="6">
        <f t="shared" si="6"/>
        <v>7</v>
      </c>
      <c r="Y13" s="7">
        <f t="shared" si="9"/>
        <v>282</v>
      </c>
      <c r="Z13" s="7">
        <f t="shared" si="7"/>
        <v>140</v>
      </c>
      <c r="AA13" s="7">
        <f t="shared" si="8"/>
        <v>422</v>
      </c>
      <c r="AB13" s="17">
        <f t="shared" si="10"/>
        <v>-85</v>
      </c>
      <c r="AC13" s="17">
        <f t="shared" si="11"/>
        <v>-13</v>
      </c>
      <c r="AD13" s="17">
        <f t="shared" si="12"/>
        <v>-98</v>
      </c>
    </row>
    <row r="14" spans="1:30" hidden="1" x14ac:dyDescent="0.3">
      <c r="A14" s="9" t="s">
        <v>67</v>
      </c>
      <c r="B14" s="10">
        <v>45847</v>
      </c>
      <c r="C14" s="5">
        <v>7573</v>
      </c>
      <c r="D14" s="6">
        <f>IF(C15&lt;&gt;"",C15-C14,"")</f>
        <v>402</v>
      </c>
      <c r="E14" s="5">
        <v>0</v>
      </c>
      <c r="F14" s="6">
        <f>IF(E15&lt;&gt;"",E15-E14,"")</f>
        <v>0</v>
      </c>
      <c r="G14" s="5">
        <v>1059</v>
      </c>
      <c r="H14" s="6">
        <f t="shared" si="0"/>
        <v>191</v>
      </c>
      <c r="I14" s="5">
        <v>85</v>
      </c>
      <c r="J14" s="6">
        <f>IF(I15&lt;&gt;"",I15-I14,"")</f>
        <v>10</v>
      </c>
      <c r="K14" s="5">
        <v>467</v>
      </c>
      <c r="L14" s="6">
        <f>IF(K15&lt;&gt;"",K15-K14,"")</f>
        <v>96</v>
      </c>
      <c r="M14" s="5">
        <v>1</v>
      </c>
      <c r="N14" s="12">
        <f t="shared" si="1"/>
        <v>0</v>
      </c>
      <c r="O14" s="13">
        <v>975</v>
      </c>
      <c r="P14" s="6">
        <f t="shared" si="2"/>
        <v>146</v>
      </c>
      <c r="Q14" s="5">
        <v>0</v>
      </c>
      <c r="R14" s="6">
        <f t="shared" si="3"/>
        <v>0</v>
      </c>
      <c r="S14" s="5">
        <v>497</v>
      </c>
      <c r="T14" s="6">
        <f t="shared" si="4"/>
        <v>59</v>
      </c>
      <c r="U14" s="5">
        <v>695</v>
      </c>
      <c r="V14" s="6">
        <f t="shared" si="5"/>
        <v>114</v>
      </c>
      <c r="W14" s="5">
        <v>50</v>
      </c>
      <c r="X14" s="6">
        <f t="shared" si="6"/>
        <v>7</v>
      </c>
      <c r="Y14" s="7">
        <f t="shared" si="9"/>
        <v>297</v>
      </c>
      <c r="Z14" s="7">
        <f t="shared" si="7"/>
        <v>180</v>
      </c>
      <c r="AA14" s="7">
        <f t="shared" si="8"/>
        <v>477</v>
      </c>
      <c r="AB14" s="17">
        <f t="shared" si="10"/>
        <v>-105</v>
      </c>
      <c r="AC14" s="17">
        <f t="shared" si="11"/>
        <v>34</v>
      </c>
      <c r="AD14" s="17">
        <f t="shared" si="12"/>
        <v>-71</v>
      </c>
    </row>
    <row r="15" spans="1:30" hidden="1" x14ac:dyDescent="0.3">
      <c r="A15" s="9" t="s">
        <v>68</v>
      </c>
      <c r="B15" s="10">
        <v>45848</v>
      </c>
      <c r="C15" s="5">
        <v>7975</v>
      </c>
      <c r="D15" s="6">
        <f t="shared" ref="D15:F30" si="16">IF(C16&lt;&gt;"",C16-C15,"")</f>
        <v>316</v>
      </c>
      <c r="E15" s="5">
        <v>0</v>
      </c>
      <c r="F15" s="6">
        <f t="shared" si="16"/>
        <v>0</v>
      </c>
      <c r="G15" s="5">
        <v>1250</v>
      </c>
      <c r="H15" s="6">
        <f t="shared" ref="H15:H35" si="17">IF(G16&lt;&gt;"",G16-G15,"")</f>
        <v>157</v>
      </c>
      <c r="I15" s="5">
        <v>95</v>
      </c>
      <c r="J15" s="6">
        <f t="shared" ref="J15:L30" si="18">IF(I16&lt;&gt;"",I16-I15,"")</f>
        <v>1</v>
      </c>
      <c r="K15" s="5">
        <v>563</v>
      </c>
      <c r="L15" s="6">
        <f t="shared" si="18"/>
        <v>66</v>
      </c>
      <c r="M15" s="5">
        <v>1</v>
      </c>
      <c r="N15" s="12">
        <f t="shared" ref="N15:N35" si="19">IF(M16&lt;&gt;"",M16-M15,"")</f>
        <v>1</v>
      </c>
      <c r="O15" s="13">
        <v>1121</v>
      </c>
      <c r="P15" s="6">
        <f t="shared" ref="P15:P35" si="20">IF(O16&lt;&gt;"",O16-O15,"")</f>
        <v>165</v>
      </c>
      <c r="Q15" s="5">
        <v>0</v>
      </c>
      <c r="R15" s="6">
        <f t="shared" si="3"/>
        <v>0</v>
      </c>
      <c r="S15" s="5">
        <v>556</v>
      </c>
      <c r="T15" s="6">
        <f t="shared" ref="T15:T35" si="21">IF(S16&lt;&gt;"",S16-S15,"")</f>
        <v>37</v>
      </c>
      <c r="U15" s="5">
        <v>809</v>
      </c>
      <c r="V15" s="6">
        <f t="shared" si="5"/>
        <v>71</v>
      </c>
      <c r="W15" s="5">
        <v>57</v>
      </c>
      <c r="X15" s="6">
        <f t="shared" ref="X15:X35" si="22">IF(W16&lt;&gt;"",W16-W15,"")</f>
        <v>8</v>
      </c>
      <c r="Y15" s="7">
        <f t="shared" si="9"/>
        <v>225</v>
      </c>
      <c r="Z15" s="7">
        <f t="shared" si="7"/>
        <v>116</v>
      </c>
      <c r="AA15" s="7">
        <f t="shared" si="8"/>
        <v>341</v>
      </c>
      <c r="AB15" s="17">
        <f t="shared" si="10"/>
        <v>-91</v>
      </c>
      <c r="AC15" s="17">
        <f t="shared" si="11"/>
        <v>-49</v>
      </c>
      <c r="AD15" s="17">
        <f t="shared" si="12"/>
        <v>-140</v>
      </c>
    </row>
    <row r="16" spans="1:30" hidden="1" x14ac:dyDescent="0.3">
      <c r="A16" s="9" t="s">
        <v>69</v>
      </c>
      <c r="B16" s="10">
        <v>45849</v>
      </c>
      <c r="C16" s="5">
        <v>8291</v>
      </c>
      <c r="D16" s="6">
        <f t="shared" si="16"/>
        <v>412</v>
      </c>
      <c r="E16" s="5">
        <v>0</v>
      </c>
      <c r="F16" s="6">
        <f t="shared" si="16"/>
        <v>0</v>
      </c>
      <c r="G16" s="5">
        <v>1407</v>
      </c>
      <c r="H16" s="6">
        <f t="shared" si="17"/>
        <v>219</v>
      </c>
      <c r="I16" s="5">
        <v>96</v>
      </c>
      <c r="J16" s="6">
        <f t="shared" si="18"/>
        <v>5</v>
      </c>
      <c r="K16" s="5">
        <v>629</v>
      </c>
      <c r="L16" s="6">
        <f t="shared" si="18"/>
        <v>84</v>
      </c>
      <c r="M16" s="5">
        <v>2</v>
      </c>
      <c r="N16" s="12">
        <f t="shared" si="19"/>
        <v>1</v>
      </c>
      <c r="O16" s="13">
        <v>1286</v>
      </c>
      <c r="P16" s="6">
        <f t="shared" si="20"/>
        <v>214</v>
      </c>
      <c r="Q16" s="5">
        <v>0</v>
      </c>
      <c r="R16" s="6">
        <f t="shared" si="3"/>
        <v>0</v>
      </c>
      <c r="S16" s="5">
        <v>593</v>
      </c>
      <c r="T16" s="6">
        <f t="shared" si="21"/>
        <v>60</v>
      </c>
      <c r="U16" s="5">
        <v>880</v>
      </c>
      <c r="V16" s="6">
        <f t="shared" si="5"/>
        <v>125</v>
      </c>
      <c r="W16" s="5">
        <v>65</v>
      </c>
      <c r="X16" s="6">
        <f t="shared" si="22"/>
        <v>8</v>
      </c>
      <c r="Y16" s="7">
        <f t="shared" si="9"/>
        <v>309</v>
      </c>
      <c r="Z16" s="7">
        <f t="shared" si="7"/>
        <v>193</v>
      </c>
      <c r="AA16" s="7">
        <f t="shared" si="8"/>
        <v>502</v>
      </c>
      <c r="AB16" s="17">
        <f t="shared" si="10"/>
        <v>-103</v>
      </c>
      <c r="AC16" s="17">
        <f t="shared" si="11"/>
        <v>-21</v>
      </c>
      <c r="AD16" s="17">
        <f t="shared" si="12"/>
        <v>-124</v>
      </c>
    </row>
    <row r="17" spans="1:30" hidden="1" x14ac:dyDescent="0.3">
      <c r="A17" s="9" t="s">
        <v>70</v>
      </c>
      <c r="B17" s="10">
        <v>45850</v>
      </c>
      <c r="C17" s="5">
        <v>8703</v>
      </c>
      <c r="D17" s="6">
        <f t="shared" si="16"/>
        <v>489</v>
      </c>
      <c r="E17" s="5">
        <v>0</v>
      </c>
      <c r="F17" s="6">
        <f t="shared" si="16"/>
        <v>0</v>
      </c>
      <c r="G17" s="5">
        <v>1626</v>
      </c>
      <c r="H17" s="6">
        <f t="shared" si="17"/>
        <v>245</v>
      </c>
      <c r="I17" s="5">
        <v>101</v>
      </c>
      <c r="J17" s="6">
        <f t="shared" si="18"/>
        <v>9</v>
      </c>
      <c r="K17" s="5">
        <v>713</v>
      </c>
      <c r="L17" s="6">
        <f t="shared" si="18"/>
        <v>96</v>
      </c>
      <c r="M17" s="5">
        <v>3</v>
      </c>
      <c r="N17" s="12">
        <f t="shared" si="19"/>
        <v>0</v>
      </c>
      <c r="O17" s="13">
        <v>1500</v>
      </c>
      <c r="P17" s="6">
        <f t="shared" si="20"/>
        <v>231</v>
      </c>
      <c r="Q17" s="5">
        <v>0</v>
      </c>
      <c r="R17" s="6">
        <f t="shared" si="3"/>
        <v>0</v>
      </c>
      <c r="S17" s="5">
        <v>653</v>
      </c>
      <c r="T17" s="6">
        <f t="shared" si="21"/>
        <v>73</v>
      </c>
      <c r="U17" s="5">
        <v>1005</v>
      </c>
      <c r="V17" s="6">
        <f t="shared" si="5"/>
        <v>94</v>
      </c>
      <c r="W17" s="5">
        <v>73</v>
      </c>
      <c r="X17" s="6">
        <f t="shared" si="22"/>
        <v>6</v>
      </c>
      <c r="Y17" s="7">
        <f t="shared" si="9"/>
        <v>350</v>
      </c>
      <c r="Z17" s="7">
        <f t="shared" si="7"/>
        <v>173</v>
      </c>
      <c r="AA17" s="7">
        <f t="shared" si="8"/>
        <v>523</v>
      </c>
      <c r="AB17" s="17">
        <f t="shared" si="10"/>
        <v>-139</v>
      </c>
      <c r="AC17" s="17">
        <f t="shared" si="11"/>
        <v>-58</v>
      </c>
      <c r="AD17" s="17">
        <f t="shared" si="12"/>
        <v>-197</v>
      </c>
    </row>
    <row r="18" spans="1:30" hidden="1" x14ac:dyDescent="0.3">
      <c r="A18" s="9" t="s">
        <v>71</v>
      </c>
      <c r="B18" s="10">
        <v>45851</v>
      </c>
      <c r="C18" s="5">
        <v>9192</v>
      </c>
      <c r="D18" s="6">
        <f t="shared" si="16"/>
        <v>0</v>
      </c>
      <c r="E18" s="5">
        <v>0</v>
      </c>
      <c r="F18" s="6">
        <f t="shared" si="16"/>
        <v>0</v>
      </c>
      <c r="G18" s="5">
        <v>1871</v>
      </c>
      <c r="H18" s="6">
        <f t="shared" si="17"/>
        <v>0</v>
      </c>
      <c r="I18" s="5">
        <v>110</v>
      </c>
      <c r="J18" s="6">
        <f t="shared" si="18"/>
        <v>0</v>
      </c>
      <c r="K18" s="5">
        <v>809</v>
      </c>
      <c r="L18" s="6">
        <f t="shared" si="18"/>
        <v>0</v>
      </c>
      <c r="M18" s="5">
        <v>3</v>
      </c>
      <c r="N18" s="12">
        <f t="shared" si="19"/>
        <v>0</v>
      </c>
      <c r="O18" s="13">
        <v>1731</v>
      </c>
      <c r="P18" s="6">
        <f t="shared" si="20"/>
        <v>0</v>
      </c>
      <c r="Q18" s="5">
        <v>0</v>
      </c>
      <c r="R18" s="6">
        <f t="shared" si="3"/>
        <v>0</v>
      </c>
      <c r="S18" s="5">
        <v>726</v>
      </c>
      <c r="T18" s="6">
        <f t="shared" si="21"/>
        <v>0</v>
      </c>
      <c r="U18" s="5">
        <v>1099</v>
      </c>
      <c r="V18" s="6">
        <f t="shared" si="5"/>
        <v>0</v>
      </c>
      <c r="W18" s="5">
        <v>79</v>
      </c>
      <c r="X18" s="6">
        <f t="shared" si="22"/>
        <v>0</v>
      </c>
      <c r="Y18" s="7">
        <f t="shared" si="9"/>
        <v>0</v>
      </c>
      <c r="Z18" s="7">
        <f t="shared" si="7"/>
        <v>0</v>
      </c>
      <c r="AA18" s="7">
        <f t="shared" si="8"/>
        <v>0</v>
      </c>
      <c r="AB18" s="17">
        <f t="shared" si="10"/>
        <v>0</v>
      </c>
      <c r="AC18" s="17">
        <f t="shared" si="11"/>
        <v>0</v>
      </c>
      <c r="AD18" s="17">
        <f t="shared" si="12"/>
        <v>0</v>
      </c>
    </row>
    <row r="19" spans="1:30" hidden="1" x14ac:dyDescent="0.3">
      <c r="A19" s="9" t="s">
        <v>72</v>
      </c>
      <c r="B19" s="10">
        <v>45852</v>
      </c>
      <c r="C19" s="5">
        <v>9192</v>
      </c>
      <c r="D19" s="6">
        <f t="shared" si="16"/>
        <v>316</v>
      </c>
      <c r="E19" s="5">
        <v>0</v>
      </c>
      <c r="F19" s="6">
        <f t="shared" si="16"/>
        <v>0</v>
      </c>
      <c r="G19" s="5">
        <v>1871</v>
      </c>
      <c r="H19" s="6">
        <f t="shared" si="17"/>
        <v>139</v>
      </c>
      <c r="I19" s="5">
        <v>110</v>
      </c>
      <c r="J19" s="6">
        <f t="shared" si="18"/>
        <v>5</v>
      </c>
      <c r="K19" s="5">
        <v>809</v>
      </c>
      <c r="L19" s="6">
        <f t="shared" si="18"/>
        <v>93</v>
      </c>
      <c r="M19" s="5">
        <v>3</v>
      </c>
      <c r="N19" s="12">
        <f t="shared" si="19"/>
        <v>1</v>
      </c>
      <c r="O19" s="13">
        <v>1731</v>
      </c>
      <c r="P19" s="6">
        <f t="shared" si="20"/>
        <v>141</v>
      </c>
      <c r="Q19" s="5">
        <v>0</v>
      </c>
      <c r="R19" s="6">
        <f t="shared" si="3"/>
        <v>0</v>
      </c>
      <c r="S19" s="5">
        <v>726</v>
      </c>
      <c r="T19" s="6">
        <f t="shared" si="21"/>
        <v>34</v>
      </c>
      <c r="U19" s="5">
        <v>1099</v>
      </c>
      <c r="V19" s="6">
        <f t="shared" si="5"/>
        <v>89</v>
      </c>
      <c r="W19" s="5">
        <v>79</v>
      </c>
      <c r="X19" s="6">
        <f t="shared" si="22"/>
        <v>16</v>
      </c>
      <c r="Y19" s="7">
        <f t="shared" si="9"/>
        <v>238</v>
      </c>
      <c r="Z19" s="7">
        <f t="shared" si="7"/>
        <v>139</v>
      </c>
      <c r="AA19" s="7">
        <f t="shared" si="8"/>
        <v>377</v>
      </c>
      <c r="AB19" s="17">
        <f t="shared" si="10"/>
        <v>-78</v>
      </c>
      <c r="AC19" s="17">
        <f t="shared" si="11"/>
        <v>-2</v>
      </c>
      <c r="AD19" s="17">
        <f t="shared" si="12"/>
        <v>-80</v>
      </c>
    </row>
    <row r="20" spans="1:30" hidden="1" x14ac:dyDescent="0.3">
      <c r="A20" s="9" t="s">
        <v>66</v>
      </c>
      <c r="B20" s="10">
        <v>45853</v>
      </c>
      <c r="C20" s="5">
        <v>9508</v>
      </c>
      <c r="D20" s="6">
        <f t="shared" si="16"/>
        <v>378</v>
      </c>
      <c r="E20" s="5">
        <v>0</v>
      </c>
      <c r="F20" s="6">
        <f t="shared" si="16"/>
        <v>0</v>
      </c>
      <c r="G20" s="5">
        <v>2010</v>
      </c>
      <c r="H20" s="6">
        <f t="shared" si="17"/>
        <v>173</v>
      </c>
      <c r="I20" s="5">
        <v>115</v>
      </c>
      <c r="J20" s="6">
        <f t="shared" si="18"/>
        <v>5</v>
      </c>
      <c r="K20" s="5">
        <v>902</v>
      </c>
      <c r="L20" s="6">
        <f t="shared" si="18"/>
        <v>80</v>
      </c>
      <c r="M20" s="5">
        <v>4</v>
      </c>
      <c r="N20" s="12">
        <f t="shared" si="19"/>
        <v>1</v>
      </c>
      <c r="O20" s="13">
        <v>1872</v>
      </c>
      <c r="P20" s="6">
        <f t="shared" si="20"/>
        <v>158</v>
      </c>
      <c r="Q20" s="5">
        <v>0</v>
      </c>
      <c r="R20" s="6">
        <f t="shared" si="3"/>
        <v>0</v>
      </c>
      <c r="S20" s="5">
        <v>760</v>
      </c>
      <c r="T20" s="6">
        <f t="shared" si="21"/>
        <v>51</v>
      </c>
      <c r="U20" s="5">
        <v>1188</v>
      </c>
      <c r="V20" s="6">
        <f t="shared" si="5"/>
        <v>78</v>
      </c>
      <c r="W20" s="5">
        <v>95</v>
      </c>
      <c r="X20" s="6">
        <f t="shared" si="22"/>
        <v>11</v>
      </c>
      <c r="Y20" s="7">
        <f t="shared" si="9"/>
        <v>259</v>
      </c>
      <c r="Z20" s="7">
        <f t="shared" si="7"/>
        <v>140</v>
      </c>
      <c r="AA20" s="7">
        <f t="shared" si="8"/>
        <v>399</v>
      </c>
      <c r="AB20" s="17">
        <f t="shared" si="10"/>
        <v>-119</v>
      </c>
      <c r="AC20" s="17">
        <f t="shared" si="11"/>
        <v>-18</v>
      </c>
      <c r="AD20" s="17">
        <f t="shared" si="12"/>
        <v>-137</v>
      </c>
    </row>
    <row r="21" spans="1:30" hidden="1" x14ac:dyDescent="0.3">
      <c r="A21" s="9" t="s">
        <v>67</v>
      </c>
      <c r="B21" s="10">
        <v>45854</v>
      </c>
      <c r="C21" s="5">
        <v>9886</v>
      </c>
      <c r="D21" s="6">
        <f t="shared" si="16"/>
        <v>387</v>
      </c>
      <c r="E21" s="5">
        <v>0</v>
      </c>
      <c r="F21" s="6">
        <f t="shared" si="16"/>
        <v>0</v>
      </c>
      <c r="G21" s="5">
        <v>2183</v>
      </c>
      <c r="H21" s="6">
        <f t="shared" si="17"/>
        <v>139</v>
      </c>
      <c r="I21" s="5">
        <v>120</v>
      </c>
      <c r="J21" s="6">
        <f t="shared" si="18"/>
        <v>5</v>
      </c>
      <c r="K21" s="5">
        <v>982</v>
      </c>
      <c r="L21" s="6">
        <f t="shared" si="18"/>
        <v>82</v>
      </c>
      <c r="M21" s="5">
        <v>5</v>
      </c>
      <c r="N21" s="12">
        <f t="shared" si="19"/>
        <v>1</v>
      </c>
      <c r="O21" s="13">
        <v>2030</v>
      </c>
      <c r="P21" s="6">
        <f t="shared" si="20"/>
        <v>139</v>
      </c>
      <c r="Q21" s="5">
        <v>0</v>
      </c>
      <c r="R21" s="6">
        <f t="shared" si="3"/>
        <v>0</v>
      </c>
      <c r="S21" s="5">
        <v>811</v>
      </c>
      <c r="T21" s="6">
        <f t="shared" si="21"/>
        <v>47</v>
      </c>
      <c r="U21" s="5">
        <v>1266</v>
      </c>
      <c r="V21" s="6">
        <f t="shared" si="5"/>
        <v>79</v>
      </c>
      <c r="W21" s="5">
        <v>106</v>
      </c>
      <c r="X21" s="6">
        <f t="shared" si="22"/>
        <v>13</v>
      </c>
      <c r="Y21" s="7">
        <f>SUM(F21,H21,J21,L21,N21)</f>
        <v>227</v>
      </c>
      <c r="Z21" s="7">
        <f t="shared" si="7"/>
        <v>139</v>
      </c>
      <c r="AA21" s="7">
        <f t="shared" si="8"/>
        <v>366</v>
      </c>
      <c r="AB21" s="17">
        <f t="shared" si="10"/>
        <v>-160</v>
      </c>
      <c r="AC21" s="17">
        <f t="shared" si="11"/>
        <v>0</v>
      </c>
      <c r="AD21" s="17">
        <f t="shared" si="12"/>
        <v>-160</v>
      </c>
    </row>
    <row r="22" spans="1:30" hidden="1" x14ac:dyDescent="0.3">
      <c r="A22" s="9" t="s">
        <v>68</v>
      </c>
      <c r="B22" s="10">
        <v>45855</v>
      </c>
      <c r="C22" s="5">
        <v>10273</v>
      </c>
      <c r="D22" s="6">
        <f t="shared" si="16"/>
        <v>455</v>
      </c>
      <c r="E22" s="5">
        <v>0</v>
      </c>
      <c r="F22" s="6">
        <f t="shared" si="16"/>
        <v>0</v>
      </c>
      <c r="G22" s="5">
        <v>2322</v>
      </c>
      <c r="H22" s="6">
        <f t="shared" si="17"/>
        <v>193</v>
      </c>
      <c r="I22" s="5">
        <v>125</v>
      </c>
      <c r="J22" s="6">
        <f t="shared" si="18"/>
        <v>16</v>
      </c>
      <c r="K22" s="5">
        <v>1064</v>
      </c>
      <c r="L22" s="6">
        <f t="shared" si="18"/>
        <v>124</v>
      </c>
      <c r="M22" s="5">
        <v>6</v>
      </c>
      <c r="N22" s="12">
        <f t="shared" si="19"/>
        <v>1</v>
      </c>
      <c r="O22" s="13">
        <v>2169</v>
      </c>
      <c r="P22" s="6">
        <f t="shared" si="20"/>
        <v>196</v>
      </c>
      <c r="Q22" s="5">
        <v>0</v>
      </c>
      <c r="R22" s="6">
        <f t="shared" si="3"/>
        <v>0</v>
      </c>
      <c r="S22" s="5">
        <v>858</v>
      </c>
      <c r="T22" s="6">
        <f t="shared" si="21"/>
        <v>57</v>
      </c>
      <c r="U22" s="5">
        <v>1345</v>
      </c>
      <c r="V22" s="6">
        <f t="shared" si="5"/>
        <v>112</v>
      </c>
      <c r="W22" s="5">
        <v>119</v>
      </c>
      <c r="X22" s="6">
        <f t="shared" si="22"/>
        <v>11</v>
      </c>
      <c r="Y22" s="7">
        <f t="shared" si="9"/>
        <v>334</v>
      </c>
      <c r="Z22" s="7">
        <f>SUM(R22,T22,V22,X22)</f>
        <v>180</v>
      </c>
      <c r="AA22" s="7">
        <f>SUM(F22,H22,J22,L22,N22,R22,T22,V22,X22)</f>
        <v>514</v>
      </c>
      <c r="AB22" s="17">
        <f t="shared" si="10"/>
        <v>-121</v>
      </c>
      <c r="AC22" s="17">
        <f t="shared" si="11"/>
        <v>-16</v>
      </c>
      <c r="AD22" s="17">
        <f t="shared" si="12"/>
        <v>-137</v>
      </c>
    </row>
    <row r="23" spans="1:30" hidden="1" x14ac:dyDescent="0.3">
      <c r="A23" s="9" t="s">
        <v>69</v>
      </c>
      <c r="B23" s="10">
        <v>45856</v>
      </c>
      <c r="C23" s="5">
        <v>10728</v>
      </c>
      <c r="D23" s="6">
        <f t="shared" si="16"/>
        <v>407</v>
      </c>
      <c r="E23" s="5">
        <v>0</v>
      </c>
      <c r="F23" s="6">
        <f t="shared" si="16"/>
        <v>0</v>
      </c>
      <c r="G23" s="5">
        <v>2515</v>
      </c>
      <c r="H23" s="6">
        <f t="shared" si="17"/>
        <v>218</v>
      </c>
      <c r="I23" s="5">
        <v>141</v>
      </c>
      <c r="J23" s="6">
        <f t="shared" si="18"/>
        <v>5</v>
      </c>
      <c r="K23" s="5">
        <v>1188</v>
      </c>
      <c r="L23" s="6">
        <f t="shared" si="18"/>
        <v>100</v>
      </c>
      <c r="M23" s="5">
        <v>7</v>
      </c>
      <c r="N23" s="12">
        <f t="shared" si="19"/>
        <v>1</v>
      </c>
      <c r="O23" s="13">
        <v>2365</v>
      </c>
      <c r="P23" s="6">
        <f t="shared" si="20"/>
        <v>198</v>
      </c>
      <c r="Q23" s="5">
        <v>0</v>
      </c>
      <c r="R23" s="6">
        <f t="shared" si="3"/>
        <v>0</v>
      </c>
      <c r="S23" s="5">
        <v>915</v>
      </c>
      <c r="T23" s="6">
        <f t="shared" si="21"/>
        <v>66</v>
      </c>
      <c r="U23" s="5">
        <v>1457</v>
      </c>
      <c r="V23" s="6">
        <f t="shared" si="5"/>
        <v>98</v>
      </c>
      <c r="W23" s="5">
        <v>130</v>
      </c>
      <c r="X23" s="6">
        <f t="shared" si="22"/>
        <v>12</v>
      </c>
      <c r="Y23" s="7">
        <f t="shared" si="9"/>
        <v>324</v>
      </c>
      <c r="Z23" s="7">
        <f t="shared" si="7"/>
        <v>176</v>
      </c>
      <c r="AA23" s="7">
        <f t="shared" si="8"/>
        <v>500</v>
      </c>
      <c r="AB23" s="17">
        <f t="shared" si="10"/>
        <v>-83</v>
      </c>
      <c r="AC23" s="17">
        <f t="shared" si="11"/>
        <v>-22</v>
      </c>
      <c r="AD23" s="17">
        <f t="shared" si="12"/>
        <v>-105</v>
      </c>
    </row>
    <row r="24" spans="1:30" hidden="1" x14ac:dyDescent="0.3">
      <c r="A24" s="9" t="s">
        <v>70</v>
      </c>
      <c r="B24" s="10">
        <v>45857</v>
      </c>
      <c r="C24" s="5">
        <v>11135</v>
      </c>
      <c r="D24" s="6">
        <f t="shared" si="16"/>
        <v>472</v>
      </c>
      <c r="E24" s="5">
        <v>0</v>
      </c>
      <c r="F24" s="6">
        <f t="shared" si="16"/>
        <v>0</v>
      </c>
      <c r="G24" s="5">
        <v>2733</v>
      </c>
      <c r="H24" s="6">
        <f t="shared" si="17"/>
        <v>228</v>
      </c>
      <c r="I24" s="5">
        <v>146</v>
      </c>
      <c r="J24" s="6">
        <f t="shared" si="18"/>
        <v>8</v>
      </c>
      <c r="K24" s="5">
        <v>1288</v>
      </c>
      <c r="L24" s="6">
        <f t="shared" si="18"/>
        <v>133</v>
      </c>
      <c r="M24" s="5">
        <v>8</v>
      </c>
      <c r="N24" s="12">
        <f t="shared" si="19"/>
        <v>2</v>
      </c>
      <c r="O24" s="13">
        <v>2563</v>
      </c>
      <c r="P24" s="6">
        <f t="shared" si="20"/>
        <v>289</v>
      </c>
      <c r="Q24" s="5">
        <v>0</v>
      </c>
      <c r="R24" s="6">
        <f t="shared" si="3"/>
        <v>0</v>
      </c>
      <c r="S24" s="5">
        <v>981</v>
      </c>
      <c r="T24" s="6">
        <f t="shared" si="21"/>
        <v>140</v>
      </c>
      <c r="U24" s="5">
        <v>1555</v>
      </c>
      <c r="V24" s="6">
        <f t="shared" si="5"/>
        <v>103</v>
      </c>
      <c r="W24" s="5">
        <v>142</v>
      </c>
      <c r="X24" s="6">
        <f t="shared" si="22"/>
        <v>22</v>
      </c>
      <c r="Y24" s="7">
        <f t="shared" si="9"/>
        <v>371</v>
      </c>
      <c r="Z24" s="7">
        <f t="shared" si="7"/>
        <v>265</v>
      </c>
      <c r="AA24" s="7">
        <f t="shared" si="8"/>
        <v>636</v>
      </c>
      <c r="AB24" s="17">
        <f t="shared" si="10"/>
        <v>-101</v>
      </c>
      <c r="AC24" s="17">
        <f t="shared" si="11"/>
        <v>-24</v>
      </c>
      <c r="AD24" s="17">
        <f t="shared" si="12"/>
        <v>-125</v>
      </c>
    </row>
    <row r="25" spans="1:30" hidden="1" x14ac:dyDescent="0.3">
      <c r="A25" s="9" t="s">
        <v>71</v>
      </c>
      <c r="B25" s="10">
        <v>45858</v>
      </c>
      <c r="C25" s="5">
        <v>11607</v>
      </c>
      <c r="D25" s="6">
        <f t="shared" si="16"/>
        <v>0</v>
      </c>
      <c r="E25" s="5">
        <v>0</v>
      </c>
      <c r="F25" s="6">
        <f t="shared" si="16"/>
        <v>0</v>
      </c>
      <c r="G25" s="5">
        <v>2961</v>
      </c>
      <c r="H25" s="6">
        <f t="shared" si="17"/>
        <v>0</v>
      </c>
      <c r="I25" s="5">
        <v>154</v>
      </c>
      <c r="J25" s="6">
        <f t="shared" si="18"/>
        <v>0</v>
      </c>
      <c r="K25" s="5">
        <v>1421</v>
      </c>
      <c r="L25" s="6">
        <f t="shared" si="18"/>
        <v>0</v>
      </c>
      <c r="M25" s="5">
        <v>10</v>
      </c>
      <c r="N25" s="12">
        <f t="shared" si="19"/>
        <v>0</v>
      </c>
      <c r="O25" s="13">
        <v>2852</v>
      </c>
      <c r="P25" s="6">
        <f t="shared" si="20"/>
        <v>0</v>
      </c>
      <c r="Q25" s="5">
        <v>0</v>
      </c>
      <c r="R25" s="6">
        <f t="shared" si="3"/>
        <v>0</v>
      </c>
      <c r="S25" s="5">
        <v>1121</v>
      </c>
      <c r="T25" s="6">
        <f t="shared" si="21"/>
        <v>0</v>
      </c>
      <c r="U25" s="5">
        <v>1658</v>
      </c>
      <c r="V25" s="6">
        <f t="shared" si="5"/>
        <v>0</v>
      </c>
      <c r="W25" s="5">
        <v>164</v>
      </c>
      <c r="X25" s="6">
        <f t="shared" si="22"/>
        <v>0</v>
      </c>
      <c r="Y25" s="7">
        <f t="shared" si="9"/>
        <v>0</v>
      </c>
      <c r="Z25" s="7">
        <f t="shared" si="7"/>
        <v>0</v>
      </c>
      <c r="AA25" s="7">
        <f t="shared" si="8"/>
        <v>0</v>
      </c>
      <c r="AB25" s="17">
        <f t="shared" si="10"/>
        <v>0</v>
      </c>
      <c r="AC25" s="17">
        <f t="shared" si="11"/>
        <v>0</v>
      </c>
      <c r="AD25" s="17">
        <f t="shared" si="12"/>
        <v>0</v>
      </c>
    </row>
    <row r="26" spans="1:30" hidden="1" x14ac:dyDescent="0.3">
      <c r="A26" s="9" t="s">
        <v>72</v>
      </c>
      <c r="B26" s="10">
        <v>45859</v>
      </c>
      <c r="C26" s="5">
        <v>11607</v>
      </c>
      <c r="D26" s="6">
        <f t="shared" si="16"/>
        <v>480</v>
      </c>
      <c r="E26" s="5">
        <v>0</v>
      </c>
      <c r="F26" s="6">
        <f t="shared" si="16"/>
        <v>0</v>
      </c>
      <c r="G26" s="5">
        <v>2961</v>
      </c>
      <c r="H26" s="6">
        <f t="shared" si="17"/>
        <v>227</v>
      </c>
      <c r="I26" s="5">
        <v>154</v>
      </c>
      <c r="J26" s="6">
        <f t="shared" si="18"/>
        <v>32</v>
      </c>
      <c r="K26" s="5">
        <v>1421</v>
      </c>
      <c r="L26" s="6">
        <f t="shared" si="18"/>
        <v>112</v>
      </c>
      <c r="M26" s="5">
        <v>10</v>
      </c>
      <c r="N26" s="12">
        <f t="shared" si="19"/>
        <v>1</v>
      </c>
      <c r="O26" s="13">
        <v>2852</v>
      </c>
      <c r="P26" s="6">
        <f t="shared" si="20"/>
        <v>215</v>
      </c>
      <c r="Q26" s="5">
        <v>0</v>
      </c>
      <c r="R26" s="6">
        <f t="shared" si="3"/>
        <v>0</v>
      </c>
      <c r="S26" s="5">
        <v>1121</v>
      </c>
      <c r="T26" s="6">
        <f t="shared" si="21"/>
        <v>78</v>
      </c>
      <c r="U26" s="5">
        <v>1658</v>
      </c>
      <c r="V26" s="6">
        <f t="shared" si="5"/>
        <v>102</v>
      </c>
      <c r="W26" s="5">
        <v>164</v>
      </c>
      <c r="X26" s="6">
        <f t="shared" si="22"/>
        <v>13</v>
      </c>
      <c r="Y26" s="7">
        <f t="shared" si="9"/>
        <v>372</v>
      </c>
      <c r="Z26" s="7">
        <f t="shared" si="7"/>
        <v>193</v>
      </c>
      <c r="AA26" s="7">
        <f t="shared" si="8"/>
        <v>565</v>
      </c>
      <c r="AB26" s="17">
        <f t="shared" si="10"/>
        <v>-108</v>
      </c>
      <c r="AC26" s="17">
        <f t="shared" si="11"/>
        <v>-22</v>
      </c>
      <c r="AD26" s="17">
        <f t="shared" si="12"/>
        <v>-130</v>
      </c>
    </row>
    <row r="27" spans="1:30" hidden="1" x14ac:dyDescent="0.3">
      <c r="A27" s="9" t="s">
        <v>66</v>
      </c>
      <c r="B27" s="10">
        <v>45860</v>
      </c>
      <c r="C27" s="5">
        <v>12087</v>
      </c>
      <c r="D27" s="6">
        <f t="shared" si="16"/>
        <v>418</v>
      </c>
      <c r="E27" s="5">
        <v>0</v>
      </c>
      <c r="F27" s="6">
        <f t="shared" si="16"/>
        <v>0</v>
      </c>
      <c r="G27" s="5">
        <v>3188</v>
      </c>
      <c r="H27" s="6">
        <f t="shared" si="17"/>
        <v>202</v>
      </c>
      <c r="I27" s="5">
        <v>186</v>
      </c>
      <c r="J27" s="6">
        <f t="shared" si="18"/>
        <v>13</v>
      </c>
      <c r="K27" s="5">
        <v>1533</v>
      </c>
      <c r="L27" s="6">
        <f t="shared" si="18"/>
        <v>107</v>
      </c>
      <c r="M27" s="5">
        <v>11</v>
      </c>
      <c r="N27" s="12">
        <f t="shared" si="19"/>
        <v>1</v>
      </c>
      <c r="O27" s="13">
        <v>3067</v>
      </c>
      <c r="P27" s="6">
        <f t="shared" si="20"/>
        <v>161</v>
      </c>
      <c r="Q27" s="5">
        <v>0</v>
      </c>
      <c r="R27" s="6">
        <f t="shared" si="3"/>
        <v>0</v>
      </c>
      <c r="S27" s="5">
        <v>1199</v>
      </c>
      <c r="T27" s="6">
        <f t="shared" si="21"/>
        <v>57</v>
      </c>
      <c r="U27" s="5">
        <v>1760</v>
      </c>
      <c r="V27" s="6">
        <f t="shared" si="5"/>
        <v>83</v>
      </c>
      <c r="W27" s="5">
        <v>177</v>
      </c>
      <c r="X27" s="6">
        <f t="shared" si="22"/>
        <v>11</v>
      </c>
      <c r="Y27" s="7">
        <f t="shared" si="9"/>
        <v>323</v>
      </c>
      <c r="Z27" s="7">
        <f t="shared" si="7"/>
        <v>151</v>
      </c>
      <c r="AA27" s="7">
        <f t="shared" si="8"/>
        <v>474</v>
      </c>
      <c r="AB27" s="17">
        <f t="shared" si="10"/>
        <v>-95</v>
      </c>
      <c r="AC27" s="17">
        <f t="shared" si="11"/>
        <v>-10</v>
      </c>
      <c r="AD27" s="17">
        <f t="shared" si="12"/>
        <v>-105</v>
      </c>
    </row>
    <row r="28" spans="1:30" hidden="1" x14ac:dyDescent="0.3">
      <c r="A28" s="9" t="s">
        <v>67</v>
      </c>
      <c r="B28" s="10">
        <v>45861</v>
      </c>
      <c r="C28" s="5">
        <v>12505</v>
      </c>
      <c r="D28" s="6">
        <f t="shared" si="16"/>
        <v>470</v>
      </c>
      <c r="E28" s="5">
        <v>0</v>
      </c>
      <c r="F28" s="6">
        <f t="shared" si="16"/>
        <v>0</v>
      </c>
      <c r="G28" s="5">
        <v>3390</v>
      </c>
      <c r="H28" s="6">
        <f t="shared" si="17"/>
        <v>234</v>
      </c>
      <c r="I28" s="5">
        <v>199</v>
      </c>
      <c r="J28" s="6">
        <f t="shared" si="18"/>
        <v>10</v>
      </c>
      <c r="K28" s="5">
        <v>1640</v>
      </c>
      <c r="L28" s="6">
        <f t="shared" si="18"/>
        <v>124</v>
      </c>
      <c r="M28" s="5">
        <v>12</v>
      </c>
      <c r="N28" s="12">
        <f t="shared" si="19"/>
        <v>2</v>
      </c>
      <c r="O28" s="13">
        <v>3228</v>
      </c>
      <c r="P28" s="6">
        <f t="shared" si="20"/>
        <v>171</v>
      </c>
      <c r="Q28" s="5">
        <v>0</v>
      </c>
      <c r="R28" s="6">
        <f t="shared" si="3"/>
        <v>0</v>
      </c>
      <c r="S28" s="5">
        <v>1256</v>
      </c>
      <c r="T28" s="6">
        <f t="shared" si="21"/>
        <v>55</v>
      </c>
      <c r="U28" s="5">
        <v>1843</v>
      </c>
      <c r="V28" s="6">
        <f t="shared" si="5"/>
        <v>103</v>
      </c>
      <c r="W28" s="5">
        <v>188</v>
      </c>
      <c r="X28" s="6">
        <f t="shared" si="22"/>
        <v>12</v>
      </c>
      <c r="Y28" s="7">
        <f t="shared" si="9"/>
        <v>370</v>
      </c>
      <c r="Z28" s="7">
        <f t="shared" si="7"/>
        <v>170</v>
      </c>
      <c r="AA28" s="7">
        <f t="shared" si="8"/>
        <v>540</v>
      </c>
      <c r="AB28" s="17">
        <f t="shared" si="10"/>
        <v>-100</v>
      </c>
      <c r="AC28" s="17">
        <f t="shared" si="11"/>
        <v>-1</v>
      </c>
      <c r="AD28" s="17">
        <f t="shared" si="12"/>
        <v>-101</v>
      </c>
    </row>
    <row r="29" spans="1:30" hidden="1" x14ac:dyDescent="0.3">
      <c r="A29" s="9" t="s">
        <v>68</v>
      </c>
      <c r="B29" s="10">
        <v>45862</v>
      </c>
      <c r="C29" s="5">
        <v>12975</v>
      </c>
      <c r="D29" s="6">
        <f t="shared" si="16"/>
        <v>479</v>
      </c>
      <c r="E29" s="5">
        <v>0</v>
      </c>
      <c r="F29" s="6">
        <f t="shared" si="16"/>
        <v>0</v>
      </c>
      <c r="G29" s="5">
        <v>3624</v>
      </c>
      <c r="H29" s="6">
        <f t="shared" si="17"/>
        <v>230</v>
      </c>
      <c r="I29" s="5">
        <v>209</v>
      </c>
      <c r="J29" s="6">
        <f t="shared" si="18"/>
        <v>9</v>
      </c>
      <c r="K29" s="5">
        <v>1764</v>
      </c>
      <c r="L29" s="6">
        <f t="shared" si="18"/>
        <v>138</v>
      </c>
      <c r="M29" s="5">
        <v>14</v>
      </c>
      <c r="N29" s="12">
        <f t="shared" si="19"/>
        <v>2</v>
      </c>
      <c r="O29" s="13">
        <v>3399</v>
      </c>
      <c r="P29" s="6">
        <f t="shared" si="20"/>
        <v>173</v>
      </c>
      <c r="Q29" s="5">
        <v>0</v>
      </c>
      <c r="R29" s="6">
        <f t="shared" si="3"/>
        <v>0</v>
      </c>
      <c r="S29" s="5">
        <v>1311</v>
      </c>
      <c r="T29" s="6">
        <f t="shared" si="21"/>
        <v>55</v>
      </c>
      <c r="U29" s="5">
        <v>1946</v>
      </c>
      <c r="V29" s="6">
        <f t="shared" si="5"/>
        <v>99</v>
      </c>
      <c r="W29" s="5">
        <v>200</v>
      </c>
      <c r="X29" s="6">
        <f t="shared" si="22"/>
        <v>13</v>
      </c>
      <c r="Y29" s="7">
        <f t="shared" si="9"/>
        <v>379</v>
      </c>
      <c r="Z29" s="7">
        <f t="shared" si="7"/>
        <v>167</v>
      </c>
      <c r="AA29" s="7">
        <f t="shared" si="8"/>
        <v>546</v>
      </c>
      <c r="AB29" s="17">
        <f t="shared" si="10"/>
        <v>-100</v>
      </c>
      <c r="AC29" s="17">
        <f t="shared" si="11"/>
        <v>-6</v>
      </c>
      <c r="AD29" s="17">
        <f t="shared" si="12"/>
        <v>-106</v>
      </c>
    </row>
    <row r="30" spans="1:30" hidden="1" x14ac:dyDescent="0.3">
      <c r="A30" s="9" t="s">
        <v>69</v>
      </c>
      <c r="B30" s="10">
        <v>45863</v>
      </c>
      <c r="C30" s="5">
        <v>13454</v>
      </c>
      <c r="D30" s="6">
        <f t="shared" si="16"/>
        <v>645</v>
      </c>
      <c r="E30" s="5">
        <v>0</v>
      </c>
      <c r="F30" s="6">
        <f t="shared" si="16"/>
        <v>0</v>
      </c>
      <c r="G30" s="5">
        <v>3854</v>
      </c>
      <c r="H30" s="6">
        <f t="shared" si="17"/>
        <v>328</v>
      </c>
      <c r="I30" s="5">
        <v>218</v>
      </c>
      <c r="J30" s="6">
        <f t="shared" si="18"/>
        <v>11</v>
      </c>
      <c r="K30" s="5">
        <v>1902</v>
      </c>
      <c r="L30" s="6">
        <f t="shared" si="18"/>
        <v>163</v>
      </c>
      <c r="M30" s="5">
        <v>16</v>
      </c>
      <c r="N30" s="12">
        <f t="shared" si="19"/>
        <v>2</v>
      </c>
      <c r="O30" s="13">
        <v>3572</v>
      </c>
      <c r="P30" s="6">
        <f t="shared" si="20"/>
        <v>233</v>
      </c>
      <c r="Q30" s="5">
        <v>0</v>
      </c>
      <c r="R30" s="6">
        <f t="shared" si="3"/>
        <v>0</v>
      </c>
      <c r="S30" s="5">
        <v>1366</v>
      </c>
      <c r="T30" s="6">
        <f t="shared" si="21"/>
        <v>71</v>
      </c>
      <c r="U30" s="5">
        <v>2045</v>
      </c>
      <c r="V30" s="6">
        <f t="shared" si="5"/>
        <v>124</v>
      </c>
      <c r="W30" s="5">
        <v>213</v>
      </c>
      <c r="X30" s="6">
        <f t="shared" si="22"/>
        <v>10</v>
      </c>
      <c r="Y30" s="7">
        <f t="shared" si="9"/>
        <v>504</v>
      </c>
      <c r="Z30" s="7">
        <f t="shared" si="7"/>
        <v>205</v>
      </c>
      <c r="AA30" s="7">
        <f t="shared" si="8"/>
        <v>709</v>
      </c>
      <c r="AB30" s="17">
        <f t="shared" si="10"/>
        <v>-141</v>
      </c>
      <c r="AC30" s="17">
        <f t="shared" si="11"/>
        <v>-28</v>
      </c>
      <c r="AD30" s="17">
        <f t="shared" si="12"/>
        <v>-169</v>
      </c>
    </row>
    <row r="31" spans="1:30" hidden="1" x14ac:dyDescent="0.3">
      <c r="A31" s="9" t="s">
        <v>70</v>
      </c>
      <c r="B31" s="10">
        <v>45864</v>
      </c>
      <c r="C31" s="5">
        <v>14099</v>
      </c>
      <c r="D31" s="6">
        <f t="shared" ref="D31:F35" si="23">IF(C32&lt;&gt;"",C32-C31,"")</f>
        <v>497</v>
      </c>
      <c r="E31" s="5">
        <v>0</v>
      </c>
      <c r="F31" s="6">
        <f t="shared" si="23"/>
        <v>0</v>
      </c>
      <c r="G31" s="5">
        <v>4182</v>
      </c>
      <c r="H31" s="6">
        <f t="shared" si="17"/>
        <v>143</v>
      </c>
      <c r="I31" s="5">
        <v>229</v>
      </c>
      <c r="J31" s="6">
        <f t="shared" ref="J31:L35" si="24">IF(I32&lt;&gt;"",I32-I31,"")</f>
        <v>16</v>
      </c>
      <c r="K31" s="5">
        <v>2065</v>
      </c>
      <c r="L31" s="6">
        <f t="shared" si="24"/>
        <v>191</v>
      </c>
      <c r="M31" s="5">
        <v>18</v>
      </c>
      <c r="N31" s="12">
        <f t="shared" si="19"/>
        <v>2</v>
      </c>
      <c r="O31" s="13">
        <v>3805</v>
      </c>
      <c r="P31" s="6">
        <f t="shared" si="20"/>
        <v>197</v>
      </c>
      <c r="Q31" s="5">
        <v>0</v>
      </c>
      <c r="R31" s="6">
        <f t="shared" si="3"/>
        <v>0</v>
      </c>
      <c r="S31" s="5">
        <v>1437</v>
      </c>
      <c r="T31" s="6">
        <f t="shared" si="21"/>
        <v>118</v>
      </c>
      <c r="U31" s="5">
        <v>2169</v>
      </c>
      <c r="V31" s="6">
        <f t="shared" si="5"/>
        <v>95</v>
      </c>
      <c r="W31" s="5">
        <v>223</v>
      </c>
      <c r="X31" s="6">
        <f t="shared" si="22"/>
        <v>9</v>
      </c>
      <c r="Y31" s="7">
        <f t="shared" si="9"/>
        <v>352</v>
      </c>
      <c r="Z31" s="7">
        <f t="shared" si="7"/>
        <v>222</v>
      </c>
      <c r="AA31" s="7">
        <f t="shared" si="8"/>
        <v>574</v>
      </c>
      <c r="AB31" s="17">
        <f t="shared" si="10"/>
        <v>-145</v>
      </c>
      <c r="AC31" s="17">
        <f t="shared" si="11"/>
        <v>25</v>
      </c>
      <c r="AD31" s="17">
        <f t="shared" si="12"/>
        <v>-120</v>
      </c>
    </row>
    <row r="32" spans="1:30" hidden="1" x14ac:dyDescent="0.3">
      <c r="A32" s="9" t="s">
        <v>71</v>
      </c>
      <c r="B32" s="10">
        <v>45865</v>
      </c>
      <c r="C32" s="5">
        <v>14596</v>
      </c>
      <c r="D32" s="6">
        <f>IF(C33&lt;&gt;"",C33-C32,"")</f>
        <v>0</v>
      </c>
      <c r="E32" s="5">
        <v>0</v>
      </c>
      <c r="F32" s="6">
        <f>IF(E33&lt;&gt;"",E33-E32,"")</f>
        <v>0</v>
      </c>
      <c r="G32" s="5">
        <v>4325</v>
      </c>
      <c r="H32" s="6">
        <f>IF(G33&lt;&gt;"",G33-G32,"")</f>
        <v>0</v>
      </c>
      <c r="I32" s="5">
        <v>245</v>
      </c>
      <c r="J32" s="6">
        <f>IF(I33&lt;&gt;"",I33-I32,"")</f>
        <v>0</v>
      </c>
      <c r="K32" s="5">
        <v>2256</v>
      </c>
      <c r="L32" s="6">
        <f>IF(K33&lt;&gt;"",K33-K32,"")</f>
        <v>0</v>
      </c>
      <c r="M32" s="5">
        <v>20</v>
      </c>
      <c r="N32" s="12">
        <f>IF(M33&lt;&gt;"",M33-M32,"")</f>
        <v>0</v>
      </c>
      <c r="O32" s="13">
        <v>4002</v>
      </c>
      <c r="P32" s="6">
        <f>IF(O33&lt;&gt;"",O33-O32,"")</f>
        <v>0</v>
      </c>
      <c r="Q32" s="5">
        <v>0</v>
      </c>
      <c r="R32" s="6">
        <f>IF(Q33&lt;&gt;"",Q33-Q32,"")</f>
        <v>0</v>
      </c>
      <c r="S32" s="5">
        <v>1555</v>
      </c>
      <c r="T32" s="6">
        <f>IF(S33&lt;&gt;"",S33-S32,"")</f>
        <v>0</v>
      </c>
      <c r="U32" s="5">
        <v>2264</v>
      </c>
      <c r="V32" s="6">
        <f>IF(U33&lt;&gt;"",U33-U32,"")</f>
        <v>0</v>
      </c>
      <c r="W32" s="5">
        <v>232</v>
      </c>
      <c r="X32" s="6">
        <f>IF(W33&lt;&gt;"",W33-W32,"")</f>
        <v>0</v>
      </c>
      <c r="Y32" s="7">
        <f t="shared" si="9"/>
        <v>0</v>
      </c>
      <c r="Z32" s="7">
        <f t="shared" si="7"/>
        <v>0</v>
      </c>
      <c r="AA32" s="7">
        <f t="shared" si="8"/>
        <v>0</v>
      </c>
      <c r="AB32" s="17">
        <f t="shared" si="10"/>
        <v>0</v>
      </c>
      <c r="AC32" s="17">
        <f t="shared" si="11"/>
        <v>0</v>
      </c>
      <c r="AD32" s="17">
        <f t="shared" si="12"/>
        <v>0</v>
      </c>
    </row>
    <row r="33" spans="1:30" hidden="1" x14ac:dyDescent="0.3">
      <c r="A33" s="9" t="s">
        <v>72</v>
      </c>
      <c r="B33" s="10">
        <v>45866</v>
      </c>
      <c r="C33" s="5">
        <v>14596</v>
      </c>
      <c r="D33" s="6">
        <f t="shared" si="23"/>
        <v>773</v>
      </c>
      <c r="E33" s="5">
        <v>0</v>
      </c>
      <c r="F33" s="6">
        <f t="shared" si="23"/>
        <v>0</v>
      </c>
      <c r="G33" s="5">
        <v>4325</v>
      </c>
      <c r="H33" s="6">
        <f t="shared" si="17"/>
        <v>406</v>
      </c>
      <c r="I33" s="5">
        <v>245</v>
      </c>
      <c r="J33" s="6">
        <f t="shared" si="24"/>
        <v>12</v>
      </c>
      <c r="K33" s="5">
        <v>2256</v>
      </c>
      <c r="L33" s="6">
        <f t="shared" si="24"/>
        <v>74</v>
      </c>
      <c r="M33" s="5">
        <v>20</v>
      </c>
      <c r="N33" s="12">
        <f t="shared" si="19"/>
        <v>2</v>
      </c>
      <c r="O33" s="13">
        <v>4002</v>
      </c>
      <c r="P33" s="6">
        <f t="shared" si="20"/>
        <v>256</v>
      </c>
      <c r="Q33" s="5">
        <v>0</v>
      </c>
      <c r="R33" s="6">
        <f t="shared" si="3"/>
        <v>0</v>
      </c>
      <c r="S33" s="5">
        <v>1555</v>
      </c>
      <c r="T33" s="6">
        <f t="shared" si="21"/>
        <v>52</v>
      </c>
      <c r="U33" s="5">
        <v>2264</v>
      </c>
      <c r="V33" s="6">
        <f t="shared" si="5"/>
        <v>124</v>
      </c>
      <c r="W33" s="5">
        <v>232</v>
      </c>
      <c r="X33" s="6">
        <f t="shared" si="22"/>
        <v>13</v>
      </c>
      <c r="Y33" s="7">
        <f t="shared" si="9"/>
        <v>494</v>
      </c>
      <c r="Z33" s="7">
        <f t="shared" si="7"/>
        <v>189</v>
      </c>
      <c r="AA33" s="7">
        <f t="shared" si="8"/>
        <v>683</v>
      </c>
      <c r="AB33" s="17">
        <f t="shared" si="10"/>
        <v>-279</v>
      </c>
      <c r="AC33" s="17">
        <f t="shared" si="11"/>
        <v>-67</v>
      </c>
      <c r="AD33" s="17">
        <f t="shared" si="12"/>
        <v>-346</v>
      </c>
    </row>
    <row r="34" spans="1:30" hidden="1" x14ac:dyDescent="0.3">
      <c r="A34" s="9" t="s">
        <v>66</v>
      </c>
      <c r="B34" s="10">
        <v>45867</v>
      </c>
      <c r="C34" s="5">
        <v>15369</v>
      </c>
      <c r="D34" s="6">
        <f t="shared" si="23"/>
        <v>587</v>
      </c>
      <c r="E34" s="5">
        <v>0</v>
      </c>
      <c r="F34" s="6">
        <f t="shared" si="23"/>
        <v>0</v>
      </c>
      <c r="G34" s="5">
        <v>4731</v>
      </c>
      <c r="H34" s="6">
        <f t="shared" si="17"/>
        <v>227</v>
      </c>
      <c r="I34" s="5">
        <v>257</v>
      </c>
      <c r="J34" s="6">
        <f t="shared" si="24"/>
        <v>11</v>
      </c>
      <c r="K34" s="5">
        <v>2330</v>
      </c>
      <c r="L34" s="6">
        <f t="shared" si="24"/>
        <v>128</v>
      </c>
      <c r="M34" s="5">
        <v>22</v>
      </c>
      <c r="N34" s="12">
        <f t="shared" si="19"/>
        <v>0</v>
      </c>
      <c r="O34" s="13">
        <v>4258</v>
      </c>
      <c r="P34" s="6">
        <f t="shared" si="20"/>
        <v>209</v>
      </c>
      <c r="Q34" s="5">
        <v>0</v>
      </c>
      <c r="R34" s="6">
        <f t="shared" si="3"/>
        <v>0</v>
      </c>
      <c r="S34" s="5">
        <v>1607</v>
      </c>
      <c r="T34" s="6">
        <f t="shared" si="21"/>
        <v>94</v>
      </c>
      <c r="U34" s="5">
        <v>2388</v>
      </c>
      <c r="V34" s="6">
        <f t="shared" si="5"/>
        <v>78</v>
      </c>
      <c r="W34" s="5">
        <v>245</v>
      </c>
      <c r="X34" s="6">
        <f t="shared" si="22"/>
        <v>9</v>
      </c>
      <c r="Y34" s="7">
        <f t="shared" si="9"/>
        <v>366</v>
      </c>
      <c r="Z34" s="7">
        <f t="shared" si="7"/>
        <v>181</v>
      </c>
      <c r="AA34" s="7">
        <f t="shared" si="8"/>
        <v>547</v>
      </c>
      <c r="AB34" s="17">
        <f t="shared" si="10"/>
        <v>-221</v>
      </c>
      <c r="AC34" s="17">
        <f t="shared" si="11"/>
        <v>-28</v>
      </c>
      <c r="AD34" s="17">
        <f t="shared" si="12"/>
        <v>-249</v>
      </c>
    </row>
    <row r="35" spans="1:30" hidden="1" x14ac:dyDescent="0.3">
      <c r="A35" s="9" t="s">
        <v>67</v>
      </c>
      <c r="B35" s="10">
        <v>45868</v>
      </c>
      <c r="C35" s="5">
        <v>15956</v>
      </c>
      <c r="D35" s="6">
        <f t="shared" si="23"/>
        <v>608</v>
      </c>
      <c r="E35" s="5">
        <v>0</v>
      </c>
      <c r="F35" s="6">
        <f t="shared" si="23"/>
        <v>0</v>
      </c>
      <c r="G35" s="5">
        <v>4958</v>
      </c>
      <c r="H35" s="6">
        <f t="shared" si="17"/>
        <v>253</v>
      </c>
      <c r="I35" s="5">
        <v>268</v>
      </c>
      <c r="J35" s="6">
        <f t="shared" si="24"/>
        <v>14</v>
      </c>
      <c r="K35" s="5">
        <v>2458</v>
      </c>
      <c r="L35" s="6">
        <f t="shared" si="24"/>
        <v>112</v>
      </c>
      <c r="M35" s="5">
        <v>22</v>
      </c>
      <c r="N35" s="12">
        <f t="shared" si="19"/>
        <v>1</v>
      </c>
      <c r="O35" s="13">
        <v>4467</v>
      </c>
      <c r="P35" s="6">
        <f t="shared" si="20"/>
        <v>206</v>
      </c>
      <c r="Q35" s="5">
        <v>0</v>
      </c>
      <c r="R35" s="6">
        <f t="shared" si="3"/>
        <v>0</v>
      </c>
      <c r="S35" s="5">
        <v>1701</v>
      </c>
      <c r="T35" s="6">
        <f t="shared" si="21"/>
        <v>81</v>
      </c>
      <c r="U35" s="5">
        <v>2466</v>
      </c>
      <c r="V35" s="6">
        <f t="shared" si="5"/>
        <v>78</v>
      </c>
      <c r="W35" s="5">
        <v>254</v>
      </c>
      <c r="X35" s="6">
        <f t="shared" si="22"/>
        <v>10</v>
      </c>
      <c r="Y35" s="7">
        <f t="shared" si="9"/>
        <v>380</v>
      </c>
      <c r="Z35" s="7">
        <f t="shared" si="7"/>
        <v>169</v>
      </c>
      <c r="AA35" s="7">
        <f t="shared" si="8"/>
        <v>549</v>
      </c>
      <c r="AB35" s="17">
        <f t="shared" si="10"/>
        <v>-228</v>
      </c>
      <c r="AC35" s="17">
        <f t="shared" si="11"/>
        <v>-37</v>
      </c>
      <c r="AD35" s="17">
        <f t="shared" si="12"/>
        <v>-265</v>
      </c>
    </row>
    <row r="36" spans="1:30" hidden="1" x14ac:dyDescent="0.3">
      <c r="A36" s="9" t="s">
        <v>68</v>
      </c>
      <c r="B36" s="10">
        <v>45869</v>
      </c>
      <c r="C36" s="5">
        <v>16564</v>
      </c>
      <c r="D36" s="6">
        <f>IF(C38&lt;&gt;"",C38-C36,"")</f>
        <v>659</v>
      </c>
      <c r="E36" s="5">
        <v>0</v>
      </c>
      <c r="F36" s="6">
        <f>IF(E38&lt;&gt;"",E38-E36,"")</f>
        <v>0</v>
      </c>
      <c r="G36" s="5">
        <v>5211</v>
      </c>
      <c r="H36" s="6">
        <f>IF(G38&lt;&gt;"",G38-G36,"")</f>
        <v>284</v>
      </c>
      <c r="I36" s="5">
        <v>282</v>
      </c>
      <c r="J36" s="6">
        <f>IF(I38&lt;&gt;"",I38-I36,"")</f>
        <v>5</v>
      </c>
      <c r="K36" s="5">
        <v>2570</v>
      </c>
      <c r="L36" s="6">
        <f>IF(K38&lt;&gt;"",K38-K36,"")</f>
        <v>117</v>
      </c>
      <c r="M36" s="5">
        <v>23</v>
      </c>
      <c r="N36" s="12">
        <f>IF(M38&lt;&gt;"",M38-M36,"")</f>
        <v>1</v>
      </c>
      <c r="O36" s="13">
        <v>4673</v>
      </c>
      <c r="P36" s="6">
        <f>IF(O38&lt;&gt;"",O38-O36,"")</f>
        <v>183</v>
      </c>
      <c r="Q36" s="5">
        <v>0</v>
      </c>
      <c r="R36" s="6">
        <f>IF(Q38&lt;&gt;"",Q38-Q36,"")</f>
        <v>0</v>
      </c>
      <c r="S36" s="5">
        <v>1782</v>
      </c>
      <c r="T36" s="6">
        <f>IF(S38&lt;&gt;"",S38-S36,"")</f>
        <v>79</v>
      </c>
      <c r="U36" s="5">
        <v>2544</v>
      </c>
      <c r="V36" s="6">
        <f>IF(U38&lt;&gt;"",U38-U36,"")</f>
        <v>89</v>
      </c>
      <c r="W36" s="5">
        <v>264</v>
      </c>
      <c r="X36" s="6">
        <f>IF(W38&lt;&gt;"",W38-W36,"")</f>
        <v>12</v>
      </c>
      <c r="Y36" s="7">
        <f t="shared" si="9"/>
        <v>407</v>
      </c>
      <c r="Z36" s="7">
        <f t="shared" si="7"/>
        <v>180</v>
      </c>
      <c r="AA36" s="7">
        <f t="shared" si="8"/>
        <v>587</v>
      </c>
      <c r="AB36" s="17">
        <f t="shared" si="10"/>
        <v>-252</v>
      </c>
      <c r="AC36" s="17">
        <f t="shared" si="11"/>
        <v>-3</v>
      </c>
      <c r="AD36" s="17">
        <f t="shared" si="12"/>
        <v>-255</v>
      </c>
    </row>
    <row r="37" spans="1:30" ht="36" hidden="1" customHeight="1" x14ac:dyDescent="0.3">
      <c r="A37" s="152" t="s">
        <v>73</v>
      </c>
      <c r="B37" s="153"/>
      <c r="C37" s="8"/>
      <c r="D37" s="11">
        <f>SUM(D4:D35)</f>
        <v>11243</v>
      </c>
      <c r="E37" s="8"/>
      <c r="F37" s="11">
        <f>SUM(F4:F35)</f>
        <v>0</v>
      </c>
      <c r="G37" s="8"/>
      <c r="H37" s="11">
        <f>SUM(H4:H35)</f>
        <v>5201</v>
      </c>
      <c r="I37" s="8"/>
      <c r="J37" s="11">
        <f>SUM(J4:J35)</f>
        <v>258</v>
      </c>
      <c r="K37" s="8"/>
      <c r="L37" s="11">
        <f>SUM(L4:L35)</f>
        <v>2555</v>
      </c>
      <c r="M37" s="8"/>
      <c r="N37" s="14">
        <f>SUM(N4:N35)</f>
        <v>23</v>
      </c>
      <c r="O37" s="15"/>
      <c r="P37" s="11">
        <f>SUM(P4:P35)</f>
        <v>4653</v>
      </c>
      <c r="Q37" s="8"/>
      <c r="R37" s="11">
        <f>SUM(R4:R35)</f>
        <v>0</v>
      </c>
      <c r="S37" s="8"/>
      <c r="T37" s="11">
        <f>SUM(T4:T35)</f>
        <v>1732</v>
      </c>
      <c r="U37" s="8"/>
      <c r="V37" s="11">
        <f>SUM(V4:V35)</f>
        <v>2373</v>
      </c>
      <c r="W37" s="8"/>
      <c r="X37" s="11">
        <f>SUM(X4:X35)</f>
        <v>261</v>
      </c>
      <c r="Y37" s="7">
        <f>SUM(F37,H37,J37,L37,N37)</f>
        <v>8037</v>
      </c>
      <c r="Z37" s="7">
        <f>SUM(R37,T37,V37,X37)</f>
        <v>4366</v>
      </c>
      <c r="AA37" s="7">
        <f>SUM(F37,H37,J37,L37,N37,R37,T37,V37,X37)</f>
        <v>12403</v>
      </c>
      <c r="AB37" s="17">
        <f>Y37-D37</f>
        <v>-3206</v>
      </c>
      <c r="AC37" s="17">
        <f t="shared" si="11"/>
        <v>-287</v>
      </c>
      <c r="AD37" s="17">
        <f>AA37-(D37+P37)</f>
        <v>-3493</v>
      </c>
    </row>
    <row r="38" spans="1:30" hidden="1" x14ac:dyDescent="0.3">
      <c r="A38" s="9" t="s">
        <v>69</v>
      </c>
      <c r="B38" s="33">
        <v>45870</v>
      </c>
      <c r="C38" s="5">
        <v>17223</v>
      </c>
      <c r="D38" s="6">
        <f t="shared" ref="D38:D68" si="25">IF(C39&lt;&gt;"",C39-C38,"")</f>
        <v>429</v>
      </c>
      <c r="E38" s="5">
        <v>0</v>
      </c>
      <c r="F38" s="6">
        <f t="shared" ref="F38:F46" si="26">IF(E39&lt;&gt;"",E39-E38,"")</f>
        <v>0</v>
      </c>
      <c r="G38" s="5">
        <v>5495</v>
      </c>
      <c r="H38" s="6">
        <f t="shared" ref="H38:H46" si="27">IF(G39&lt;&gt;"",G39-G38,"")</f>
        <v>217</v>
      </c>
      <c r="I38" s="5">
        <v>287</v>
      </c>
      <c r="J38" s="6">
        <f>IF(I39&lt;&gt;"",I39-I38,"")</f>
        <v>0</v>
      </c>
      <c r="K38" s="5">
        <v>2687</v>
      </c>
      <c r="L38" s="6">
        <f>IF(K39&lt;&gt;"",K39-K38,"")</f>
        <v>82</v>
      </c>
      <c r="M38" s="5">
        <v>24</v>
      </c>
      <c r="N38" s="12">
        <f t="shared" ref="N38:N46" si="28">IF(M39&lt;&gt;"",M39-M38,"")</f>
        <v>1</v>
      </c>
      <c r="O38" s="13">
        <v>4856</v>
      </c>
      <c r="P38" s="6">
        <f t="shared" ref="P38:P46" si="29">IF(O39&lt;&gt;"",O39-O38,"")</f>
        <v>165</v>
      </c>
      <c r="Q38" s="5">
        <v>0</v>
      </c>
      <c r="R38" s="6">
        <f t="shared" ref="R38:R68" si="30">IF(Q39&lt;&gt;"",Q39-Q38,"")</f>
        <v>0</v>
      </c>
      <c r="S38" s="5">
        <v>1861</v>
      </c>
      <c r="T38" s="6">
        <f t="shared" ref="T38:T46" si="31">IF(S39&lt;&gt;"",S39-S38,"")</f>
        <v>70</v>
      </c>
      <c r="U38" s="5">
        <v>2633</v>
      </c>
      <c r="V38" s="6">
        <f t="shared" ref="V38:V68" si="32">IF(U39&lt;&gt;"",U39-U38,"")</f>
        <v>71</v>
      </c>
      <c r="W38" s="5">
        <v>276</v>
      </c>
      <c r="X38" s="6">
        <f t="shared" ref="X38:X46" si="33">IF(W39&lt;&gt;"",W39-W38,"")</f>
        <v>10</v>
      </c>
      <c r="Y38" s="7">
        <f t="shared" ref="Y38:Y69" si="34">SUM(F38,H38,J38,L38,N38)</f>
        <v>300</v>
      </c>
      <c r="Z38" s="7">
        <f t="shared" ref="Z38:Z69" si="35">SUM(R38,T38,V38,X38)</f>
        <v>151</v>
      </c>
      <c r="AA38" s="7">
        <f t="shared" ref="AA38:AA70" si="36">SUM(F38,H38,J38,L38,N38,R38,T38,V38,X38)</f>
        <v>451</v>
      </c>
      <c r="AB38" s="17">
        <f t="shared" ref="AB38:AB69" si="37">Y38-D38</f>
        <v>-129</v>
      </c>
      <c r="AC38" s="17">
        <f t="shared" ref="AC38:AC69" si="38">Z38-P38</f>
        <v>-14</v>
      </c>
      <c r="AD38" s="17">
        <f t="shared" ref="AD38:AD69" si="39">AA38-(D38+P38)</f>
        <v>-143</v>
      </c>
    </row>
    <row r="39" spans="1:30" ht="15.9" hidden="1" customHeight="1" x14ac:dyDescent="0.3">
      <c r="A39" s="9" t="s">
        <v>70</v>
      </c>
      <c r="B39" s="33">
        <v>45871</v>
      </c>
      <c r="C39" s="5">
        <v>17652</v>
      </c>
      <c r="D39" s="6">
        <f t="shared" si="25"/>
        <v>441</v>
      </c>
      <c r="E39" s="5">
        <v>0</v>
      </c>
      <c r="F39" s="6">
        <f t="shared" si="26"/>
        <v>0</v>
      </c>
      <c r="G39" s="5">
        <v>5712</v>
      </c>
      <c r="H39" s="6">
        <f t="shared" si="27"/>
        <v>191</v>
      </c>
      <c r="I39" s="5">
        <v>287</v>
      </c>
      <c r="J39" s="6">
        <f>IF(I40&lt;&gt;"",I40-I39,"")</f>
        <v>5</v>
      </c>
      <c r="K39" s="5">
        <v>2769</v>
      </c>
      <c r="L39" s="6">
        <f>IF(K40&lt;&gt;"",K40-K39,"")</f>
        <v>83</v>
      </c>
      <c r="M39" s="5">
        <v>25</v>
      </c>
      <c r="N39" s="12">
        <f t="shared" si="28"/>
        <v>1</v>
      </c>
      <c r="O39" s="13">
        <v>5021</v>
      </c>
      <c r="P39" s="6">
        <f t="shared" si="29"/>
        <v>158</v>
      </c>
      <c r="Q39" s="5">
        <v>0</v>
      </c>
      <c r="R39" s="6">
        <f t="shared" si="30"/>
        <v>0</v>
      </c>
      <c r="S39" s="5">
        <v>1931</v>
      </c>
      <c r="T39" s="6">
        <f t="shared" si="31"/>
        <v>67</v>
      </c>
      <c r="U39" s="5">
        <v>2704</v>
      </c>
      <c r="V39" s="6">
        <f t="shared" si="32"/>
        <v>56</v>
      </c>
      <c r="W39" s="5">
        <v>286</v>
      </c>
      <c r="X39" s="6">
        <f t="shared" si="33"/>
        <v>10</v>
      </c>
      <c r="Y39" s="7">
        <f t="shared" si="34"/>
        <v>280</v>
      </c>
      <c r="Z39" s="7">
        <f t="shared" si="35"/>
        <v>133</v>
      </c>
      <c r="AA39" s="7">
        <f t="shared" si="36"/>
        <v>413</v>
      </c>
      <c r="AB39" s="17">
        <f t="shared" si="37"/>
        <v>-161</v>
      </c>
      <c r="AC39" s="17">
        <f t="shared" si="38"/>
        <v>-25</v>
      </c>
      <c r="AD39" s="17">
        <f t="shared" si="39"/>
        <v>-186</v>
      </c>
    </row>
    <row r="40" spans="1:30" hidden="1" x14ac:dyDescent="0.3">
      <c r="A40" s="9" t="s">
        <v>71</v>
      </c>
      <c r="B40" s="33">
        <v>45872</v>
      </c>
      <c r="C40" s="5">
        <v>18093</v>
      </c>
      <c r="D40" s="6">
        <f t="shared" si="25"/>
        <v>0</v>
      </c>
      <c r="E40" s="5">
        <v>0</v>
      </c>
      <c r="F40" s="6">
        <f t="shared" si="26"/>
        <v>0</v>
      </c>
      <c r="G40" s="5">
        <v>5903</v>
      </c>
      <c r="H40" s="6">
        <f t="shared" si="27"/>
        <v>0</v>
      </c>
      <c r="I40" s="5">
        <v>292</v>
      </c>
      <c r="J40" s="6">
        <f t="shared" ref="J40:L41" si="40">IF(I41&lt;&gt;"",I41-I40,"")</f>
        <v>0</v>
      </c>
      <c r="K40" s="5">
        <v>2852</v>
      </c>
      <c r="L40" s="6">
        <f t="shared" si="40"/>
        <v>0</v>
      </c>
      <c r="M40" s="5">
        <v>26</v>
      </c>
      <c r="N40" s="12">
        <f t="shared" si="28"/>
        <v>0</v>
      </c>
      <c r="O40" s="13">
        <v>5179</v>
      </c>
      <c r="P40" s="6">
        <f t="shared" si="29"/>
        <v>0</v>
      </c>
      <c r="Q40" s="5">
        <v>0</v>
      </c>
      <c r="R40" s="6">
        <f t="shared" si="30"/>
        <v>0</v>
      </c>
      <c r="S40" s="5">
        <v>1998</v>
      </c>
      <c r="T40" s="6">
        <f t="shared" si="31"/>
        <v>0</v>
      </c>
      <c r="U40" s="5">
        <v>2760</v>
      </c>
      <c r="V40" s="6">
        <f t="shared" si="32"/>
        <v>0</v>
      </c>
      <c r="W40" s="5">
        <v>296</v>
      </c>
      <c r="X40" s="6">
        <f t="shared" si="33"/>
        <v>0</v>
      </c>
      <c r="Y40" s="7">
        <f t="shared" si="34"/>
        <v>0</v>
      </c>
      <c r="Z40" s="7">
        <f t="shared" si="35"/>
        <v>0</v>
      </c>
      <c r="AA40" s="7">
        <f t="shared" si="36"/>
        <v>0</v>
      </c>
      <c r="AB40" s="17">
        <f t="shared" si="37"/>
        <v>0</v>
      </c>
      <c r="AC40" s="17">
        <f t="shared" si="38"/>
        <v>0</v>
      </c>
      <c r="AD40" s="17">
        <f t="shared" si="39"/>
        <v>0</v>
      </c>
    </row>
    <row r="41" spans="1:30" hidden="1" x14ac:dyDescent="0.3">
      <c r="A41" s="9" t="s">
        <v>72</v>
      </c>
      <c r="B41" s="33">
        <v>45873</v>
      </c>
      <c r="C41" s="5">
        <v>18093</v>
      </c>
      <c r="D41" s="6">
        <f t="shared" si="25"/>
        <v>505</v>
      </c>
      <c r="E41" s="5">
        <v>0</v>
      </c>
      <c r="F41" s="6">
        <f t="shared" si="26"/>
        <v>0</v>
      </c>
      <c r="G41" s="5">
        <v>5903</v>
      </c>
      <c r="H41" s="6">
        <f t="shared" si="27"/>
        <v>205</v>
      </c>
      <c r="I41" s="5">
        <v>292</v>
      </c>
      <c r="J41" s="6">
        <f t="shared" si="40"/>
        <v>8</v>
      </c>
      <c r="K41" s="5">
        <v>2852</v>
      </c>
      <c r="L41" s="6">
        <f t="shared" si="40"/>
        <v>85</v>
      </c>
      <c r="M41" s="5">
        <v>26</v>
      </c>
      <c r="N41" s="12">
        <f t="shared" si="28"/>
        <v>2</v>
      </c>
      <c r="O41" s="13">
        <v>5179</v>
      </c>
      <c r="P41" s="6">
        <f t="shared" si="29"/>
        <v>192</v>
      </c>
      <c r="Q41" s="5">
        <v>0</v>
      </c>
      <c r="R41" s="6">
        <f t="shared" si="30"/>
        <v>3</v>
      </c>
      <c r="S41" s="5">
        <v>1998</v>
      </c>
      <c r="T41" s="6">
        <f t="shared" si="31"/>
        <v>91</v>
      </c>
      <c r="U41" s="5">
        <v>2760</v>
      </c>
      <c r="V41" s="6">
        <f t="shared" si="32"/>
        <v>63</v>
      </c>
      <c r="W41" s="5">
        <v>296</v>
      </c>
      <c r="X41" s="6">
        <f t="shared" si="33"/>
        <v>13</v>
      </c>
      <c r="Y41" s="7">
        <f t="shared" si="34"/>
        <v>300</v>
      </c>
      <c r="Z41" s="7">
        <f t="shared" si="35"/>
        <v>170</v>
      </c>
      <c r="AA41" s="7">
        <f t="shared" si="36"/>
        <v>470</v>
      </c>
      <c r="AB41" s="17">
        <f t="shared" si="37"/>
        <v>-205</v>
      </c>
      <c r="AC41" s="17">
        <f t="shared" si="38"/>
        <v>-22</v>
      </c>
      <c r="AD41" s="17">
        <f t="shared" si="39"/>
        <v>-227</v>
      </c>
    </row>
    <row r="42" spans="1:30" hidden="1" x14ac:dyDescent="0.3">
      <c r="A42" s="9" t="s">
        <v>66</v>
      </c>
      <c r="B42" s="33">
        <v>45874</v>
      </c>
      <c r="C42" s="5">
        <v>18598</v>
      </c>
      <c r="D42" s="6">
        <f t="shared" si="25"/>
        <v>555</v>
      </c>
      <c r="E42" s="5">
        <v>0</v>
      </c>
      <c r="F42" s="6">
        <f t="shared" si="26"/>
        <v>0</v>
      </c>
      <c r="G42" s="5">
        <v>6108</v>
      </c>
      <c r="H42" s="6">
        <f t="shared" si="27"/>
        <v>214</v>
      </c>
      <c r="I42" s="5">
        <v>300</v>
      </c>
      <c r="J42" s="6">
        <f>IF(I43&lt;&gt;"",I43-I42,"")</f>
        <v>11</v>
      </c>
      <c r="K42" s="5">
        <v>2937</v>
      </c>
      <c r="L42" s="6">
        <f>IF(K43&lt;&gt;"",K43-K42,"")</f>
        <v>91</v>
      </c>
      <c r="M42" s="5">
        <v>28</v>
      </c>
      <c r="N42" s="12">
        <f t="shared" si="28"/>
        <v>8</v>
      </c>
      <c r="O42" s="13">
        <v>5371</v>
      </c>
      <c r="P42" s="6">
        <f t="shared" si="29"/>
        <v>176</v>
      </c>
      <c r="Q42" s="5">
        <v>3</v>
      </c>
      <c r="R42" s="6">
        <f t="shared" si="30"/>
        <v>0</v>
      </c>
      <c r="S42" s="5">
        <v>2089</v>
      </c>
      <c r="T42" s="6">
        <f t="shared" si="31"/>
        <v>73</v>
      </c>
      <c r="U42" s="5">
        <v>2823</v>
      </c>
      <c r="V42" s="6">
        <f t="shared" si="32"/>
        <v>66</v>
      </c>
      <c r="W42" s="5">
        <v>309</v>
      </c>
      <c r="X42" s="6">
        <f t="shared" si="33"/>
        <v>10</v>
      </c>
      <c r="Y42" s="7">
        <f t="shared" si="34"/>
        <v>324</v>
      </c>
      <c r="Z42" s="7">
        <f t="shared" si="35"/>
        <v>149</v>
      </c>
      <c r="AA42" s="7">
        <f t="shared" si="36"/>
        <v>473</v>
      </c>
      <c r="AB42" s="17">
        <f t="shared" si="37"/>
        <v>-231</v>
      </c>
      <c r="AC42" s="17">
        <f t="shared" si="38"/>
        <v>-27</v>
      </c>
      <c r="AD42" s="17">
        <f t="shared" si="39"/>
        <v>-258</v>
      </c>
    </row>
    <row r="43" spans="1:30" hidden="1" x14ac:dyDescent="0.3">
      <c r="A43" s="9" t="s">
        <v>67</v>
      </c>
      <c r="B43" s="33">
        <v>45875</v>
      </c>
      <c r="C43" s="5">
        <v>19153</v>
      </c>
      <c r="D43" s="6">
        <f t="shared" si="25"/>
        <v>571</v>
      </c>
      <c r="E43" s="5">
        <v>0</v>
      </c>
      <c r="F43" s="6">
        <f t="shared" si="26"/>
        <v>0</v>
      </c>
      <c r="G43" s="5">
        <v>6322</v>
      </c>
      <c r="H43" s="6">
        <f t="shared" si="27"/>
        <v>199</v>
      </c>
      <c r="I43" s="5">
        <v>311</v>
      </c>
      <c r="J43" s="6">
        <f t="shared" ref="J43:L44" si="41">IF(I44&lt;&gt;"",I44-I43,"")</f>
        <v>21</v>
      </c>
      <c r="K43" s="5">
        <v>3028</v>
      </c>
      <c r="L43" s="6">
        <f t="shared" si="41"/>
        <v>96</v>
      </c>
      <c r="M43" s="5">
        <v>36</v>
      </c>
      <c r="N43" s="12">
        <f t="shared" si="28"/>
        <v>7</v>
      </c>
      <c r="O43" s="13">
        <v>5547</v>
      </c>
      <c r="P43" s="6">
        <f t="shared" si="29"/>
        <v>156</v>
      </c>
      <c r="Q43" s="5">
        <v>3</v>
      </c>
      <c r="R43" s="6">
        <f t="shared" si="30"/>
        <v>2</v>
      </c>
      <c r="S43" s="5">
        <v>2162</v>
      </c>
      <c r="T43" s="6">
        <f t="shared" si="31"/>
        <v>74</v>
      </c>
      <c r="U43" s="5">
        <v>2889</v>
      </c>
      <c r="V43" s="6">
        <f t="shared" si="32"/>
        <v>62</v>
      </c>
      <c r="W43" s="5">
        <v>319</v>
      </c>
      <c r="X43" s="6">
        <f t="shared" si="33"/>
        <v>15</v>
      </c>
      <c r="Y43" s="7">
        <f t="shared" si="34"/>
        <v>323</v>
      </c>
      <c r="Z43" s="7">
        <f t="shared" si="35"/>
        <v>153</v>
      </c>
      <c r="AA43" s="7">
        <f t="shared" si="36"/>
        <v>476</v>
      </c>
      <c r="AB43" s="17">
        <f t="shared" si="37"/>
        <v>-248</v>
      </c>
      <c r="AC43" s="17">
        <f t="shared" si="38"/>
        <v>-3</v>
      </c>
      <c r="AD43" s="17">
        <f t="shared" si="39"/>
        <v>-251</v>
      </c>
    </row>
    <row r="44" spans="1:30" hidden="1" x14ac:dyDescent="0.3">
      <c r="A44" s="9" t="s">
        <v>68</v>
      </c>
      <c r="B44" s="33">
        <v>45876</v>
      </c>
      <c r="C44" s="5">
        <v>19724</v>
      </c>
      <c r="D44" s="6">
        <f t="shared" si="25"/>
        <v>666</v>
      </c>
      <c r="E44" s="5">
        <v>0</v>
      </c>
      <c r="F44" s="6">
        <f t="shared" si="26"/>
        <v>0</v>
      </c>
      <c r="G44" s="5">
        <v>6521</v>
      </c>
      <c r="H44" s="6">
        <f t="shared" si="27"/>
        <v>241</v>
      </c>
      <c r="I44" s="5">
        <v>332</v>
      </c>
      <c r="J44" s="6">
        <f t="shared" si="41"/>
        <v>33</v>
      </c>
      <c r="K44" s="5">
        <v>3124</v>
      </c>
      <c r="L44" s="6">
        <f t="shared" si="41"/>
        <v>96</v>
      </c>
      <c r="M44" s="5">
        <v>43</v>
      </c>
      <c r="N44" s="12">
        <f t="shared" si="28"/>
        <v>1</v>
      </c>
      <c r="O44" s="13">
        <v>5703</v>
      </c>
      <c r="P44" s="6">
        <f t="shared" si="29"/>
        <v>199</v>
      </c>
      <c r="Q44" s="5">
        <v>5</v>
      </c>
      <c r="R44" s="6">
        <f t="shared" si="30"/>
        <v>3</v>
      </c>
      <c r="S44" s="5">
        <v>2236</v>
      </c>
      <c r="T44" s="6">
        <f t="shared" si="31"/>
        <v>80</v>
      </c>
      <c r="U44" s="5">
        <v>2951</v>
      </c>
      <c r="V44" s="6">
        <f t="shared" si="32"/>
        <v>67</v>
      </c>
      <c r="W44" s="5">
        <v>334</v>
      </c>
      <c r="X44" s="6">
        <f t="shared" si="33"/>
        <v>14</v>
      </c>
      <c r="Y44" s="7">
        <f t="shared" si="34"/>
        <v>371</v>
      </c>
      <c r="Z44" s="7">
        <f t="shared" si="35"/>
        <v>164</v>
      </c>
      <c r="AA44" s="7">
        <f t="shared" si="36"/>
        <v>535</v>
      </c>
      <c r="AB44" s="17">
        <f t="shared" si="37"/>
        <v>-295</v>
      </c>
      <c r="AC44" s="17">
        <f t="shared" si="38"/>
        <v>-35</v>
      </c>
      <c r="AD44" s="17">
        <f t="shared" si="39"/>
        <v>-330</v>
      </c>
    </row>
    <row r="45" spans="1:30" hidden="1" x14ac:dyDescent="0.3">
      <c r="A45" s="9" t="s">
        <v>69</v>
      </c>
      <c r="B45" s="33">
        <v>45877</v>
      </c>
      <c r="C45" s="5">
        <v>20390</v>
      </c>
      <c r="D45" s="6">
        <f t="shared" si="25"/>
        <v>487</v>
      </c>
      <c r="E45" s="5">
        <v>0</v>
      </c>
      <c r="F45" s="6">
        <f t="shared" si="26"/>
        <v>0</v>
      </c>
      <c r="G45" s="5">
        <v>6762</v>
      </c>
      <c r="H45" s="6">
        <f t="shared" si="27"/>
        <v>186</v>
      </c>
      <c r="I45" s="5">
        <v>365</v>
      </c>
      <c r="J45" s="6">
        <f>IF(I46&lt;&gt;"",I46-I45,"")</f>
        <v>43</v>
      </c>
      <c r="K45" s="5">
        <v>3220</v>
      </c>
      <c r="L45" s="6">
        <f>IF(K46&lt;&gt;"",K46-K45,"")</f>
        <v>76</v>
      </c>
      <c r="M45" s="5">
        <v>44</v>
      </c>
      <c r="N45" s="12">
        <f t="shared" si="28"/>
        <v>1</v>
      </c>
      <c r="O45" s="13">
        <v>5902</v>
      </c>
      <c r="P45" s="6">
        <f t="shared" si="29"/>
        <v>171</v>
      </c>
      <c r="Q45" s="5">
        <v>8</v>
      </c>
      <c r="R45" s="6">
        <f t="shared" si="30"/>
        <v>18</v>
      </c>
      <c r="S45" s="5">
        <v>2316</v>
      </c>
      <c r="T45" s="6">
        <f t="shared" si="31"/>
        <v>72</v>
      </c>
      <c r="U45" s="5">
        <v>3018</v>
      </c>
      <c r="V45" s="6">
        <f t="shared" si="32"/>
        <v>46</v>
      </c>
      <c r="W45" s="5">
        <v>348</v>
      </c>
      <c r="X45" s="6">
        <f t="shared" si="33"/>
        <v>11</v>
      </c>
      <c r="Y45" s="7">
        <f t="shared" si="34"/>
        <v>306</v>
      </c>
      <c r="Z45" s="7">
        <f t="shared" si="35"/>
        <v>147</v>
      </c>
      <c r="AA45" s="7">
        <f t="shared" si="36"/>
        <v>453</v>
      </c>
      <c r="AB45" s="17">
        <f t="shared" si="37"/>
        <v>-181</v>
      </c>
      <c r="AC45" s="17">
        <f t="shared" si="38"/>
        <v>-24</v>
      </c>
      <c r="AD45" s="17">
        <f t="shared" si="39"/>
        <v>-205</v>
      </c>
    </row>
    <row r="46" spans="1:30" hidden="1" x14ac:dyDescent="0.3">
      <c r="A46" s="9" t="s">
        <v>70</v>
      </c>
      <c r="B46" s="33">
        <v>45878</v>
      </c>
      <c r="C46" s="5">
        <v>20877</v>
      </c>
      <c r="D46" s="6">
        <f t="shared" si="25"/>
        <v>519</v>
      </c>
      <c r="E46" s="5">
        <v>0</v>
      </c>
      <c r="F46" s="6">
        <f t="shared" si="26"/>
        <v>0</v>
      </c>
      <c r="G46" s="5">
        <v>6948</v>
      </c>
      <c r="H46" s="6">
        <f t="shared" si="27"/>
        <v>199</v>
      </c>
      <c r="I46" s="5">
        <v>408</v>
      </c>
      <c r="J46" s="6">
        <f>IF(I47&lt;&gt;"",I47-I46,"")</f>
        <v>10</v>
      </c>
      <c r="K46" s="5">
        <v>3296</v>
      </c>
      <c r="L46" s="6">
        <f>IF(K47&lt;&gt;"",K47-K46,"")</f>
        <v>80</v>
      </c>
      <c r="M46" s="5">
        <v>45</v>
      </c>
      <c r="N46" s="12">
        <f t="shared" si="28"/>
        <v>4</v>
      </c>
      <c r="O46" s="13">
        <v>6073</v>
      </c>
      <c r="P46" s="6">
        <f t="shared" si="29"/>
        <v>152</v>
      </c>
      <c r="Q46" s="5">
        <v>26</v>
      </c>
      <c r="R46" s="6">
        <f t="shared" si="30"/>
        <v>0</v>
      </c>
      <c r="S46" s="5">
        <v>2388</v>
      </c>
      <c r="T46" s="6">
        <f t="shared" si="31"/>
        <v>61</v>
      </c>
      <c r="U46" s="5">
        <v>3064</v>
      </c>
      <c r="V46" s="6">
        <f t="shared" si="32"/>
        <v>55</v>
      </c>
      <c r="W46" s="5">
        <v>359</v>
      </c>
      <c r="X46" s="6">
        <f t="shared" si="33"/>
        <v>7</v>
      </c>
      <c r="Y46" s="7">
        <f t="shared" si="34"/>
        <v>293</v>
      </c>
      <c r="Z46" s="7">
        <f t="shared" si="35"/>
        <v>123</v>
      </c>
      <c r="AA46" s="7">
        <f t="shared" si="36"/>
        <v>416</v>
      </c>
      <c r="AB46" s="17">
        <f t="shared" si="37"/>
        <v>-226</v>
      </c>
      <c r="AC46" s="17">
        <f t="shared" si="38"/>
        <v>-29</v>
      </c>
      <c r="AD46" s="17">
        <f t="shared" si="39"/>
        <v>-255</v>
      </c>
    </row>
    <row r="47" spans="1:30" hidden="1" x14ac:dyDescent="0.3">
      <c r="A47" s="9" t="s">
        <v>71</v>
      </c>
      <c r="B47" s="33">
        <v>45879</v>
      </c>
      <c r="C47" s="5">
        <v>21396</v>
      </c>
      <c r="D47" s="6">
        <f t="shared" si="25"/>
        <v>10</v>
      </c>
      <c r="E47" s="5">
        <v>0</v>
      </c>
      <c r="F47" s="6">
        <f t="shared" ref="F47:F62" si="42">IF(E48&lt;&gt;"",E48-E47,"")</f>
        <v>0</v>
      </c>
      <c r="G47" s="5">
        <v>7147</v>
      </c>
      <c r="H47" s="6">
        <f t="shared" ref="H47:H68" si="43">IF(G48&lt;&gt;"",G48-G47,"")</f>
        <v>4</v>
      </c>
      <c r="I47" s="5">
        <v>418</v>
      </c>
      <c r="J47" s="6">
        <f t="shared" ref="J47:L62" si="44">IF(I48&lt;&gt;"",I48-I47,"")</f>
        <v>0</v>
      </c>
      <c r="K47" s="5">
        <v>3376</v>
      </c>
      <c r="L47" s="6">
        <f t="shared" si="44"/>
        <v>3</v>
      </c>
      <c r="M47" s="5">
        <v>49</v>
      </c>
      <c r="N47" s="12">
        <f t="shared" ref="N47:N68" si="45">IF(M48&lt;&gt;"",M48-M47,"")</f>
        <v>1</v>
      </c>
      <c r="O47" s="13">
        <v>6225</v>
      </c>
      <c r="P47" s="6">
        <f t="shared" ref="P47:P68" si="46">IF(O48&lt;&gt;"",O48-O47,"")</f>
        <v>16</v>
      </c>
      <c r="Q47" s="5">
        <v>26</v>
      </c>
      <c r="R47" s="6">
        <f t="shared" si="30"/>
        <v>0</v>
      </c>
      <c r="S47" s="5">
        <v>2449</v>
      </c>
      <c r="T47" s="6">
        <f t="shared" ref="T47:T68" si="47">IF(S48&lt;&gt;"",S48-S47,"")</f>
        <v>1</v>
      </c>
      <c r="U47" s="5">
        <v>3119</v>
      </c>
      <c r="V47" s="6">
        <f t="shared" si="32"/>
        <v>2</v>
      </c>
      <c r="W47" s="5">
        <v>366</v>
      </c>
      <c r="X47" s="6">
        <f t="shared" ref="X47:X68" si="48">IF(W48&lt;&gt;"",W48-W47,"")</f>
        <v>4</v>
      </c>
      <c r="Y47" s="7">
        <f t="shared" si="34"/>
        <v>8</v>
      </c>
      <c r="Z47" s="7">
        <f t="shared" si="35"/>
        <v>7</v>
      </c>
      <c r="AA47" s="7">
        <f t="shared" si="36"/>
        <v>15</v>
      </c>
      <c r="AB47" s="17">
        <f t="shared" si="37"/>
        <v>-2</v>
      </c>
      <c r="AC47" s="17">
        <f t="shared" si="38"/>
        <v>-9</v>
      </c>
      <c r="AD47" s="17">
        <f t="shared" si="39"/>
        <v>-11</v>
      </c>
    </row>
    <row r="48" spans="1:30" hidden="1" x14ac:dyDescent="0.3">
      <c r="A48" s="9" t="s">
        <v>72</v>
      </c>
      <c r="B48" s="33">
        <v>45880</v>
      </c>
      <c r="C48" s="5">
        <v>21406</v>
      </c>
      <c r="D48" s="6">
        <f t="shared" si="25"/>
        <v>561</v>
      </c>
      <c r="E48" s="5">
        <v>0</v>
      </c>
      <c r="F48" s="6">
        <f t="shared" si="42"/>
        <v>0</v>
      </c>
      <c r="G48" s="5">
        <v>7151</v>
      </c>
      <c r="H48" s="6">
        <f t="shared" si="43"/>
        <v>220</v>
      </c>
      <c r="I48" s="5">
        <v>418</v>
      </c>
      <c r="J48" s="6">
        <f t="shared" si="44"/>
        <v>31</v>
      </c>
      <c r="K48" s="5">
        <v>3379</v>
      </c>
      <c r="L48" s="6">
        <f t="shared" si="44"/>
        <v>95</v>
      </c>
      <c r="M48" s="5">
        <v>50</v>
      </c>
      <c r="N48" s="12">
        <f t="shared" si="45"/>
        <v>1</v>
      </c>
      <c r="O48" s="13">
        <v>6241</v>
      </c>
      <c r="P48" s="6">
        <f t="shared" si="46"/>
        <v>193</v>
      </c>
      <c r="Q48" s="5">
        <v>26</v>
      </c>
      <c r="R48" s="6">
        <f t="shared" si="30"/>
        <v>2</v>
      </c>
      <c r="S48" s="5">
        <v>2450</v>
      </c>
      <c r="T48" s="6">
        <f t="shared" si="47"/>
        <v>82</v>
      </c>
      <c r="U48" s="5">
        <v>3121</v>
      </c>
      <c r="V48" s="6">
        <f t="shared" si="32"/>
        <v>10</v>
      </c>
      <c r="W48" s="5">
        <v>370</v>
      </c>
      <c r="X48" s="6">
        <f t="shared" si="48"/>
        <v>10</v>
      </c>
      <c r="Y48" s="7">
        <f t="shared" si="34"/>
        <v>347</v>
      </c>
      <c r="Z48" s="7">
        <f t="shared" si="35"/>
        <v>104</v>
      </c>
      <c r="AA48" s="7">
        <f t="shared" si="36"/>
        <v>451</v>
      </c>
      <c r="AB48" s="17">
        <f t="shared" si="37"/>
        <v>-214</v>
      </c>
      <c r="AC48" s="17">
        <f t="shared" si="38"/>
        <v>-89</v>
      </c>
      <c r="AD48" s="17">
        <f t="shared" si="39"/>
        <v>-303</v>
      </c>
    </row>
    <row r="49" spans="1:30" hidden="1" x14ac:dyDescent="0.3">
      <c r="A49" s="9" t="s">
        <v>66</v>
      </c>
      <c r="B49" s="33">
        <v>45881</v>
      </c>
      <c r="C49" s="5">
        <v>21967</v>
      </c>
      <c r="D49" s="6">
        <f t="shared" si="25"/>
        <v>518</v>
      </c>
      <c r="E49" s="5">
        <v>0</v>
      </c>
      <c r="F49" s="6">
        <f t="shared" si="42"/>
        <v>0</v>
      </c>
      <c r="G49" s="5">
        <v>7371</v>
      </c>
      <c r="H49" s="6">
        <f t="shared" si="43"/>
        <v>194</v>
      </c>
      <c r="I49" s="5">
        <v>449</v>
      </c>
      <c r="J49" s="6">
        <f t="shared" si="44"/>
        <v>31</v>
      </c>
      <c r="K49" s="5">
        <v>3474</v>
      </c>
      <c r="L49" s="6">
        <f t="shared" si="44"/>
        <v>84</v>
      </c>
      <c r="M49" s="5">
        <v>51</v>
      </c>
      <c r="N49" s="12">
        <f t="shared" si="45"/>
        <v>1</v>
      </c>
      <c r="O49" s="13">
        <v>6434</v>
      </c>
      <c r="P49" s="6">
        <f t="shared" si="46"/>
        <v>177</v>
      </c>
      <c r="Q49" s="5">
        <v>28</v>
      </c>
      <c r="R49" s="6">
        <f t="shared" si="30"/>
        <v>12</v>
      </c>
      <c r="S49" s="5">
        <v>2532</v>
      </c>
      <c r="T49" s="6">
        <f t="shared" si="47"/>
        <v>68</v>
      </c>
      <c r="U49" s="5">
        <v>3131</v>
      </c>
      <c r="V49" s="6">
        <f t="shared" si="32"/>
        <v>129</v>
      </c>
      <c r="W49" s="5">
        <v>380</v>
      </c>
      <c r="X49" s="6">
        <f>IF(W50&lt;&gt;"",W50-W49,"")</f>
        <v>9</v>
      </c>
      <c r="Y49" s="7">
        <f t="shared" si="34"/>
        <v>310</v>
      </c>
      <c r="Z49" s="7">
        <f t="shared" si="35"/>
        <v>218</v>
      </c>
      <c r="AA49" s="7">
        <f t="shared" si="36"/>
        <v>528</v>
      </c>
      <c r="AB49" s="17">
        <f t="shared" si="37"/>
        <v>-208</v>
      </c>
      <c r="AC49" s="17">
        <f t="shared" si="38"/>
        <v>41</v>
      </c>
      <c r="AD49" s="17">
        <f t="shared" si="39"/>
        <v>-167</v>
      </c>
    </row>
    <row r="50" spans="1:30" hidden="1" x14ac:dyDescent="0.3">
      <c r="A50" s="9" t="s">
        <v>67</v>
      </c>
      <c r="B50" s="33">
        <v>45882</v>
      </c>
      <c r="C50" s="5">
        <v>22485</v>
      </c>
      <c r="D50" s="6">
        <f t="shared" si="25"/>
        <v>633</v>
      </c>
      <c r="E50" s="5">
        <v>0</v>
      </c>
      <c r="F50" s="6">
        <f t="shared" si="42"/>
        <v>0</v>
      </c>
      <c r="G50" s="5">
        <v>7565</v>
      </c>
      <c r="H50" s="6">
        <f t="shared" si="43"/>
        <v>249</v>
      </c>
      <c r="I50" s="5">
        <v>480</v>
      </c>
      <c r="J50" s="6">
        <f t="shared" si="44"/>
        <v>35</v>
      </c>
      <c r="K50" s="5">
        <v>3558</v>
      </c>
      <c r="L50" s="6">
        <f t="shared" si="44"/>
        <v>109</v>
      </c>
      <c r="M50" s="5">
        <v>52</v>
      </c>
      <c r="N50" s="12">
        <f t="shared" si="45"/>
        <v>1</v>
      </c>
      <c r="O50" s="13">
        <v>6611</v>
      </c>
      <c r="P50" s="6">
        <f t="shared" si="46"/>
        <v>224</v>
      </c>
      <c r="Q50" s="5">
        <v>40</v>
      </c>
      <c r="R50" s="6">
        <v>0</v>
      </c>
      <c r="S50" s="5">
        <v>2600</v>
      </c>
      <c r="T50" s="6">
        <f t="shared" si="47"/>
        <v>83</v>
      </c>
      <c r="U50" s="5">
        <v>3260</v>
      </c>
      <c r="V50" s="6">
        <f t="shared" si="32"/>
        <v>82</v>
      </c>
      <c r="W50" s="5">
        <v>389</v>
      </c>
      <c r="X50" s="6">
        <f>IF(W51&lt;&gt;"",W51-W50,"")</f>
        <v>15</v>
      </c>
      <c r="Y50" s="7">
        <f t="shared" si="34"/>
        <v>394</v>
      </c>
      <c r="Z50" s="7">
        <f t="shared" si="35"/>
        <v>180</v>
      </c>
      <c r="AA50" s="7">
        <f t="shared" si="36"/>
        <v>574</v>
      </c>
      <c r="AB50" s="17">
        <f t="shared" si="37"/>
        <v>-239</v>
      </c>
      <c r="AC50" s="17">
        <f t="shared" si="38"/>
        <v>-44</v>
      </c>
      <c r="AD50" s="17">
        <f t="shared" si="39"/>
        <v>-283</v>
      </c>
    </row>
    <row r="51" spans="1:30" hidden="1" x14ac:dyDescent="0.3">
      <c r="A51" s="9" t="s">
        <v>68</v>
      </c>
      <c r="B51" s="33">
        <v>45883</v>
      </c>
      <c r="C51" s="5">
        <v>23118</v>
      </c>
      <c r="D51" s="6">
        <f t="shared" si="25"/>
        <v>0</v>
      </c>
      <c r="E51" s="5">
        <v>0</v>
      </c>
      <c r="F51" s="6">
        <f t="shared" si="42"/>
        <v>0</v>
      </c>
      <c r="G51" s="5">
        <v>7814</v>
      </c>
      <c r="H51" s="6">
        <f t="shared" si="43"/>
        <v>0</v>
      </c>
      <c r="I51" s="5">
        <v>515</v>
      </c>
      <c r="J51" s="6">
        <f t="shared" si="44"/>
        <v>0</v>
      </c>
      <c r="K51" s="5">
        <v>3667</v>
      </c>
      <c r="L51" s="6">
        <f t="shared" si="44"/>
        <v>0</v>
      </c>
      <c r="M51" s="5">
        <v>53</v>
      </c>
      <c r="N51" s="12">
        <f t="shared" si="45"/>
        <v>0</v>
      </c>
      <c r="O51" s="13">
        <v>6835</v>
      </c>
      <c r="P51" s="6">
        <f t="shared" si="46"/>
        <v>0</v>
      </c>
      <c r="Q51" s="5">
        <v>42</v>
      </c>
      <c r="R51" s="6">
        <f t="shared" si="30"/>
        <v>14</v>
      </c>
      <c r="S51" s="5">
        <v>2683</v>
      </c>
      <c r="T51" s="6">
        <f t="shared" si="47"/>
        <v>0</v>
      </c>
      <c r="U51" s="5">
        <v>3342</v>
      </c>
      <c r="V51" s="6">
        <f t="shared" si="32"/>
        <v>0</v>
      </c>
      <c r="W51" s="5">
        <v>404</v>
      </c>
      <c r="X51" s="6">
        <f>IF(W52&lt;&gt;"",W52-W51,"")</f>
        <v>0</v>
      </c>
      <c r="Y51" s="7">
        <f t="shared" si="34"/>
        <v>0</v>
      </c>
      <c r="Z51" s="7">
        <f t="shared" si="35"/>
        <v>14</v>
      </c>
      <c r="AA51" s="7">
        <f t="shared" si="36"/>
        <v>14</v>
      </c>
      <c r="AB51" s="17">
        <f t="shared" si="37"/>
        <v>0</v>
      </c>
      <c r="AC51" s="17">
        <f t="shared" si="38"/>
        <v>14</v>
      </c>
      <c r="AD51" s="17">
        <f t="shared" si="39"/>
        <v>14</v>
      </c>
    </row>
    <row r="52" spans="1:30" hidden="1" x14ac:dyDescent="0.3">
      <c r="A52" s="9" t="s">
        <v>69</v>
      </c>
      <c r="B52" s="33">
        <v>45884</v>
      </c>
      <c r="C52" s="5">
        <v>23118</v>
      </c>
      <c r="D52" s="6">
        <f t="shared" si="25"/>
        <v>684</v>
      </c>
      <c r="E52" s="5">
        <v>0</v>
      </c>
      <c r="F52" s="6">
        <f t="shared" si="42"/>
        <v>0</v>
      </c>
      <c r="G52" s="5">
        <v>7814</v>
      </c>
      <c r="H52" s="6">
        <f t="shared" si="43"/>
        <v>256</v>
      </c>
      <c r="I52" s="5">
        <v>515</v>
      </c>
      <c r="J52" s="6">
        <f t="shared" si="44"/>
        <v>34</v>
      </c>
      <c r="K52" s="5">
        <v>3667</v>
      </c>
      <c r="L52" s="6">
        <f t="shared" si="44"/>
        <v>119</v>
      </c>
      <c r="M52" s="5">
        <v>53</v>
      </c>
      <c r="N52" s="12">
        <f t="shared" si="45"/>
        <v>1</v>
      </c>
      <c r="O52" s="13">
        <v>6835</v>
      </c>
      <c r="P52" s="6">
        <f t="shared" si="46"/>
        <v>239</v>
      </c>
      <c r="Q52" s="5">
        <v>56</v>
      </c>
      <c r="R52" s="6">
        <f t="shared" si="30"/>
        <v>15</v>
      </c>
      <c r="S52" s="5">
        <v>2683</v>
      </c>
      <c r="T52" s="6">
        <f t="shared" si="47"/>
        <v>79</v>
      </c>
      <c r="U52" s="5">
        <v>3342</v>
      </c>
      <c r="V52" s="6">
        <f t="shared" si="32"/>
        <v>100</v>
      </c>
      <c r="W52" s="5">
        <v>404</v>
      </c>
      <c r="X52" s="6">
        <f t="shared" si="48"/>
        <v>11</v>
      </c>
      <c r="Y52" s="7">
        <f t="shared" si="34"/>
        <v>410</v>
      </c>
      <c r="Z52" s="7">
        <f t="shared" si="35"/>
        <v>205</v>
      </c>
      <c r="AA52" s="7">
        <f t="shared" si="36"/>
        <v>615</v>
      </c>
      <c r="AB52" s="17">
        <f t="shared" si="37"/>
        <v>-274</v>
      </c>
      <c r="AC52" s="17">
        <f t="shared" si="38"/>
        <v>-34</v>
      </c>
      <c r="AD52" s="17">
        <f t="shared" si="39"/>
        <v>-308</v>
      </c>
    </row>
    <row r="53" spans="1:30" hidden="1" x14ac:dyDescent="0.3">
      <c r="A53" s="9" t="s">
        <v>70</v>
      </c>
      <c r="B53" s="33">
        <v>45885</v>
      </c>
      <c r="C53" s="5">
        <v>23802</v>
      </c>
      <c r="D53" s="6">
        <f t="shared" si="25"/>
        <v>511</v>
      </c>
      <c r="E53" s="5">
        <v>0</v>
      </c>
      <c r="F53" s="6">
        <f t="shared" si="42"/>
        <v>0</v>
      </c>
      <c r="G53" s="5">
        <v>8070</v>
      </c>
      <c r="H53" s="6">
        <f t="shared" si="43"/>
        <v>198</v>
      </c>
      <c r="I53" s="5">
        <v>549</v>
      </c>
      <c r="J53" s="6">
        <f t="shared" si="44"/>
        <v>28</v>
      </c>
      <c r="K53" s="5">
        <v>3786</v>
      </c>
      <c r="L53" s="6">
        <f t="shared" si="44"/>
        <v>108</v>
      </c>
      <c r="M53" s="5">
        <v>54</v>
      </c>
      <c r="N53" s="12">
        <f t="shared" si="45"/>
        <v>1</v>
      </c>
      <c r="O53" s="13">
        <v>7074</v>
      </c>
      <c r="P53" s="6">
        <f t="shared" si="46"/>
        <v>213</v>
      </c>
      <c r="Q53" s="5">
        <v>71</v>
      </c>
      <c r="R53" s="6">
        <f t="shared" si="30"/>
        <v>11</v>
      </c>
      <c r="S53" s="5">
        <v>2762</v>
      </c>
      <c r="T53" s="6">
        <f t="shared" si="47"/>
        <v>71</v>
      </c>
      <c r="U53" s="5">
        <v>3442</v>
      </c>
      <c r="V53" s="6">
        <f t="shared" si="32"/>
        <v>87</v>
      </c>
      <c r="W53" s="5">
        <v>415</v>
      </c>
      <c r="X53" s="6">
        <f t="shared" si="48"/>
        <v>16</v>
      </c>
      <c r="Y53" s="7">
        <f t="shared" si="34"/>
        <v>335</v>
      </c>
      <c r="Z53" s="7">
        <f t="shared" si="35"/>
        <v>185</v>
      </c>
      <c r="AA53" s="7">
        <f t="shared" si="36"/>
        <v>520</v>
      </c>
      <c r="AB53" s="17">
        <f t="shared" si="37"/>
        <v>-176</v>
      </c>
      <c r="AC53" s="17">
        <f t="shared" si="38"/>
        <v>-28</v>
      </c>
      <c r="AD53" s="17">
        <f t="shared" si="39"/>
        <v>-204</v>
      </c>
    </row>
    <row r="54" spans="1:30" hidden="1" x14ac:dyDescent="0.3">
      <c r="A54" s="9" t="s">
        <v>71</v>
      </c>
      <c r="B54" s="33">
        <v>45886</v>
      </c>
      <c r="C54" s="5">
        <v>24313</v>
      </c>
      <c r="D54" s="6">
        <f t="shared" si="25"/>
        <v>0</v>
      </c>
      <c r="E54" s="5">
        <v>0</v>
      </c>
      <c r="F54" s="6">
        <f t="shared" si="42"/>
        <v>0</v>
      </c>
      <c r="G54" s="5">
        <v>8268</v>
      </c>
      <c r="H54" s="6">
        <f t="shared" si="43"/>
        <v>0</v>
      </c>
      <c r="I54" s="5">
        <v>577</v>
      </c>
      <c r="J54" s="6">
        <f t="shared" si="44"/>
        <v>0</v>
      </c>
      <c r="K54" s="5">
        <v>3894</v>
      </c>
      <c r="L54" s="6">
        <f t="shared" si="44"/>
        <v>0</v>
      </c>
      <c r="M54" s="5">
        <v>55</v>
      </c>
      <c r="N54" s="12">
        <f t="shared" si="45"/>
        <v>0</v>
      </c>
      <c r="O54" s="13">
        <v>7287</v>
      </c>
      <c r="P54" s="6">
        <f t="shared" si="46"/>
        <v>0</v>
      </c>
      <c r="Q54" s="5">
        <v>82</v>
      </c>
      <c r="R54" s="6">
        <f t="shared" si="30"/>
        <v>0</v>
      </c>
      <c r="S54" s="5">
        <v>2833</v>
      </c>
      <c r="T54" s="6">
        <f t="shared" si="47"/>
        <v>0</v>
      </c>
      <c r="U54" s="5">
        <v>3529</v>
      </c>
      <c r="V54" s="6">
        <f t="shared" si="32"/>
        <v>0</v>
      </c>
      <c r="W54" s="5">
        <v>431</v>
      </c>
      <c r="X54" s="6">
        <f t="shared" si="48"/>
        <v>0</v>
      </c>
      <c r="Y54" s="7">
        <f t="shared" si="34"/>
        <v>0</v>
      </c>
      <c r="Z54" s="7">
        <f t="shared" si="35"/>
        <v>0</v>
      </c>
      <c r="AA54" s="7">
        <f t="shared" si="36"/>
        <v>0</v>
      </c>
      <c r="AB54" s="17">
        <f t="shared" si="37"/>
        <v>0</v>
      </c>
      <c r="AC54" s="17">
        <f t="shared" si="38"/>
        <v>0</v>
      </c>
      <c r="AD54" s="17">
        <f t="shared" si="39"/>
        <v>0</v>
      </c>
    </row>
    <row r="55" spans="1:30" hidden="1" x14ac:dyDescent="0.3">
      <c r="A55" s="9" t="s">
        <v>72</v>
      </c>
      <c r="B55" s="33">
        <v>45887</v>
      </c>
      <c r="C55" s="5">
        <v>24313</v>
      </c>
      <c r="D55" s="6">
        <f t="shared" si="25"/>
        <v>551</v>
      </c>
      <c r="E55" s="5">
        <v>0</v>
      </c>
      <c r="F55" s="6">
        <f t="shared" si="42"/>
        <v>0</v>
      </c>
      <c r="G55" s="5">
        <v>8268</v>
      </c>
      <c r="H55" s="6">
        <f t="shared" si="43"/>
        <v>212</v>
      </c>
      <c r="I55" s="5">
        <v>577</v>
      </c>
      <c r="J55" s="6">
        <f t="shared" si="44"/>
        <v>24</v>
      </c>
      <c r="K55" s="5">
        <v>3894</v>
      </c>
      <c r="L55" s="6">
        <f t="shared" si="44"/>
        <v>99</v>
      </c>
      <c r="M55" s="5">
        <v>55</v>
      </c>
      <c r="N55" s="12">
        <f t="shared" si="45"/>
        <v>1</v>
      </c>
      <c r="O55" s="13">
        <v>7287</v>
      </c>
      <c r="P55" s="6">
        <f t="shared" si="46"/>
        <v>199</v>
      </c>
      <c r="Q55" s="5">
        <v>82</v>
      </c>
      <c r="R55" s="6">
        <f t="shared" si="30"/>
        <v>13</v>
      </c>
      <c r="S55" s="5">
        <v>2833</v>
      </c>
      <c r="T55" s="6">
        <f t="shared" si="47"/>
        <v>75</v>
      </c>
      <c r="U55" s="5">
        <v>3529</v>
      </c>
      <c r="V55" s="6">
        <f t="shared" si="32"/>
        <v>72</v>
      </c>
      <c r="W55" s="5">
        <v>431</v>
      </c>
      <c r="X55" s="6">
        <f t="shared" si="48"/>
        <v>10</v>
      </c>
      <c r="Y55" s="7">
        <f t="shared" si="34"/>
        <v>336</v>
      </c>
      <c r="Z55" s="7">
        <f t="shared" si="35"/>
        <v>170</v>
      </c>
      <c r="AA55" s="7">
        <f t="shared" si="36"/>
        <v>506</v>
      </c>
      <c r="AB55" s="17">
        <f t="shared" si="37"/>
        <v>-215</v>
      </c>
      <c r="AC55" s="17">
        <f t="shared" si="38"/>
        <v>-29</v>
      </c>
      <c r="AD55" s="17">
        <f t="shared" si="39"/>
        <v>-244</v>
      </c>
    </row>
    <row r="56" spans="1:30" hidden="1" x14ac:dyDescent="0.3">
      <c r="A56" s="9" t="s">
        <v>66</v>
      </c>
      <c r="B56" s="33">
        <v>45888</v>
      </c>
      <c r="C56" s="5">
        <v>24864</v>
      </c>
      <c r="D56" s="6">
        <f t="shared" si="25"/>
        <v>544</v>
      </c>
      <c r="E56" s="5">
        <v>0</v>
      </c>
      <c r="F56" s="6">
        <f t="shared" si="42"/>
        <v>0</v>
      </c>
      <c r="G56" s="5">
        <v>8480</v>
      </c>
      <c r="H56" s="6">
        <f t="shared" si="43"/>
        <v>216</v>
      </c>
      <c r="I56" s="5">
        <v>601</v>
      </c>
      <c r="J56" s="6">
        <f t="shared" si="44"/>
        <v>15</v>
      </c>
      <c r="K56" s="5">
        <v>3993</v>
      </c>
      <c r="L56" s="6">
        <f t="shared" si="44"/>
        <v>90</v>
      </c>
      <c r="M56" s="5">
        <v>56</v>
      </c>
      <c r="N56" s="12">
        <f t="shared" si="45"/>
        <v>1</v>
      </c>
      <c r="O56" s="13">
        <v>7486</v>
      </c>
      <c r="P56" s="6">
        <f t="shared" si="46"/>
        <v>191</v>
      </c>
      <c r="Q56" s="5">
        <v>95</v>
      </c>
      <c r="R56" s="6">
        <f t="shared" si="30"/>
        <v>0</v>
      </c>
      <c r="S56" s="5">
        <v>2908</v>
      </c>
      <c r="T56" s="6">
        <f t="shared" si="47"/>
        <v>88</v>
      </c>
      <c r="U56" s="5">
        <v>3601</v>
      </c>
      <c r="V56" s="6">
        <f t="shared" si="32"/>
        <v>65</v>
      </c>
      <c r="W56" s="5">
        <v>441</v>
      </c>
      <c r="X56" s="6">
        <f t="shared" si="48"/>
        <v>9</v>
      </c>
      <c r="Y56" s="7">
        <f t="shared" si="34"/>
        <v>322</v>
      </c>
      <c r="Z56" s="7">
        <f t="shared" si="35"/>
        <v>162</v>
      </c>
      <c r="AA56" s="7">
        <f t="shared" si="36"/>
        <v>484</v>
      </c>
      <c r="AB56" s="17">
        <f t="shared" si="37"/>
        <v>-222</v>
      </c>
      <c r="AC56" s="17">
        <f t="shared" si="38"/>
        <v>-29</v>
      </c>
      <c r="AD56" s="17">
        <f t="shared" si="39"/>
        <v>-251</v>
      </c>
    </row>
    <row r="57" spans="1:30" hidden="1" x14ac:dyDescent="0.3">
      <c r="A57" s="9" t="s">
        <v>67</v>
      </c>
      <c r="B57" s="33">
        <v>45889</v>
      </c>
      <c r="C57" s="5">
        <v>25408</v>
      </c>
      <c r="D57" s="6">
        <f t="shared" si="25"/>
        <v>636</v>
      </c>
      <c r="E57" s="5">
        <v>0</v>
      </c>
      <c r="F57" s="6">
        <f t="shared" si="42"/>
        <v>0</v>
      </c>
      <c r="G57" s="5">
        <v>8696</v>
      </c>
      <c r="H57" s="6">
        <f t="shared" si="43"/>
        <v>248</v>
      </c>
      <c r="I57" s="5">
        <v>616</v>
      </c>
      <c r="J57" s="6">
        <f t="shared" si="44"/>
        <v>12</v>
      </c>
      <c r="K57" s="5">
        <v>4083</v>
      </c>
      <c r="L57" s="6">
        <f t="shared" si="44"/>
        <v>109</v>
      </c>
      <c r="M57" s="5">
        <v>57</v>
      </c>
      <c r="N57" s="12">
        <f t="shared" si="45"/>
        <v>2</v>
      </c>
      <c r="O57" s="13">
        <v>7677</v>
      </c>
      <c r="P57" s="6">
        <f t="shared" si="46"/>
        <v>179</v>
      </c>
      <c r="Q57" s="5">
        <v>95</v>
      </c>
      <c r="R57" s="6">
        <f t="shared" si="30"/>
        <v>0</v>
      </c>
      <c r="S57" s="5">
        <v>2996</v>
      </c>
      <c r="T57" s="6">
        <f t="shared" si="47"/>
        <v>61</v>
      </c>
      <c r="U57" s="5">
        <v>3666</v>
      </c>
      <c r="V57" s="6">
        <f t="shared" si="32"/>
        <v>80</v>
      </c>
      <c r="W57" s="5">
        <v>450</v>
      </c>
      <c r="X57" s="6">
        <f t="shared" si="48"/>
        <v>11</v>
      </c>
      <c r="Y57" s="7">
        <f t="shared" si="34"/>
        <v>371</v>
      </c>
      <c r="Z57" s="7">
        <f t="shared" si="35"/>
        <v>152</v>
      </c>
      <c r="AA57" s="7">
        <f t="shared" si="36"/>
        <v>523</v>
      </c>
      <c r="AB57" s="17">
        <f t="shared" si="37"/>
        <v>-265</v>
      </c>
      <c r="AC57" s="17">
        <f t="shared" si="38"/>
        <v>-27</v>
      </c>
      <c r="AD57" s="17">
        <f t="shared" si="39"/>
        <v>-292</v>
      </c>
    </row>
    <row r="58" spans="1:30" hidden="1" x14ac:dyDescent="0.3">
      <c r="A58" s="9" t="s">
        <v>68</v>
      </c>
      <c r="B58" s="33">
        <v>45890</v>
      </c>
      <c r="C58" s="5">
        <v>26044</v>
      </c>
      <c r="D58" s="6">
        <f t="shared" si="25"/>
        <v>655</v>
      </c>
      <c r="E58" s="5">
        <v>0</v>
      </c>
      <c r="F58" s="6">
        <f t="shared" si="42"/>
        <v>0</v>
      </c>
      <c r="G58" s="5">
        <v>8944</v>
      </c>
      <c r="H58" s="6">
        <f t="shared" si="43"/>
        <v>243</v>
      </c>
      <c r="I58" s="5">
        <v>628</v>
      </c>
      <c r="J58" s="6">
        <f t="shared" si="44"/>
        <v>15</v>
      </c>
      <c r="K58" s="5">
        <v>4192</v>
      </c>
      <c r="L58" s="6">
        <f t="shared" si="44"/>
        <v>109</v>
      </c>
      <c r="M58" s="5">
        <v>59</v>
      </c>
      <c r="N58" s="12">
        <f t="shared" si="45"/>
        <v>2</v>
      </c>
      <c r="O58" s="13">
        <v>7856</v>
      </c>
      <c r="P58" s="6">
        <f t="shared" si="46"/>
        <v>208</v>
      </c>
      <c r="Q58" s="5">
        <v>95</v>
      </c>
      <c r="R58" s="6">
        <f t="shared" si="30"/>
        <v>0</v>
      </c>
      <c r="S58" s="5">
        <v>3057</v>
      </c>
      <c r="T58" s="6">
        <f t="shared" si="47"/>
        <v>82</v>
      </c>
      <c r="U58" s="5">
        <v>3746</v>
      </c>
      <c r="V58" s="6">
        <f t="shared" si="32"/>
        <v>83</v>
      </c>
      <c r="W58" s="5">
        <v>461</v>
      </c>
      <c r="X58" s="6">
        <f t="shared" si="48"/>
        <v>13</v>
      </c>
      <c r="Y58" s="7">
        <f t="shared" si="34"/>
        <v>369</v>
      </c>
      <c r="Z58" s="7">
        <f t="shared" si="35"/>
        <v>178</v>
      </c>
      <c r="AA58" s="7">
        <f t="shared" si="36"/>
        <v>547</v>
      </c>
      <c r="AB58" s="17">
        <f t="shared" si="37"/>
        <v>-286</v>
      </c>
      <c r="AC58" s="17">
        <f t="shared" si="38"/>
        <v>-30</v>
      </c>
      <c r="AD58" s="17">
        <f t="shared" si="39"/>
        <v>-316</v>
      </c>
    </row>
    <row r="59" spans="1:30" hidden="1" x14ac:dyDescent="0.3">
      <c r="A59" s="9" t="s">
        <v>69</v>
      </c>
      <c r="B59" s="33">
        <v>45891</v>
      </c>
      <c r="C59" s="5">
        <v>26699</v>
      </c>
      <c r="D59" s="6">
        <f t="shared" si="25"/>
        <v>658</v>
      </c>
      <c r="E59" s="5">
        <v>0</v>
      </c>
      <c r="F59" s="6">
        <f t="shared" si="42"/>
        <v>0</v>
      </c>
      <c r="G59" s="5">
        <v>9187</v>
      </c>
      <c r="H59" s="6">
        <f t="shared" si="43"/>
        <v>250</v>
      </c>
      <c r="I59" s="5">
        <v>643</v>
      </c>
      <c r="J59" s="6">
        <f t="shared" si="44"/>
        <v>19</v>
      </c>
      <c r="K59" s="5">
        <v>4301</v>
      </c>
      <c r="L59" s="6">
        <f t="shared" si="44"/>
        <v>108</v>
      </c>
      <c r="M59" s="5">
        <v>61</v>
      </c>
      <c r="N59" s="12">
        <f t="shared" si="45"/>
        <v>2</v>
      </c>
      <c r="O59" s="13">
        <v>8064</v>
      </c>
      <c r="P59" s="6">
        <f t="shared" si="46"/>
        <v>234</v>
      </c>
      <c r="Q59" s="5">
        <v>95</v>
      </c>
      <c r="R59" s="6">
        <f t="shared" si="30"/>
        <v>0</v>
      </c>
      <c r="S59" s="5">
        <v>3139</v>
      </c>
      <c r="T59" s="6">
        <f t="shared" si="47"/>
        <v>113</v>
      </c>
      <c r="U59" s="5">
        <v>3829</v>
      </c>
      <c r="V59" s="6">
        <f t="shared" si="32"/>
        <v>83</v>
      </c>
      <c r="W59" s="5">
        <v>474</v>
      </c>
      <c r="X59" s="6">
        <f t="shared" si="48"/>
        <v>13</v>
      </c>
      <c r="Y59" s="7">
        <f t="shared" si="34"/>
        <v>379</v>
      </c>
      <c r="Z59" s="7">
        <f t="shared" si="35"/>
        <v>209</v>
      </c>
      <c r="AA59" s="7">
        <f t="shared" si="36"/>
        <v>588</v>
      </c>
      <c r="AB59" s="17">
        <f t="shared" si="37"/>
        <v>-279</v>
      </c>
      <c r="AC59" s="17">
        <f t="shared" si="38"/>
        <v>-25</v>
      </c>
      <c r="AD59" s="17">
        <f t="shared" si="39"/>
        <v>-304</v>
      </c>
    </row>
    <row r="60" spans="1:30" hidden="1" x14ac:dyDescent="0.3">
      <c r="A60" s="9" t="s">
        <v>70</v>
      </c>
      <c r="B60" s="33">
        <v>45892</v>
      </c>
      <c r="C60" s="5">
        <v>27357</v>
      </c>
      <c r="D60" s="6">
        <f t="shared" si="25"/>
        <v>629</v>
      </c>
      <c r="E60" s="5">
        <v>0</v>
      </c>
      <c r="F60" s="6">
        <f t="shared" si="42"/>
        <v>0</v>
      </c>
      <c r="G60" s="5">
        <v>9437</v>
      </c>
      <c r="H60" s="6">
        <f t="shared" si="43"/>
        <v>248</v>
      </c>
      <c r="I60" s="5">
        <v>662</v>
      </c>
      <c r="J60" s="6">
        <f t="shared" si="44"/>
        <v>11</v>
      </c>
      <c r="K60" s="5">
        <v>4409</v>
      </c>
      <c r="L60" s="6">
        <f t="shared" si="44"/>
        <v>103</v>
      </c>
      <c r="M60" s="5">
        <v>63</v>
      </c>
      <c r="N60" s="12">
        <f t="shared" si="45"/>
        <v>0</v>
      </c>
      <c r="O60" s="13">
        <v>8298</v>
      </c>
      <c r="P60" s="6">
        <f t="shared" si="46"/>
        <v>203</v>
      </c>
      <c r="Q60" s="5">
        <v>95</v>
      </c>
      <c r="R60" s="6">
        <f t="shared" si="30"/>
        <v>0</v>
      </c>
      <c r="S60" s="5">
        <v>3252</v>
      </c>
      <c r="T60" s="6">
        <f t="shared" si="47"/>
        <v>83</v>
      </c>
      <c r="U60" s="5">
        <v>3912</v>
      </c>
      <c r="V60" s="6">
        <f t="shared" si="32"/>
        <v>85</v>
      </c>
      <c r="W60" s="5">
        <v>487</v>
      </c>
      <c r="X60" s="6">
        <f t="shared" si="48"/>
        <v>10</v>
      </c>
      <c r="Y60" s="7">
        <f t="shared" si="34"/>
        <v>362</v>
      </c>
      <c r="Z60" s="7">
        <f t="shared" si="35"/>
        <v>178</v>
      </c>
      <c r="AA60" s="7">
        <f t="shared" si="36"/>
        <v>540</v>
      </c>
      <c r="AB60" s="17">
        <f t="shared" si="37"/>
        <v>-267</v>
      </c>
      <c r="AC60" s="17">
        <f t="shared" si="38"/>
        <v>-25</v>
      </c>
      <c r="AD60" s="17">
        <f t="shared" si="39"/>
        <v>-292</v>
      </c>
    </row>
    <row r="61" spans="1:30" hidden="1" x14ac:dyDescent="0.3">
      <c r="A61" s="9" t="s">
        <v>71</v>
      </c>
      <c r="B61" s="33">
        <v>45893</v>
      </c>
      <c r="C61" s="5">
        <v>27986</v>
      </c>
      <c r="D61" s="6">
        <f t="shared" si="25"/>
        <v>7</v>
      </c>
      <c r="E61" s="5">
        <v>0</v>
      </c>
      <c r="F61" s="6">
        <f t="shared" si="42"/>
        <v>0</v>
      </c>
      <c r="G61" s="5">
        <v>9685</v>
      </c>
      <c r="H61" s="6">
        <f t="shared" si="43"/>
        <v>1</v>
      </c>
      <c r="I61" s="5">
        <v>673</v>
      </c>
      <c r="J61" s="6">
        <f t="shared" si="44"/>
        <v>0</v>
      </c>
      <c r="K61" s="5">
        <v>4512</v>
      </c>
      <c r="L61" s="6">
        <f t="shared" si="44"/>
        <v>4</v>
      </c>
      <c r="M61" s="5">
        <v>63</v>
      </c>
      <c r="N61" s="12">
        <f t="shared" si="45"/>
        <v>1</v>
      </c>
      <c r="O61" s="13">
        <v>8501</v>
      </c>
      <c r="P61" s="6">
        <f t="shared" si="46"/>
        <v>47</v>
      </c>
      <c r="Q61" s="5">
        <v>95</v>
      </c>
      <c r="R61" s="6">
        <f t="shared" si="30"/>
        <v>0</v>
      </c>
      <c r="S61" s="5">
        <v>3335</v>
      </c>
      <c r="T61" s="6">
        <f t="shared" si="47"/>
        <v>22</v>
      </c>
      <c r="U61" s="5">
        <v>3997</v>
      </c>
      <c r="V61" s="6">
        <f t="shared" si="32"/>
        <v>19</v>
      </c>
      <c r="W61" s="5">
        <v>497</v>
      </c>
      <c r="X61" s="6">
        <f t="shared" si="48"/>
        <v>5</v>
      </c>
      <c r="Y61" s="7">
        <f t="shared" si="34"/>
        <v>6</v>
      </c>
      <c r="Z61" s="7">
        <f t="shared" si="35"/>
        <v>46</v>
      </c>
      <c r="AA61" s="7">
        <f t="shared" si="36"/>
        <v>52</v>
      </c>
      <c r="AB61" s="17">
        <f t="shared" si="37"/>
        <v>-1</v>
      </c>
      <c r="AC61" s="17">
        <f t="shared" si="38"/>
        <v>-1</v>
      </c>
      <c r="AD61" s="17">
        <f t="shared" si="39"/>
        <v>-2</v>
      </c>
    </row>
    <row r="62" spans="1:30" hidden="1" x14ac:dyDescent="0.3">
      <c r="A62" s="9" t="s">
        <v>72</v>
      </c>
      <c r="B62" s="33">
        <v>45894</v>
      </c>
      <c r="C62" s="5">
        <v>27993</v>
      </c>
      <c r="D62" s="6">
        <f t="shared" si="25"/>
        <v>612</v>
      </c>
      <c r="E62" s="5">
        <v>0</v>
      </c>
      <c r="F62" s="6">
        <f t="shared" si="42"/>
        <v>0</v>
      </c>
      <c r="G62" s="5">
        <v>9686</v>
      </c>
      <c r="H62" s="6">
        <f t="shared" si="43"/>
        <v>222</v>
      </c>
      <c r="I62" s="5">
        <v>673</v>
      </c>
      <c r="J62" s="6">
        <f t="shared" si="44"/>
        <v>11</v>
      </c>
      <c r="K62" s="5">
        <v>4516</v>
      </c>
      <c r="L62" s="6">
        <f t="shared" si="44"/>
        <v>108</v>
      </c>
      <c r="M62" s="5">
        <v>64</v>
      </c>
      <c r="N62" s="12">
        <f t="shared" si="45"/>
        <v>1</v>
      </c>
      <c r="O62" s="13">
        <v>8548</v>
      </c>
      <c r="P62" s="6">
        <f t="shared" si="46"/>
        <v>201</v>
      </c>
      <c r="Q62" s="5">
        <v>95</v>
      </c>
      <c r="R62" s="6">
        <f t="shared" si="30"/>
        <v>21</v>
      </c>
      <c r="S62" s="5">
        <v>3357</v>
      </c>
      <c r="T62" s="6">
        <f t="shared" si="47"/>
        <v>59</v>
      </c>
      <c r="U62" s="5">
        <v>4016</v>
      </c>
      <c r="V62" s="6">
        <f t="shared" si="32"/>
        <v>109</v>
      </c>
      <c r="W62" s="5">
        <v>502</v>
      </c>
      <c r="X62" s="6">
        <f t="shared" si="48"/>
        <v>13</v>
      </c>
      <c r="Y62" s="7">
        <f t="shared" si="34"/>
        <v>342</v>
      </c>
      <c r="Z62" s="7">
        <f t="shared" si="35"/>
        <v>202</v>
      </c>
      <c r="AA62" s="7">
        <f t="shared" si="36"/>
        <v>544</v>
      </c>
      <c r="AB62" s="17">
        <f t="shared" si="37"/>
        <v>-270</v>
      </c>
      <c r="AC62" s="17">
        <f t="shared" si="38"/>
        <v>1</v>
      </c>
      <c r="AD62" s="17">
        <f t="shared" si="39"/>
        <v>-269</v>
      </c>
    </row>
    <row r="63" spans="1:30" hidden="1" x14ac:dyDescent="0.3">
      <c r="A63" s="9" t="s">
        <v>66</v>
      </c>
      <c r="B63" s="33">
        <v>45895</v>
      </c>
      <c r="C63" s="5">
        <v>28605</v>
      </c>
      <c r="D63" s="6">
        <f t="shared" si="25"/>
        <v>677</v>
      </c>
      <c r="E63" s="5">
        <v>0</v>
      </c>
      <c r="F63" s="6">
        <f t="shared" ref="F63:F68" si="49">IF(E64&lt;&gt;"",E64-E63,"")</f>
        <v>0</v>
      </c>
      <c r="G63" s="5">
        <v>9908</v>
      </c>
      <c r="H63" s="6">
        <f t="shared" si="43"/>
        <v>230</v>
      </c>
      <c r="I63" s="5">
        <v>684</v>
      </c>
      <c r="J63" s="6">
        <f t="shared" ref="J63:L68" si="50">IF(I64&lt;&gt;"",I64-I63,"")</f>
        <v>21</v>
      </c>
      <c r="K63" s="5">
        <v>4624</v>
      </c>
      <c r="L63" s="6">
        <f t="shared" si="50"/>
        <v>119</v>
      </c>
      <c r="M63" s="5">
        <v>65</v>
      </c>
      <c r="N63" s="12">
        <f t="shared" si="45"/>
        <v>1</v>
      </c>
      <c r="O63" s="13">
        <v>8749</v>
      </c>
      <c r="P63" s="6">
        <f t="shared" si="46"/>
        <v>187</v>
      </c>
      <c r="Q63" s="5">
        <v>116</v>
      </c>
      <c r="R63" s="6">
        <f t="shared" si="30"/>
        <v>28</v>
      </c>
      <c r="S63" s="5">
        <v>3416</v>
      </c>
      <c r="T63" s="6">
        <f t="shared" si="47"/>
        <v>54</v>
      </c>
      <c r="U63" s="5">
        <v>4125</v>
      </c>
      <c r="V63" s="6">
        <f t="shared" si="32"/>
        <v>91</v>
      </c>
      <c r="W63" s="5">
        <v>515</v>
      </c>
      <c r="X63" s="6">
        <f t="shared" si="48"/>
        <v>14</v>
      </c>
      <c r="Y63" s="7">
        <f t="shared" si="34"/>
        <v>371</v>
      </c>
      <c r="Z63" s="7">
        <f t="shared" si="35"/>
        <v>187</v>
      </c>
      <c r="AA63" s="7">
        <f t="shared" si="36"/>
        <v>558</v>
      </c>
      <c r="AB63" s="17">
        <f t="shared" si="37"/>
        <v>-306</v>
      </c>
      <c r="AC63" s="17">
        <f t="shared" si="38"/>
        <v>0</v>
      </c>
      <c r="AD63" s="17">
        <f t="shared" si="39"/>
        <v>-306</v>
      </c>
    </row>
    <row r="64" spans="1:30" hidden="1" x14ac:dyDescent="0.3">
      <c r="A64" s="9" t="s">
        <v>67</v>
      </c>
      <c r="B64" s="33">
        <v>45896</v>
      </c>
      <c r="C64" s="5">
        <v>29282</v>
      </c>
      <c r="D64" s="6">
        <f t="shared" si="25"/>
        <v>654</v>
      </c>
      <c r="E64" s="5">
        <v>0</v>
      </c>
      <c r="F64" s="6">
        <f t="shared" si="49"/>
        <v>0</v>
      </c>
      <c r="G64" s="5">
        <v>10138</v>
      </c>
      <c r="H64" s="6">
        <f t="shared" si="43"/>
        <v>210</v>
      </c>
      <c r="I64" s="5">
        <v>705</v>
      </c>
      <c r="J64" s="6">
        <f t="shared" si="50"/>
        <v>28</v>
      </c>
      <c r="K64" s="5">
        <v>4743</v>
      </c>
      <c r="L64" s="6">
        <f t="shared" si="50"/>
        <v>104</v>
      </c>
      <c r="M64" s="5">
        <v>66</v>
      </c>
      <c r="N64" s="12">
        <f t="shared" si="45"/>
        <v>1</v>
      </c>
      <c r="O64" s="13">
        <v>8936</v>
      </c>
      <c r="P64" s="6">
        <f t="shared" si="46"/>
        <v>242</v>
      </c>
      <c r="Q64" s="5">
        <v>144</v>
      </c>
      <c r="R64" s="6">
        <f t="shared" si="30"/>
        <v>36</v>
      </c>
      <c r="S64" s="5">
        <v>3470</v>
      </c>
      <c r="T64" s="6">
        <f t="shared" si="47"/>
        <v>83</v>
      </c>
      <c r="U64" s="5">
        <v>4216</v>
      </c>
      <c r="V64" s="6">
        <f t="shared" si="32"/>
        <v>106</v>
      </c>
      <c r="W64" s="5">
        <v>529</v>
      </c>
      <c r="X64" s="6">
        <f t="shared" si="48"/>
        <v>15</v>
      </c>
      <c r="Y64" s="7">
        <f t="shared" si="34"/>
        <v>343</v>
      </c>
      <c r="Z64" s="7">
        <f t="shared" si="35"/>
        <v>240</v>
      </c>
      <c r="AA64" s="7">
        <f t="shared" si="36"/>
        <v>583</v>
      </c>
      <c r="AB64" s="17">
        <f t="shared" si="37"/>
        <v>-311</v>
      </c>
      <c r="AC64" s="17">
        <f t="shared" si="38"/>
        <v>-2</v>
      </c>
      <c r="AD64" s="17">
        <f t="shared" si="39"/>
        <v>-313</v>
      </c>
    </row>
    <row r="65" spans="1:30" hidden="1" x14ac:dyDescent="0.3">
      <c r="A65" s="9" t="s">
        <v>68</v>
      </c>
      <c r="B65" s="33">
        <v>45897</v>
      </c>
      <c r="C65" s="5">
        <v>29936</v>
      </c>
      <c r="D65" s="6">
        <f t="shared" si="25"/>
        <v>696</v>
      </c>
      <c r="E65" s="5">
        <v>0</v>
      </c>
      <c r="F65" s="6">
        <f t="shared" si="49"/>
        <v>0</v>
      </c>
      <c r="G65" s="5">
        <v>10348</v>
      </c>
      <c r="H65" s="6">
        <f t="shared" si="43"/>
        <v>245</v>
      </c>
      <c r="I65" s="5">
        <v>733</v>
      </c>
      <c r="J65" s="6">
        <f t="shared" si="50"/>
        <v>36</v>
      </c>
      <c r="K65" s="5">
        <v>4847</v>
      </c>
      <c r="L65" s="6">
        <f t="shared" si="50"/>
        <v>116</v>
      </c>
      <c r="M65" s="5">
        <v>67</v>
      </c>
      <c r="N65" s="12">
        <f t="shared" si="45"/>
        <v>2</v>
      </c>
      <c r="O65" s="13">
        <v>9178</v>
      </c>
      <c r="P65" s="6">
        <f t="shared" si="46"/>
        <v>245</v>
      </c>
      <c r="Q65" s="5">
        <v>180</v>
      </c>
      <c r="R65" s="6">
        <f t="shared" si="30"/>
        <v>36</v>
      </c>
      <c r="S65" s="5">
        <v>3553</v>
      </c>
      <c r="T65" s="6">
        <f t="shared" si="47"/>
        <v>95</v>
      </c>
      <c r="U65" s="5">
        <v>4322</v>
      </c>
      <c r="V65" s="6">
        <f t="shared" si="32"/>
        <v>89</v>
      </c>
      <c r="W65" s="5">
        <v>544</v>
      </c>
      <c r="X65" s="6">
        <f t="shared" si="48"/>
        <v>11</v>
      </c>
      <c r="Y65" s="7">
        <f t="shared" si="34"/>
        <v>399</v>
      </c>
      <c r="Z65" s="7">
        <f t="shared" si="35"/>
        <v>231</v>
      </c>
      <c r="AA65" s="7">
        <f t="shared" si="36"/>
        <v>630</v>
      </c>
      <c r="AB65" s="17">
        <f t="shared" si="37"/>
        <v>-297</v>
      </c>
      <c r="AC65" s="17">
        <f t="shared" si="38"/>
        <v>-14</v>
      </c>
      <c r="AD65" s="17">
        <f t="shared" si="39"/>
        <v>-311</v>
      </c>
    </row>
    <row r="66" spans="1:30" hidden="1" x14ac:dyDescent="0.3">
      <c r="A66" s="9" t="s">
        <v>69</v>
      </c>
      <c r="B66" s="33">
        <v>45898</v>
      </c>
      <c r="C66" s="5">
        <v>30632</v>
      </c>
      <c r="D66" s="6">
        <f t="shared" si="25"/>
        <v>694</v>
      </c>
      <c r="E66" s="5">
        <v>0</v>
      </c>
      <c r="F66" s="6">
        <f t="shared" si="49"/>
        <v>0</v>
      </c>
      <c r="G66" s="5">
        <v>10593</v>
      </c>
      <c r="H66" s="6">
        <f t="shared" si="43"/>
        <v>230</v>
      </c>
      <c r="I66" s="5">
        <v>769</v>
      </c>
      <c r="J66" s="6">
        <f t="shared" si="50"/>
        <v>23</v>
      </c>
      <c r="K66" s="5">
        <v>4963</v>
      </c>
      <c r="L66" s="6">
        <f t="shared" si="50"/>
        <v>101</v>
      </c>
      <c r="M66" s="5">
        <v>69</v>
      </c>
      <c r="N66" s="12">
        <f t="shared" si="45"/>
        <v>1</v>
      </c>
      <c r="O66" s="13">
        <v>9423</v>
      </c>
      <c r="P66" s="6">
        <f t="shared" si="46"/>
        <v>239</v>
      </c>
      <c r="Q66" s="5">
        <v>216</v>
      </c>
      <c r="R66" s="6">
        <f t="shared" si="30"/>
        <v>48</v>
      </c>
      <c r="S66" s="5">
        <v>3648</v>
      </c>
      <c r="T66" s="6">
        <f t="shared" si="47"/>
        <v>67</v>
      </c>
      <c r="U66" s="5">
        <v>4411</v>
      </c>
      <c r="V66" s="6">
        <f t="shared" si="32"/>
        <v>83</v>
      </c>
      <c r="W66" s="5">
        <v>555</v>
      </c>
      <c r="X66" s="6">
        <f t="shared" si="48"/>
        <v>13</v>
      </c>
      <c r="Y66" s="7">
        <f t="shared" si="34"/>
        <v>355</v>
      </c>
      <c r="Z66" s="7">
        <f t="shared" si="35"/>
        <v>211</v>
      </c>
      <c r="AA66" s="7">
        <f t="shared" si="36"/>
        <v>566</v>
      </c>
      <c r="AB66" s="17">
        <f t="shared" si="37"/>
        <v>-339</v>
      </c>
      <c r="AC66" s="17">
        <f t="shared" si="38"/>
        <v>-28</v>
      </c>
      <c r="AD66" s="17">
        <f t="shared" si="39"/>
        <v>-367</v>
      </c>
    </row>
    <row r="67" spans="1:30" hidden="1" x14ac:dyDescent="0.3">
      <c r="A67" s="9" t="s">
        <v>70</v>
      </c>
      <c r="B67" s="33">
        <v>45899</v>
      </c>
      <c r="C67" s="5">
        <v>31326</v>
      </c>
      <c r="D67" s="6">
        <f t="shared" si="25"/>
        <v>770</v>
      </c>
      <c r="E67" s="5">
        <v>0</v>
      </c>
      <c r="F67" s="6">
        <f t="shared" si="49"/>
        <v>0</v>
      </c>
      <c r="G67" s="5">
        <v>10823</v>
      </c>
      <c r="H67" s="6">
        <f t="shared" si="43"/>
        <v>274</v>
      </c>
      <c r="I67" s="5">
        <v>792</v>
      </c>
      <c r="J67" s="6">
        <f t="shared" si="50"/>
        <v>13</v>
      </c>
      <c r="K67" s="5">
        <v>5064</v>
      </c>
      <c r="L67" s="6">
        <f t="shared" si="50"/>
        <v>135</v>
      </c>
      <c r="M67" s="5">
        <v>70</v>
      </c>
      <c r="N67" s="12">
        <f t="shared" si="45"/>
        <v>1</v>
      </c>
      <c r="O67" s="13">
        <v>9662</v>
      </c>
      <c r="P67" s="6">
        <f t="shared" si="46"/>
        <v>173</v>
      </c>
      <c r="Q67" s="5">
        <v>264</v>
      </c>
      <c r="R67" s="6">
        <f t="shared" si="30"/>
        <v>26</v>
      </c>
      <c r="S67" s="5">
        <v>3715</v>
      </c>
      <c r="T67" s="6">
        <f t="shared" si="47"/>
        <v>39</v>
      </c>
      <c r="U67" s="5">
        <v>4494</v>
      </c>
      <c r="V67" s="6">
        <f t="shared" si="32"/>
        <v>97</v>
      </c>
      <c r="W67" s="5">
        <v>568</v>
      </c>
      <c r="X67" s="6">
        <f t="shared" si="48"/>
        <v>10</v>
      </c>
      <c r="Y67" s="7">
        <f t="shared" si="34"/>
        <v>423</v>
      </c>
      <c r="Z67" s="7">
        <f t="shared" si="35"/>
        <v>172</v>
      </c>
      <c r="AA67" s="7">
        <f t="shared" si="36"/>
        <v>595</v>
      </c>
      <c r="AB67" s="17">
        <f t="shared" si="37"/>
        <v>-347</v>
      </c>
      <c r="AC67" s="17">
        <f t="shared" si="38"/>
        <v>-1</v>
      </c>
      <c r="AD67" s="17">
        <f t="shared" si="39"/>
        <v>-348</v>
      </c>
    </row>
    <row r="68" spans="1:30" hidden="1" x14ac:dyDescent="0.3">
      <c r="A68" s="9" t="s">
        <v>71</v>
      </c>
      <c r="B68" s="33">
        <v>45900</v>
      </c>
      <c r="C68" s="5">
        <v>32096</v>
      </c>
      <c r="D68" s="6">
        <f t="shared" si="25"/>
        <v>325</v>
      </c>
      <c r="E68" s="5">
        <v>0</v>
      </c>
      <c r="F68" s="6">
        <f t="shared" si="49"/>
        <v>0</v>
      </c>
      <c r="G68" s="5">
        <v>11097</v>
      </c>
      <c r="H68" s="6">
        <f t="shared" si="43"/>
        <v>130</v>
      </c>
      <c r="I68" s="5">
        <v>805</v>
      </c>
      <c r="J68" s="6">
        <f t="shared" si="50"/>
        <v>0</v>
      </c>
      <c r="K68" s="5">
        <v>5199</v>
      </c>
      <c r="L68" s="6">
        <f t="shared" si="50"/>
        <v>100</v>
      </c>
      <c r="M68" s="5">
        <v>71</v>
      </c>
      <c r="N68" s="12">
        <f t="shared" si="45"/>
        <v>0</v>
      </c>
      <c r="O68" s="13">
        <v>9835</v>
      </c>
      <c r="P68" s="6">
        <f t="shared" si="46"/>
        <v>110</v>
      </c>
      <c r="Q68" s="5">
        <v>290</v>
      </c>
      <c r="R68" s="6">
        <f t="shared" si="30"/>
        <v>0</v>
      </c>
      <c r="S68" s="5">
        <v>3754</v>
      </c>
      <c r="T68" s="6">
        <f t="shared" si="47"/>
        <v>20</v>
      </c>
      <c r="U68" s="5">
        <v>4591</v>
      </c>
      <c r="V68" s="6">
        <f t="shared" si="32"/>
        <v>80</v>
      </c>
      <c r="W68" s="5">
        <v>578</v>
      </c>
      <c r="X68" s="6">
        <f t="shared" si="48"/>
        <v>9</v>
      </c>
      <c r="Y68" s="7">
        <f t="shared" si="34"/>
        <v>230</v>
      </c>
      <c r="Z68" s="7">
        <f t="shared" si="35"/>
        <v>109</v>
      </c>
      <c r="AA68" s="7">
        <f t="shared" si="36"/>
        <v>339</v>
      </c>
      <c r="AB68" s="17">
        <f t="shared" si="37"/>
        <v>-95</v>
      </c>
      <c r="AC68" s="17">
        <f t="shared" si="38"/>
        <v>-1</v>
      </c>
      <c r="AD68" s="17">
        <f t="shared" si="39"/>
        <v>-96</v>
      </c>
    </row>
    <row r="69" spans="1:30" hidden="1" x14ac:dyDescent="0.3">
      <c r="A69" s="9" t="s">
        <v>72</v>
      </c>
      <c r="B69" s="33">
        <v>45901</v>
      </c>
      <c r="C69" s="5">
        <v>32421</v>
      </c>
      <c r="D69" s="6"/>
      <c r="E69" s="5">
        <v>0</v>
      </c>
      <c r="F69" s="6"/>
      <c r="G69" s="5">
        <v>11227</v>
      </c>
      <c r="H69" s="6"/>
      <c r="I69" s="5">
        <v>805</v>
      </c>
      <c r="J69" s="6"/>
      <c r="K69" s="5">
        <v>5299</v>
      </c>
      <c r="L69" s="6"/>
      <c r="M69" s="5">
        <v>71</v>
      </c>
      <c r="N69" s="12"/>
      <c r="O69" s="13">
        <v>9945</v>
      </c>
      <c r="P69" s="6"/>
      <c r="Q69" s="5">
        <v>290</v>
      </c>
      <c r="R69" s="6"/>
      <c r="S69" s="5">
        <v>3774</v>
      </c>
      <c r="T69" s="6"/>
      <c r="U69" s="5">
        <v>4671</v>
      </c>
      <c r="V69" s="6"/>
      <c r="W69" s="5">
        <v>587</v>
      </c>
      <c r="X69" s="6"/>
      <c r="Y69" s="7">
        <f t="shared" si="34"/>
        <v>0</v>
      </c>
      <c r="Z69" s="7">
        <f t="shared" si="35"/>
        <v>0</v>
      </c>
      <c r="AA69" s="7">
        <f t="shared" si="36"/>
        <v>0</v>
      </c>
      <c r="AB69" s="17">
        <f t="shared" si="37"/>
        <v>0</v>
      </c>
      <c r="AC69" s="17">
        <f t="shared" si="38"/>
        <v>0</v>
      </c>
      <c r="AD69" s="17">
        <f t="shared" si="39"/>
        <v>0</v>
      </c>
    </row>
    <row r="70" spans="1:30" ht="23.4" hidden="1" x14ac:dyDescent="0.3">
      <c r="A70" s="152" t="s">
        <v>73</v>
      </c>
      <c r="B70" s="153"/>
      <c r="C70" s="8"/>
      <c r="D70" s="11">
        <f>SUM(D38:D68)</f>
        <v>15198</v>
      </c>
      <c r="E70" s="8"/>
      <c r="F70" s="11">
        <f>SUM(F38:F68)</f>
        <v>0</v>
      </c>
      <c r="G70" s="8"/>
      <c r="H70" s="11">
        <f>SUM(H38:H68)</f>
        <v>5732</v>
      </c>
      <c r="I70" s="8"/>
      <c r="J70" s="11">
        <f>SUM(J38:J68)</f>
        <v>518</v>
      </c>
      <c r="K70" s="8"/>
      <c r="L70" s="11">
        <f>SUM(L38:L68)</f>
        <v>2612</v>
      </c>
      <c r="M70" s="8"/>
      <c r="N70" s="11">
        <f>SUM(N38:N68)</f>
        <v>47</v>
      </c>
      <c r="O70" s="15"/>
      <c r="P70" s="11">
        <f>SUM(P38:P68)</f>
        <v>5089</v>
      </c>
      <c r="Q70" s="8"/>
      <c r="R70" s="11">
        <f>SUM(R38:R68)</f>
        <v>288</v>
      </c>
      <c r="S70" s="8"/>
      <c r="T70" s="11">
        <f>SUM(T38:T68)</f>
        <v>1913</v>
      </c>
      <c r="U70" s="8"/>
      <c r="V70" s="11">
        <f>SUM(V38:V68)</f>
        <v>2038</v>
      </c>
      <c r="W70" s="8"/>
      <c r="X70" s="11">
        <f>SUM(X38:X68)</f>
        <v>311</v>
      </c>
      <c r="Y70" s="7">
        <f>SUM(F70,H70,J70,L70,N70)</f>
        <v>8909</v>
      </c>
      <c r="Z70" s="7">
        <f>SUM(R70,T70,V70,X70)</f>
        <v>4550</v>
      </c>
      <c r="AA70" s="7">
        <f t="shared" si="36"/>
        <v>13459</v>
      </c>
      <c r="AB70" s="17">
        <f>D70-Y70</f>
        <v>6289</v>
      </c>
      <c r="AC70" s="17">
        <f>P70-Z70</f>
        <v>539</v>
      </c>
      <c r="AD70" s="17">
        <f>(D70+P70)-AA70</f>
        <v>6828</v>
      </c>
    </row>
    <row r="71" spans="1:30" hidden="1" x14ac:dyDescent="0.3">
      <c r="A71" s="9" t="s">
        <v>72</v>
      </c>
      <c r="B71" s="33">
        <v>45901</v>
      </c>
      <c r="C71" s="5">
        <v>32421</v>
      </c>
      <c r="D71" s="6">
        <f t="shared" ref="D71:D100" si="51">IF(C72&lt;&gt;"",C72-C71,"")</f>
        <v>462</v>
      </c>
      <c r="E71" s="5">
        <v>0</v>
      </c>
      <c r="F71" s="6" t="str">
        <f>IF(E72&lt;&gt;"",E72-E71,"")</f>
        <v/>
      </c>
      <c r="G71" s="5">
        <v>11227</v>
      </c>
      <c r="H71" s="6">
        <f t="shared" ref="H71:H100" si="52">IF(G72&lt;&gt;"",G72-G71,"")</f>
        <v>181</v>
      </c>
      <c r="I71" s="5">
        <v>805</v>
      </c>
      <c r="J71" s="6">
        <f t="shared" ref="J71:J100" si="53">IF(I72&lt;&gt;"",I72-I71,"")</f>
        <v>16</v>
      </c>
      <c r="K71" s="5">
        <v>5299</v>
      </c>
      <c r="L71" s="6">
        <f t="shared" ref="L71:L100" si="54">IF(K72&lt;&gt;"",K72-K71,"")</f>
        <v>93</v>
      </c>
      <c r="M71" s="5">
        <v>71</v>
      </c>
      <c r="N71" s="6">
        <f t="shared" ref="N71:N100" si="55">IF(M72&lt;&gt;"",M72-M71,"")</f>
        <v>1</v>
      </c>
      <c r="O71" s="13">
        <v>9945</v>
      </c>
      <c r="P71" s="6">
        <f t="shared" ref="P71:P100" si="56">IF(O72&lt;&gt;"",O72-O71,"")</f>
        <v>129</v>
      </c>
      <c r="Q71" s="5">
        <v>290</v>
      </c>
      <c r="R71" s="6">
        <f t="shared" ref="R71:R100" si="57">IF(Q72&lt;&gt;"",Q72-Q71,"")</f>
        <v>20</v>
      </c>
      <c r="S71" s="5">
        <v>3774</v>
      </c>
      <c r="T71" s="6">
        <f t="shared" ref="T71:T100" si="58">IF(S72&lt;&gt;"",S72-S71,"")</f>
        <v>30</v>
      </c>
      <c r="U71" s="5">
        <v>4671</v>
      </c>
      <c r="V71" s="6">
        <f t="shared" ref="V71:V100" si="59">IF(U72&lt;&gt;"",U72-U71,"")</f>
        <v>71</v>
      </c>
      <c r="W71" s="5">
        <v>587</v>
      </c>
      <c r="X71" s="6">
        <f t="shared" ref="X71:X100" si="60">IF(W72&lt;&gt;"",W72-W71,"")</f>
        <v>10</v>
      </c>
      <c r="Y71" s="7">
        <f>SUM(F71,H71,J71,L71,N71)</f>
        <v>291</v>
      </c>
      <c r="Z71" s="7">
        <f>SUM(R71,T71,V71,X71)</f>
        <v>131</v>
      </c>
      <c r="AA71" s="7">
        <f>SUM(F71,H71,J71,L71,N71,R71,T71,V71,X71)</f>
        <v>422</v>
      </c>
      <c r="AB71" s="17">
        <f>Y71-D71</f>
        <v>-171</v>
      </c>
      <c r="AC71" s="17">
        <f>Z71-P71</f>
        <v>2</v>
      </c>
      <c r="AD71" s="17">
        <f>AA71-(D71+P71)</f>
        <v>-169</v>
      </c>
    </row>
    <row r="72" spans="1:30" hidden="1" x14ac:dyDescent="0.3">
      <c r="A72" s="9" t="s">
        <v>66</v>
      </c>
      <c r="B72" s="33">
        <v>45902</v>
      </c>
      <c r="C72" s="5">
        <v>32883</v>
      </c>
      <c r="D72" s="6">
        <f t="shared" si="51"/>
        <v>522</v>
      </c>
      <c r="E72" s="5"/>
      <c r="F72" s="6" t="str">
        <f t="shared" ref="F72:F100" si="61">IF(E73&lt;&gt;"",E73-E72,"")</f>
        <v/>
      </c>
      <c r="G72" s="5">
        <v>11408</v>
      </c>
      <c r="H72" s="6">
        <f t="shared" si="52"/>
        <v>196</v>
      </c>
      <c r="I72" s="5">
        <v>821</v>
      </c>
      <c r="J72" s="6">
        <f t="shared" si="53"/>
        <v>12</v>
      </c>
      <c r="K72" s="5">
        <v>5392</v>
      </c>
      <c r="L72" s="6">
        <f t="shared" si="54"/>
        <v>104</v>
      </c>
      <c r="M72" s="5">
        <v>72</v>
      </c>
      <c r="N72" s="6">
        <f t="shared" si="55"/>
        <v>2</v>
      </c>
      <c r="O72" s="13">
        <v>10074</v>
      </c>
      <c r="P72" s="6">
        <f t="shared" si="56"/>
        <v>166</v>
      </c>
      <c r="Q72" s="5">
        <v>310</v>
      </c>
      <c r="R72" s="6">
        <f t="shared" si="57"/>
        <v>39</v>
      </c>
      <c r="S72" s="5">
        <v>3804</v>
      </c>
      <c r="T72" s="6">
        <f t="shared" si="58"/>
        <v>38</v>
      </c>
      <c r="U72" s="5">
        <v>4742</v>
      </c>
      <c r="V72" s="6">
        <f t="shared" si="59"/>
        <v>75</v>
      </c>
      <c r="W72" s="5">
        <v>597</v>
      </c>
      <c r="X72" s="6">
        <f t="shared" si="60"/>
        <v>13</v>
      </c>
      <c r="Y72" s="7">
        <f>SUM(F72,H72,J72,L72,N72)</f>
        <v>314</v>
      </c>
      <c r="Z72" s="7">
        <f>SUM(R72,T72,V72,X72)</f>
        <v>165</v>
      </c>
      <c r="AA72" s="7">
        <f>SUM(F72,H72,J72,L72,N72,R72,T72,V72,X72)</f>
        <v>479</v>
      </c>
      <c r="AB72" s="17">
        <f>Y72-D72</f>
        <v>-208</v>
      </c>
      <c r="AC72" s="17">
        <f>Z72-P72</f>
        <v>-1</v>
      </c>
      <c r="AD72" s="17">
        <f>AA72-(D72+P72)</f>
        <v>-209</v>
      </c>
    </row>
    <row r="73" spans="1:30" hidden="1" x14ac:dyDescent="0.3">
      <c r="A73" s="9" t="s">
        <v>67</v>
      </c>
      <c r="B73" s="33">
        <v>45903</v>
      </c>
      <c r="C73" s="5">
        <v>33405</v>
      </c>
      <c r="D73" s="6">
        <f t="shared" si="51"/>
        <v>544</v>
      </c>
      <c r="E73" s="5"/>
      <c r="F73" s="6" t="str">
        <f t="shared" si="61"/>
        <v/>
      </c>
      <c r="G73" s="5">
        <v>11604</v>
      </c>
      <c r="H73" s="6">
        <f t="shared" si="52"/>
        <v>178</v>
      </c>
      <c r="I73" s="5">
        <v>833</v>
      </c>
      <c r="J73" s="6">
        <f t="shared" si="53"/>
        <v>11</v>
      </c>
      <c r="K73" s="5">
        <v>5496</v>
      </c>
      <c r="L73" s="6">
        <f t="shared" si="54"/>
        <v>0</v>
      </c>
      <c r="M73" s="5">
        <v>74</v>
      </c>
      <c r="N73" s="6">
        <f t="shared" si="55"/>
        <v>1</v>
      </c>
      <c r="O73" s="13">
        <v>10240</v>
      </c>
      <c r="P73" s="6">
        <f t="shared" si="56"/>
        <v>149</v>
      </c>
      <c r="Q73" s="5">
        <v>349</v>
      </c>
      <c r="R73" s="6">
        <f t="shared" si="57"/>
        <v>51</v>
      </c>
      <c r="S73" s="5">
        <v>3842</v>
      </c>
      <c r="T73" s="6">
        <f t="shared" si="58"/>
        <v>18</v>
      </c>
      <c r="U73" s="5">
        <v>4817</v>
      </c>
      <c r="V73" s="6">
        <f t="shared" si="59"/>
        <v>67</v>
      </c>
      <c r="W73" s="5">
        <v>610</v>
      </c>
      <c r="X73" s="6">
        <f t="shared" si="60"/>
        <v>12</v>
      </c>
      <c r="Y73" s="7">
        <f t="shared" ref="Y73:Y101" si="62">SUM(F73,H73,J73,L73,N73)</f>
        <v>190</v>
      </c>
      <c r="Z73" s="7">
        <f t="shared" ref="Z73:Z101" si="63">SUM(R73,T73,V73,X73)</f>
        <v>148</v>
      </c>
      <c r="AA73" s="7">
        <f t="shared" ref="AA73:AA102" si="64">SUM(F73,H73,J73,L73,N73,R73,T73,V73,X73)</f>
        <v>338</v>
      </c>
      <c r="AB73" s="17">
        <f t="shared" ref="AB73:AB101" si="65">Y73-D73</f>
        <v>-354</v>
      </c>
      <c r="AC73" s="17">
        <f t="shared" ref="AC73:AC101" si="66">Z73-P73</f>
        <v>-1</v>
      </c>
      <c r="AD73" s="17">
        <f t="shared" ref="AD73:AD101" si="67">AA73-(D73+P73)</f>
        <v>-355</v>
      </c>
    </row>
    <row r="74" spans="1:30" hidden="1" x14ac:dyDescent="0.3">
      <c r="A74" s="9" t="s">
        <v>68</v>
      </c>
      <c r="B74" s="33">
        <v>45904</v>
      </c>
      <c r="C74" s="5">
        <v>33949</v>
      </c>
      <c r="D74" s="6">
        <f t="shared" si="51"/>
        <v>584</v>
      </c>
      <c r="E74" s="5"/>
      <c r="F74" s="6" t="str">
        <f t="shared" si="61"/>
        <v/>
      </c>
      <c r="G74" s="5">
        <v>11782</v>
      </c>
      <c r="H74" s="6">
        <f t="shared" si="52"/>
        <v>205</v>
      </c>
      <c r="I74" s="5">
        <v>844</v>
      </c>
      <c r="J74" s="6">
        <f t="shared" si="53"/>
        <v>20</v>
      </c>
      <c r="K74" s="5">
        <v>5496</v>
      </c>
      <c r="L74" s="6">
        <f t="shared" si="54"/>
        <v>192</v>
      </c>
      <c r="M74" s="5">
        <v>75</v>
      </c>
      <c r="N74" s="6">
        <f t="shared" si="55"/>
        <v>1</v>
      </c>
      <c r="O74" s="13">
        <v>10389</v>
      </c>
      <c r="P74" s="6">
        <f t="shared" si="56"/>
        <v>200</v>
      </c>
      <c r="Q74" s="5">
        <v>400</v>
      </c>
      <c r="R74" s="6">
        <f t="shared" si="57"/>
        <v>55</v>
      </c>
      <c r="S74" s="5">
        <v>3860</v>
      </c>
      <c r="T74" s="6">
        <f t="shared" si="58"/>
        <v>47</v>
      </c>
      <c r="U74" s="5">
        <v>4884</v>
      </c>
      <c r="V74" s="6">
        <f t="shared" si="59"/>
        <v>65</v>
      </c>
      <c r="W74" s="5">
        <v>622</v>
      </c>
      <c r="X74" s="6">
        <f t="shared" si="60"/>
        <v>13</v>
      </c>
      <c r="Y74" s="7">
        <f t="shared" si="62"/>
        <v>418</v>
      </c>
      <c r="Z74" s="7">
        <f t="shared" si="63"/>
        <v>180</v>
      </c>
      <c r="AA74" s="7">
        <f t="shared" si="64"/>
        <v>598</v>
      </c>
      <c r="AB74" s="17">
        <f t="shared" si="65"/>
        <v>-166</v>
      </c>
      <c r="AC74" s="17">
        <f t="shared" si="66"/>
        <v>-20</v>
      </c>
      <c r="AD74" s="17">
        <f t="shared" si="67"/>
        <v>-186</v>
      </c>
    </row>
    <row r="75" spans="1:30" hidden="1" x14ac:dyDescent="0.3">
      <c r="A75" s="9" t="s">
        <v>69</v>
      </c>
      <c r="B75" s="33">
        <v>45905</v>
      </c>
      <c r="C75" s="5">
        <v>34533</v>
      </c>
      <c r="D75" s="6">
        <f t="shared" si="51"/>
        <v>509</v>
      </c>
      <c r="E75" s="5"/>
      <c r="F75" s="6" t="str">
        <f t="shared" si="61"/>
        <v/>
      </c>
      <c r="G75" s="5">
        <v>11987</v>
      </c>
      <c r="H75" s="6">
        <f t="shared" si="52"/>
        <v>170</v>
      </c>
      <c r="I75" s="5">
        <v>864</v>
      </c>
      <c r="J75" s="6">
        <f t="shared" si="53"/>
        <v>20</v>
      </c>
      <c r="K75" s="5">
        <v>5688</v>
      </c>
      <c r="L75" s="6">
        <f t="shared" si="54"/>
        <v>86</v>
      </c>
      <c r="M75" s="5">
        <v>76</v>
      </c>
      <c r="N75" s="6">
        <f t="shared" si="55"/>
        <v>2</v>
      </c>
      <c r="O75" s="13">
        <v>10589</v>
      </c>
      <c r="P75" s="6">
        <f t="shared" si="56"/>
        <v>204</v>
      </c>
      <c r="Q75" s="5">
        <v>455</v>
      </c>
      <c r="R75" s="6">
        <f t="shared" si="57"/>
        <v>68</v>
      </c>
      <c r="S75" s="5">
        <v>3907</v>
      </c>
      <c r="T75" s="6">
        <f t="shared" si="58"/>
        <v>63</v>
      </c>
      <c r="U75" s="5">
        <v>4949</v>
      </c>
      <c r="V75" s="6">
        <f t="shared" si="59"/>
        <v>65</v>
      </c>
      <c r="W75" s="5">
        <v>635</v>
      </c>
      <c r="X75" s="6">
        <f t="shared" si="60"/>
        <v>8</v>
      </c>
      <c r="Y75" s="7">
        <f t="shared" si="62"/>
        <v>278</v>
      </c>
      <c r="Z75" s="7">
        <f t="shared" si="63"/>
        <v>204</v>
      </c>
      <c r="AA75" s="7">
        <f t="shared" si="64"/>
        <v>482</v>
      </c>
      <c r="AB75" s="17">
        <f t="shared" si="65"/>
        <v>-231</v>
      </c>
      <c r="AC75" s="17">
        <f t="shared" si="66"/>
        <v>0</v>
      </c>
      <c r="AD75" s="17">
        <f t="shared" si="67"/>
        <v>-231</v>
      </c>
    </row>
    <row r="76" spans="1:30" hidden="1" x14ac:dyDescent="0.3">
      <c r="A76" s="9" t="s">
        <v>70</v>
      </c>
      <c r="B76" s="33">
        <v>45906</v>
      </c>
      <c r="C76" s="5">
        <v>35042</v>
      </c>
      <c r="D76" s="6">
        <f t="shared" si="51"/>
        <v>4</v>
      </c>
      <c r="E76" s="5"/>
      <c r="F76" s="6" t="str">
        <f t="shared" si="61"/>
        <v/>
      </c>
      <c r="G76" s="5">
        <v>12157</v>
      </c>
      <c r="H76" s="6">
        <f t="shared" si="52"/>
        <v>0</v>
      </c>
      <c r="I76" s="5">
        <v>884</v>
      </c>
      <c r="J76" s="6">
        <f t="shared" si="53"/>
        <v>0</v>
      </c>
      <c r="K76" s="5">
        <v>5774</v>
      </c>
      <c r="L76" s="6">
        <f t="shared" si="54"/>
        <v>3</v>
      </c>
      <c r="M76" s="5">
        <v>78</v>
      </c>
      <c r="N76" s="6">
        <f t="shared" si="55"/>
        <v>0</v>
      </c>
      <c r="O76" s="13">
        <v>10793</v>
      </c>
      <c r="P76" s="6">
        <f t="shared" si="56"/>
        <v>15</v>
      </c>
      <c r="Q76" s="5">
        <v>523</v>
      </c>
      <c r="R76" s="6">
        <f t="shared" si="57"/>
        <v>0</v>
      </c>
      <c r="S76" s="5">
        <v>3970</v>
      </c>
      <c r="T76" s="6">
        <f t="shared" si="58"/>
        <v>9</v>
      </c>
      <c r="U76" s="5">
        <v>5014</v>
      </c>
      <c r="V76" s="6">
        <f t="shared" si="59"/>
        <v>1</v>
      </c>
      <c r="W76" s="5">
        <v>643</v>
      </c>
      <c r="X76" s="6">
        <f t="shared" si="60"/>
        <v>4</v>
      </c>
      <c r="Y76" s="7">
        <f t="shared" si="62"/>
        <v>3</v>
      </c>
      <c r="Z76" s="7">
        <f t="shared" si="63"/>
        <v>14</v>
      </c>
      <c r="AA76" s="7">
        <f t="shared" si="64"/>
        <v>17</v>
      </c>
      <c r="AB76" s="17">
        <f t="shared" si="65"/>
        <v>-1</v>
      </c>
      <c r="AC76" s="17">
        <f t="shared" si="66"/>
        <v>-1</v>
      </c>
      <c r="AD76" s="17">
        <f t="shared" si="67"/>
        <v>-2</v>
      </c>
    </row>
    <row r="77" spans="1:30" hidden="1" x14ac:dyDescent="0.3">
      <c r="A77" s="9" t="s">
        <v>71</v>
      </c>
      <c r="B77" s="33">
        <v>45907</v>
      </c>
      <c r="C77" s="5">
        <v>35046</v>
      </c>
      <c r="D77" s="6">
        <f t="shared" si="51"/>
        <v>5</v>
      </c>
      <c r="E77" s="5"/>
      <c r="F77" s="6" t="str">
        <f t="shared" si="61"/>
        <v/>
      </c>
      <c r="G77" s="5">
        <v>12157</v>
      </c>
      <c r="H77" s="6">
        <f t="shared" si="52"/>
        <v>0</v>
      </c>
      <c r="I77" s="5">
        <v>884</v>
      </c>
      <c r="J77" s="6">
        <f t="shared" si="53"/>
        <v>0</v>
      </c>
      <c r="K77" s="5">
        <v>5777</v>
      </c>
      <c r="L77" s="6">
        <f t="shared" si="54"/>
        <v>3</v>
      </c>
      <c r="M77" s="5">
        <v>78</v>
      </c>
      <c r="N77" s="6">
        <f t="shared" si="55"/>
        <v>0</v>
      </c>
      <c r="O77" s="13">
        <v>10808</v>
      </c>
      <c r="P77" s="6">
        <f t="shared" si="56"/>
        <v>15</v>
      </c>
      <c r="Q77" s="5">
        <v>523</v>
      </c>
      <c r="R77" s="6">
        <f t="shared" si="57"/>
        <v>0</v>
      </c>
      <c r="S77" s="5">
        <v>3979</v>
      </c>
      <c r="T77" s="6">
        <f t="shared" si="58"/>
        <v>8</v>
      </c>
      <c r="U77" s="5">
        <v>5015</v>
      </c>
      <c r="V77" s="6">
        <f t="shared" si="59"/>
        <v>3</v>
      </c>
      <c r="W77" s="5">
        <v>647</v>
      </c>
      <c r="X77" s="6">
        <f t="shared" si="60"/>
        <v>3</v>
      </c>
      <c r="Y77" s="7">
        <f t="shared" si="62"/>
        <v>3</v>
      </c>
      <c r="Z77" s="7">
        <f t="shared" si="63"/>
        <v>14</v>
      </c>
      <c r="AA77" s="7">
        <f t="shared" si="64"/>
        <v>17</v>
      </c>
      <c r="AB77" s="17">
        <f t="shared" si="65"/>
        <v>-2</v>
      </c>
      <c r="AC77" s="17">
        <f t="shared" si="66"/>
        <v>-1</v>
      </c>
      <c r="AD77" s="17">
        <f t="shared" si="67"/>
        <v>-3</v>
      </c>
    </row>
    <row r="78" spans="1:30" hidden="1" x14ac:dyDescent="0.3">
      <c r="A78" s="9" t="s">
        <v>72</v>
      </c>
      <c r="B78" s="33">
        <v>45908</v>
      </c>
      <c r="C78" s="5">
        <v>35051</v>
      </c>
      <c r="D78" s="6">
        <f t="shared" si="51"/>
        <v>537</v>
      </c>
      <c r="E78" s="5"/>
      <c r="F78" s="6" t="str">
        <f t="shared" si="61"/>
        <v/>
      </c>
      <c r="G78" s="5">
        <v>12157</v>
      </c>
      <c r="H78" s="6">
        <f t="shared" si="52"/>
        <v>185</v>
      </c>
      <c r="I78" s="5">
        <v>884</v>
      </c>
      <c r="J78" s="6">
        <f t="shared" si="53"/>
        <v>19</v>
      </c>
      <c r="K78" s="5">
        <v>5780</v>
      </c>
      <c r="L78" s="6">
        <f t="shared" si="54"/>
        <v>93</v>
      </c>
      <c r="M78" s="5">
        <v>78</v>
      </c>
      <c r="N78" s="6">
        <f t="shared" si="55"/>
        <v>1</v>
      </c>
      <c r="O78" s="13">
        <v>10823</v>
      </c>
      <c r="P78" s="6">
        <f t="shared" si="56"/>
        <v>227</v>
      </c>
      <c r="Q78" s="5">
        <v>523</v>
      </c>
      <c r="R78" s="6">
        <f t="shared" si="57"/>
        <v>66</v>
      </c>
      <c r="S78" s="5">
        <v>3987</v>
      </c>
      <c r="T78" s="6">
        <f t="shared" si="58"/>
        <v>81</v>
      </c>
      <c r="U78" s="5">
        <v>5018</v>
      </c>
      <c r="V78" s="6">
        <f t="shared" si="59"/>
        <v>68</v>
      </c>
      <c r="W78" s="5">
        <v>650</v>
      </c>
      <c r="X78" s="6">
        <f t="shared" si="60"/>
        <v>13</v>
      </c>
      <c r="Y78" s="7">
        <f t="shared" si="62"/>
        <v>298</v>
      </c>
      <c r="Z78" s="7">
        <f t="shared" si="63"/>
        <v>228</v>
      </c>
      <c r="AA78" s="7">
        <f t="shared" si="64"/>
        <v>526</v>
      </c>
      <c r="AB78" s="17">
        <f t="shared" si="65"/>
        <v>-239</v>
      </c>
      <c r="AC78" s="17">
        <f t="shared" si="66"/>
        <v>1</v>
      </c>
      <c r="AD78" s="17">
        <f t="shared" si="67"/>
        <v>-238</v>
      </c>
    </row>
    <row r="79" spans="1:30" hidden="1" x14ac:dyDescent="0.3">
      <c r="A79" s="9" t="s">
        <v>66</v>
      </c>
      <c r="B79" s="33">
        <v>45909</v>
      </c>
      <c r="C79" s="5">
        <v>35588</v>
      </c>
      <c r="D79" s="6">
        <f t="shared" si="51"/>
        <v>568</v>
      </c>
      <c r="E79" s="5"/>
      <c r="F79" s="6" t="str">
        <f t="shared" si="61"/>
        <v/>
      </c>
      <c r="G79" s="5">
        <v>12342</v>
      </c>
      <c r="H79" s="6">
        <f t="shared" si="52"/>
        <v>192</v>
      </c>
      <c r="I79" s="5">
        <v>903</v>
      </c>
      <c r="J79" s="6">
        <f t="shared" si="53"/>
        <v>25</v>
      </c>
      <c r="K79" s="5">
        <v>5873</v>
      </c>
      <c r="L79" s="6">
        <f t="shared" si="54"/>
        <v>97</v>
      </c>
      <c r="M79" s="5">
        <v>79</v>
      </c>
      <c r="N79" s="6">
        <f t="shared" si="55"/>
        <v>2</v>
      </c>
      <c r="O79" s="13">
        <v>11050</v>
      </c>
      <c r="P79" s="6">
        <f t="shared" si="56"/>
        <v>227</v>
      </c>
      <c r="Q79" s="5">
        <v>589</v>
      </c>
      <c r="R79" s="6">
        <f t="shared" si="57"/>
        <v>50</v>
      </c>
      <c r="S79" s="5">
        <v>4068</v>
      </c>
      <c r="T79" s="6">
        <f t="shared" si="58"/>
        <v>97</v>
      </c>
      <c r="U79" s="5">
        <v>5086</v>
      </c>
      <c r="V79" s="6">
        <f t="shared" si="59"/>
        <v>69</v>
      </c>
      <c r="W79" s="5">
        <v>663</v>
      </c>
      <c r="X79" s="6">
        <f t="shared" si="60"/>
        <v>11</v>
      </c>
      <c r="Y79" s="7">
        <f t="shared" si="62"/>
        <v>316</v>
      </c>
      <c r="Z79" s="7">
        <f t="shared" si="63"/>
        <v>227</v>
      </c>
      <c r="AA79" s="7">
        <f t="shared" si="64"/>
        <v>543</v>
      </c>
      <c r="AB79" s="17">
        <f t="shared" si="65"/>
        <v>-252</v>
      </c>
      <c r="AC79" s="17">
        <f t="shared" si="66"/>
        <v>0</v>
      </c>
      <c r="AD79" s="17">
        <f t="shared" si="67"/>
        <v>-252</v>
      </c>
    </row>
    <row r="80" spans="1:30" hidden="1" x14ac:dyDescent="0.3">
      <c r="A80" s="9" t="s">
        <v>67</v>
      </c>
      <c r="B80" s="33">
        <v>45910</v>
      </c>
      <c r="C80" s="5">
        <v>36156</v>
      </c>
      <c r="D80" s="6">
        <f t="shared" si="51"/>
        <v>531</v>
      </c>
      <c r="E80" s="5"/>
      <c r="F80" s="6" t="str">
        <f t="shared" si="61"/>
        <v/>
      </c>
      <c r="G80" s="5">
        <v>12534</v>
      </c>
      <c r="H80" s="6">
        <f t="shared" si="52"/>
        <v>195</v>
      </c>
      <c r="I80" s="5">
        <v>928</v>
      </c>
      <c r="J80" s="6">
        <f t="shared" si="53"/>
        <v>23</v>
      </c>
      <c r="K80" s="5">
        <v>5970</v>
      </c>
      <c r="L80" s="6">
        <f t="shared" si="54"/>
        <v>90</v>
      </c>
      <c r="M80" s="5">
        <v>81</v>
      </c>
      <c r="N80" s="6">
        <f t="shared" si="55"/>
        <v>1</v>
      </c>
      <c r="O80" s="13">
        <v>11277</v>
      </c>
      <c r="P80" s="6">
        <f t="shared" si="56"/>
        <v>286</v>
      </c>
      <c r="Q80" s="5">
        <v>639</v>
      </c>
      <c r="R80" s="6">
        <f t="shared" si="57"/>
        <v>97</v>
      </c>
      <c r="S80" s="5">
        <v>4165</v>
      </c>
      <c r="T80" s="6">
        <f t="shared" si="58"/>
        <v>90</v>
      </c>
      <c r="U80" s="5">
        <v>5155</v>
      </c>
      <c r="V80" s="6">
        <f t="shared" si="59"/>
        <v>65</v>
      </c>
      <c r="W80" s="5">
        <v>674</v>
      </c>
      <c r="X80" s="6">
        <f t="shared" si="60"/>
        <v>12</v>
      </c>
      <c r="Y80" s="7">
        <f t="shared" si="62"/>
        <v>309</v>
      </c>
      <c r="Z80" s="7">
        <f t="shared" si="63"/>
        <v>264</v>
      </c>
      <c r="AA80" s="7">
        <f t="shared" si="64"/>
        <v>573</v>
      </c>
      <c r="AB80" s="17">
        <f t="shared" si="65"/>
        <v>-222</v>
      </c>
      <c r="AC80" s="17">
        <f t="shared" si="66"/>
        <v>-22</v>
      </c>
      <c r="AD80" s="17">
        <f t="shared" si="67"/>
        <v>-244</v>
      </c>
    </row>
    <row r="81" spans="1:30" hidden="1" x14ac:dyDescent="0.3">
      <c r="A81" s="9" t="s">
        <v>68</v>
      </c>
      <c r="B81" s="33">
        <v>45911</v>
      </c>
      <c r="C81" s="5">
        <v>36687</v>
      </c>
      <c r="D81" s="6">
        <f t="shared" si="51"/>
        <v>581</v>
      </c>
      <c r="E81" s="5"/>
      <c r="F81" s="6" t="str">
        <f t="shared" si="61"/>
        <v/>
      </c>
      <c r="G81" s="5">
        <v>12729</v>
      </c>
      <c r="H81" s="6">
        <f t="shared" si="52"/>
        <v>212</v>
      </c>
      <c r="I81" s="5">
        <v>951</v>
      </c>
      <c r="J81" s="6">
        <f t="shared" si="53"/>
        <v>26</v>
      </c>
      <c r="K81" s="5">
        <v>6060</v>
      </c>
      <c r="L81" s="6">
        <f t="shared" si="54"/>
        <v>106</v>
      </c>
      <c r="M81" s="5">
        <v>82</v>
      </c>
      <c r="N81" s="6">
        <f t="shared" si="55"/>
        <v>2</v>
      </c>
      <c r="O81" s="13">
        <v>11563</v>
      </c>
      <c r="P81" s="6">
        <f t="shared" si="56"/>
        <v>311</v>
      </c>
      <c r="Q81" s="5">
        <v>736</v>
      </c>
      <c r="R81" s="6">
        <f t="shared" si="57"/>
        <v>122</v>
      </c>
      <c r="S81" s="5">
        <v>4255</v>
      </c>
      <c r="T81" s="6">
        <f t="shared" si="58"/>
        <v>97</v>
      </c>
      <c r="U81" s="5">
        <v>5220</v>
      </c>
      <c r="V81" s="6">
        <f t="shared" si="59"/>
        <v>82</v>
      </c>
      <c r="W81" s="5">
        <v>686</v>
      </c>
      <c r="X81" s="6">
        <f t="shared" si="60"/>
        <v>4</v>
      </c>
      <c r="Y81" s="7">
        <f t="shared" si="62"/>
        <v>346</v>
      </c>
      <c r="Z81" s="7">
        <f t="shared" si="63"/>
        <v>305</v>
      </c>
      <c r="AA81" s="7">
        <f t="shared" si="64"/>
        <v>651</v>
      </c>
      <c r="AB81" s="17">
        <f t="shared" si="65"/>
        <v>-235</v>
      </c>
      <c r="AC81" s="17">
        <f t="shared" si="66"/>
        <v>-6</v>
      </c>
      <c r="AD81" s="17">
        <f t="shared" si="67"/>
        <v>-241</v>
      </c>
    </row>
    <row r="82" spans="1:30" hidden="1" x14ac:dyDescent="0.3">
      <c r="A82" s="9" t="s">
        <v>69</v>
      </c>
      <c r="B82" s="33">
        <v>45912</v>
      </c>
      <c r="C82" s="5">
        <v>37268</v>
      </c>
      <c r="D82" s="6">
        <f t="shared" si="51"/>
        <v>521</v>
      </c>
      <c r="E82" s="5"/>
      <c r="F82" s="6" t="str">
        <f t="shared" si="61"/>
        <v/>
      </c>
      <c r="G82" s="5">
        <v>12941</v>
      </c>
      <c r="H82" s="6">
        <f t="shared" si="52"/>
        <v>183</v>
      </c>
      <c r="I82" s="5">
        <v>977</v>
      </c>
      <c r="J82" s="6">
        <f t="shared" si="53"/>
        <v>23</v>
      </c>
      <c r="K82" s="5">
        <v>6166</v>
      </c>
      <c r="L82" s="6">
        <f t="shared" si="54"/>
        <v>93</v>
      </c>
      <c r="M82" s="5">
        <v>84</v>
      </c>
      <c r="N82" s="6">
        <f t="shared" si="55"/>
        <v>2</v>
      </c>
      <c r="O82" s="13">
        <v>11874</v>
      </c>
      <c r="P82" s="6">
        <f t="shared" si="56"/>
        <v>265</v>
      </c>
      <c r="Q82" s="5">
        <v>858</v>
      </c>
      <c r="R82" s="6">
        <f t="shared" si="57"/>
        <v>75</v>
      </c>
      <c r="S82" s="5">
        <v>4352</v>
      </c>
      <c r="T82" s="6">
        <f t="shared" si="58"/>
        <v>105</v>
      </c>
      <c r="U82" s="5">
        <v>5302</v>
      </c>
      <c r="V82" s="6">
        <f t="shared" si="59"/>
        <v>75</v>
      </c>
      <c r="W82" s="5">
        <v>690</v>
      </c>
      <c r="X82" s="6">
        <f t="shared" si="60"/>
        <v>19</v>
      </c>
      <c r="Y82" s="7">
        <f t="shared" si="62"/>
        <v>301</v>
      </c>
      <c r="Z82" s="7">
        <f t="shared" si="63"/>
        <v>274</v>
      </c>
      <c r="AA82" s="7">
        <f t="shared" si="64"/>
        <v>575</v>
      </c>
      <c r="AB82" s="17">
        <f t="shared" si="65"/>
        <v>-220</v>
      </c>
      <c r="AC82" s="17">
        <f t="shared" si="66"/>
        <v>9</v>
      </c>
      <c r="AD82" s="17">
        <f t="shared" si="67"/>
        <v>-211</v>
      </c>
    </row>
    <row r="83" spans="1:30" hidden="1" x14ac:dyDescent="0.3">
      <c r="A83" s="9" t="s">
        <v>70</v>
      </c>
      <c r="B83" s="33">
        <v>45913</v>
      </c>
      <c r="C83" s="5">
        <v>37789</v>
      </c>
      <c r="D83" s="6">
        <f t="shared" si="51"/>
        <v>497</v>
      </c>
      <c r="E83" s="5"/>
      <c r="F83" s="6" t="str">
        <f t="shared" si="61"/>
        <v/>
      </c>
      <c r="G83" s="5">
        <v>13124</v>
      </c>
      <c r="H83" s="6">
        <f t="shared" si="52"/>
        <v>173</v>
      </c>
      <c r="I83" s="5">
        <v>1000</v>
      </c>
      <c r="J83" s="6">
        <f t="shared" si="53"/>
        <v>15</v>
      </c>
      <c r="K83" s="5">
        <v>6259</v>
      </c>
      <c r="L83" s="6">
        <f t="shared" si="54"/>
        <v>96</v>
      </c>
      <c r="M83" s="5">
        <v>86</v>
      </c>
      <c r="N83" s="6">
        <f t="shared" si="55"/>
        <v>1</v>
      </c>
      <c r="O83" s="13">
        <v>12139</v>
      </c>
      <c r="P83" s="6">
        <f t="shared" si="56"/>
        <v>239</v>
      </c>
      <c r="Q83" s="5">
        <v>933</v>
      </c>
      <c r="R83" s="6">
        <f t="shared" si="57"/>
        <v>70</v>
      </c>
      <c r="S83" s="5">
        <v>4457</v>
      </c>
      <c r="T83" s="6">
        <f t="shared" si="58"/>
        <v>84</v>
      </c>
      <c r="U83" s="5">
        <v>5377</v>
      </c>
      <c r="V83" s="6">
        <f t="shared" si="59"/>
        <v>75</v>
      </c>
      <c r="W83" s="5">
        <v>709</v>
      </c>
      <c r="X83" s="6">
        <f t="shared" si="60"/>
        <v>9</v>
      </c>
      <c r="Y83" s="7">
        <f t="shared" si="62"/>
        <v>285</v>
      </c>
      <c r="Z83" s="7">
        <f t="shared" si="63"/>
        <v>238</v>
      </c>
      <c r="AA83" s="7">
        <f t="shared" si="64"/>
        <v>523</v>
      </c>
      <c r="AB83" s="17">
        <f t="shared" si="65"/>
        <v>-212</v>
      </c>
      <c r="AC83" s="17">
        <f t="shared" si="66"/>
        <v>-1</v>
      </c>
      <c r="AD83" s="17">
        <f t="shared" si="67"/>
        <v>-213</v>
      </c>
    </row>
    <row r="84" spans="1:30" hidden="1" x14ac:dyDescent="0.3">
      <c r="A84" s="9" t="s">
        <v>71</v>
      </c>
      <c r="B84" s="33">
        <v>45914</v>
      </c>
      <c r="C84" s="5">
        <v>38286</v>
      </c>
      <c r="D84" s="6">
        <f t="shared" si="51"/>
        <v>9</v>
      </c>
      <c r="E84" s="5"/>
      <c r="F84" s="6" t="str">
        <f t="shared" si="61"/>
        <v/>
      </c>
      <c r="G84" s="5">
        <v>13297</v>
      </c>
      <c r="H84" s="6">
        <f t="shared" si="52"/>
        <v>3</v>
      </c>
      <c r="I84" s="5">
        <v>1015</v>
      </c>
      <c r="J84" s="6">
        <f t="shared" si="53"/>
        <v>0</v>
      </c>
      <c r="K84" s="5">
        <v>6355</v>
      </c>
      <c r="L84" s="6">
        <f t="shared" si="54"/>
        <v>5</v>
      </c>
      <c r="M84" s="5">
        <v>87</v>
      </c>
      <c r="N84" s="6">
        <f t="shared" si="55"/>
        <v>0</v>
      </c>
      <c r="O84" s="13">
        <v>12378</v>
      </c>
      <c r="P84" s="6">
        <f t="shared" si="56"/>
        <v>23</v>
      </c>
      <c r="Q84" s="5">
        <v>1003</v>
      </c>
      <c r="R84" s="6">
        <f t="shared" si="57"/>
        <v>0</v>
      </c>
      <c r="S84" s="5">
        <v>4541</v>
      </c>
      <c r="T84" s="6">
        <f t="shared" si="58"/>
        <v>17</v>
      </c>
      <c r="U84" s="5">
        <v>5452</v>
      </c>
      <c r="V84" s="6">
        <f t="shared" si="59"/>
        <v>1</v>
      </c>
      <c r="W84" s="5">
        <v>718</v>
      </c>
      <c r="X84" s="6">
        <f t="shared" si="60"/>
        <v>4</v>
      </c>
      <c r="Y84" s="7">
        <f t="shared" si="62"/>
        <v>8</v>
      </c>
      <c r="Z84" s="7">
        <f t="shared" si="63"/>
        <v>22</v>
      </c>
      <c r="AA84" s="7">
        <f t="shared" si="64"/>
        <v>30</v>
      </c>
      <c r="AB84" s="17">
        <f t="shared" si="65"/>
        <v>-1</v>
      </c>
      <c r="AC84" s="17">
        <f t="shared" si="66"/>
        <v>-1</v>
      </c>
      <c r="AD84" s="17">
        <f t="shared" si="67"/>
        <v>-2</v>
      </c>
    </row>
    <row r="85" spans="1:30" hidden="1" x14ac:dyDescent="0.3">
      <c r="A85" s="9" t="s">
        <v>72</v>
      </c>
      <c r="B85" s="33">
        <v>45915</v>
      </c>
      <c r="C85" s="5">
        <v>38295</v>
      </c>
      <c r="D85" s="6">
        <f t="shared" si="51"/>
        <v>529</v>
      </c>
      <c r="E85" s="5"/>
      <c r="F85" s="6" t="str">
        <f t="shared" si="61"/>
        <v/>
      </c>
      <c r="G85" s="5">
        <v>13300</v>
      </c>
      <c r="H85" s="6">
        <f t="shared" si="52"/>
        <v>190</v>
      </c>
      <c r="I85" s="5">
        <v>1015</v>
      </c>
      <c r="J85" s="6">
        <f t="shared" si="53"/>
        <v>19</v>
      </c>
      <c r="K85" s="5">
        <v>6360</v>
      </c>
      <c r="L85" s="6">
        <f t="shared" si="54"/>
        <v>113</v>
      </c>
      <c r="M85" s="5">
        <v>87</v>
      </c>
      <c r="N85" s="6">
        <f t="shared" si="55"/>
        <v>1</v>
      </c>
      <c r="O85" s="13">
        <v>12401</v>
      </c>
      <c r="P85" s="6">
        <f t="shared" si="56"/>
        <v>313</v>
      </c>
      <c r="Q85" s="5">
        <v>1003</v>
      </c>
      <c r="R85" s="6">
        <f t="shared" si="57"/>
        <v>93</v>
      </c>
      <c r="S85" s="5">
        <v>4558</v>
      </c>
      <c r="T85" s="6">
        <f t="shared" si="58"/>
        <v>117</v>
      </c>
      <c r="U85" s="5">
        <v>5453</v>
      </c>
      <c r="V85" s="6">
        <f t="shared" si="59"/>
        <v>91</v>
      </c>
      <c r="W85" s="5">
        <v>722</v>
      </c>
      <c r="X85" s="6">
        <f t="shared" si="60"/>
        <v>11</v>
      </c>
      <c r="Y85" s="7">
        <f t="shared" si="62"/>
        <v>323</v>
      </c>
      <c r="Z85" s="7">
        <f t="shared" si="63"/>
        <v>312</v>
      </c>
      <c r="AA85" s="7">
        <f t="shared" si="64"/>
        <v>635</v>
      </c>
      <c r="AB85" s="17">
        <f t="shared" si="65"/>
        <v>-206</v>
      </c>
      <c r="AC85" s="17">
        <f t="shared" si="66"/>
        <v>-1</v>
      </c>
      <c r="AD85" s="17">
        <f t="shared" si="67"/>
        <v>-207</v>
      </c>
    </row>
    <row r="86" spans="1:30" hidden="1" x14ac:dyDescent="0.3">
      <c r="A86" s="9" t="s">
        <v>66</v>
      </c>
      <c r="B86" s="33">
        <v>45916</v>
      </c>
      <c r="C86" s="5">
        <v>38824</v>
      </c>
      <c r="D86" s="6">
        <f t="shared" si="51"/>
        <v>543</v>
      </c>
      <c r="E86" s="5"/>
      <c r="F86" s="6" t="str">
        <f t="shared" si="61"/>
        <v/>
      </c>
      <c r="G86" s="5">
        <v>13490</v>
      </c>
      <c r="H86" s="6">
        <f t="shared" si="52"/>
        <v>197</v>
      </c>
      <c r="I86" s="5">
        <v>1034</v>
      </c>
      <c r="J86" s="6">
        <f t="shared" si="53"/>
        <v>21</v>
      </c>
      <c r="K86" s="5">
        <v>6473</v>
      </c>
      <c r="L86" s="6">
        <f t="shared" si="54"/>
        <v>96</v>
      </c>
      <c r="M86" s="5">
        <v>88</v>
      </c>
      <c r="N86" s="6">
        <f t="shared" si="55"/>
        <v>2</v>
      </c>
      <c r="O86" s="13">
        <v>12714</v>
      </c>
      <c r="P86" s="6">
        <f t="shared" si="56"/>
        <v>316</v>
      </c>
      <c r="Q86" s="5">
        <v>1096</v>
      </c>
      <c r="R86" s="6">
        <f t="shared" si="57"/>
        <v>88</v>
      </c>
      <c r="S86" s="5">
        <v>4675</v>
      </c>
      <c r="T86" s="6">
        <f t="shared" si="58"/>
        <v>115</v>
      </c>
      <c r="U86" s="5">
        <v>5544</v>
      </c>
      <c r="V86" s="6">
        <f t="shared" si="59"/>
        <v>96</v>
      </c>
      <c r="W86" s="5">
        <v>733</v>
      </c>
      <c r="X86" s="6">
        <f t="shared" si="60"/>
        <v>13</v>
      </c>
      <c r="Y86" s="7">
        <f t="shared" si="62"/>
        <v>316</v>
      </c>
      <c r="Z86" s="7">
        <f t="shared" si="63"/>
        <v>312</v>
      </c>
      <c r="AA86" s="7">
        <f t="shared" si="64"/>
        <v>628</v>
      </c>
      <c r="AB86" s="17">
        <f t="shared" si="65"/>
        <v>-227</v>
      </c>
      <c r="AC86" s="17">
        <f t="shared" si="66"/>
        <v>-4</v>
      </c>
      <c r="AD86" s="17">
        <f t="shared" si="67"/>
        <v>-231</v>
      </c>
    </row>
    <row r="87" spans="1:30" hidden="1" x14ac:dyDescent="0.3">
      <c r="A87" s="9" t="s">
        <v>67</v>
      </c>
      <c r="B87" s="33">
        <v>45917</v>
      </c>
      <c r="C87" s="5">
        <v>39367</v>
      </c>
      <c r="D87" s="6">
        <f t="shared" si="51"/>
        <v>0</v>
      </c>
      <c r="E87" s="5"/>
      <c r="F87" s="6" t="str">
        <f t="shared" si="61"/>
        <v/>
      </c>
      <c r="G87" s="5">
        <v>13687</v>
      </c>
      <c r="H87" s="6">
        <f t="shared" si="52"/>
        <v>194</v>
      </c>
      <c r="I87" s="5">
        <v>1055</v>
      </c>
      <c r="J87" s="6">
        <f t="shared" si="53"/>
        <v>42</v>
      </c>
      <c r="K87" s="5">
        <v>6569</v>
      </c>
      <c r="L87" s="6">
        <f t="shared" si="54"/>
        <v>95</v>
      </c>
      <c r="M87" s="5">
        <v>90</v>
      </c>
      <c r="N87" s="6">
        <f t="shared" si="55"/>
        <v>2</v>
      </c>
      <c r="O87" s="13">
        <v>13030</v>
      </c>
      <c r="P87" s="6">
        <f t="shared" si="56"/>
        <v>299</v>
      </c>
      <c r="Q87" s="5">
        <v>1184</v>
      </c>
      <c r="R87" s="6">
        <f t="shared" si="57"/>
        <v>109</v>
      </c>
      <c r="S87" s="5">
        <v>4790</v>
      </c>
      <c r="T87" s="6">
        <f t="shared" si="58"/>
        <v>94</v>
      </c>
      <c r="U87" s="5">
        <v>5640</v>
      </c>
      <c r="V87" s="6">
        <f t="shared" si="59"/>
        <v>78</v>
      </c>
      <c r="W87" s="5">
        <v>746</v>
      </c>
      <c r="X87" s="6">
        <f t="shared" si="60"/>
        <v>14</v>
      </c>
      <c r="Y87" s="7">
        <f t="shared" si="62"/>
        <v>333</v>
      </c>
      <c r="Z87" s="7">
        <f t="shared" si="63"/>
        <v>295</v>
      </c>
      <c r="AA87" s="7">
        <f t="shared" si="64"/>
        <v>628</v>
      </c>
      <c r="AB87" s="17">
        <f t="shared" si="65"/>
        <v>333</v>
      </c>
      <c r="AC87" s="17">
        <f t="shared" si="66"/>
        <v>-4</v>
      </c>
      <c r="AD87" s="17">
        <f t="shared" si="67"/>
        <v>329</v>
      </c>
    </row>
    <row r="88" spans="1:30" hidden="1" x14ac:dyDescent="0.3">
      <c r="A88" s="9" t="s">
        <v>68</v>
      </c>
      <c r="B88" s="33">
        <v>45918</v>
      </c>
      <c r="C88" s="5">
        <v>39367</v>
      </c>
      <c r="D88" s="6">
        <f t="shared" si="51"/>
        <v>1160</v>
      </c>
      <c r="E88" s="5"/>
      <c r="F88" s="6" t="str">
        <f t="shared" si="61"/>
        <v/>
      </c>
      <c r="G88" s="5">
        <v>13881</v>
      </c>
      <c r="H88" s="6">
        <f t="shared" si="52"/>
        <v>207</v>
      </c>
      <c r="I88" s="5">
        <v>1097</v>
      </c>
      <c r="J88" s="6">
        <f t="shared" si="53"/>
        <v>45</v>
      </c>
      <c r="K88" s="5">
        <v>6664</v>
      </c>
      <c r="L88" s="6">
        <f t="shared" si="54"/>
        <v>106</v>
      </c>
      <c r="M88" s="5">
        <v>92</v>
      </c>
      <c r="N88" s="6">
        <f t="shared" si="55"/>
        <v>2</v>
      </c>
      <c r="O88" s="13">
        <v>13329</v>
      </c>
      <c r="P88" s="6">
        <f t="shared" si="56"/>
        <v>299</v>
      </c>
      <c r="Q88" s="5">
        <v>1293</v>
      </c>
      <c r="R88" s="6">
        <f t="shared" si="57"/>
        <v>116</v>
      </c>
      <c r="S88" s="5">
        <v>4884</v>
      </c>
      <c r="T88" s="6">
        <f t="shared" si="58"/>
        <v>80</v>
      </c>
      <c r="U88" s="5">
        <v>5718</v>
      </c>
      <c r="V88" s="6">
        <f t="shared" si="59"/>
        <v>84</v>
      </c>
      <c r="W88" s="5">
        <v>760</v>
      </c>
      <c r="X88" s="6">
        <f t="shared" si="60"/>
        <v>14</v>
      </c>
      <c r="Y88" s="7">
        <f t="shared" si="62"/>
        <v>360</v>
      </c>
      <c r="Z88" s="7">
        <f t="shared" si="63"/>
        <v>294</v>
      </c>
      <c r="AA88" s="7">
        <f t="shared" si="64"/>
        <v>654</v>
      </c>
      <c r="AB88" s="17">
        <f t="shared" si="65"/>
        <v>-800</v>
      </c>
      <c r="AC88" s="17">
        <f t="shared" si="66"/>
        <v>-5</v>
      </c>
      <c r="AD88" s="17">
        <f t="shared" si="67"/>
        <v>-805</v>
      </c>
    </row>
    <row r="89" spans="1:30" hidden="1" x14ac:dyDescent="0.3">
      <c r="A89" s="9" t="s">
        <v>69</v>
      </c>
      <c r="B89" s="33">
        <v>45919</v>
      </c>
      <c r="C89" s="5">
        <v>40527</v>
      </c>
      <c r="D89" s="6">
        <f t="shared" si="51"/>
        <v>560</v>
      </c>
      <c r="E89" s="5"/>
      <c r="F89" s="6" t="str">
        <f t="shared" si="61"/>
        <v/>
      </c>
      <c r="G89" s="5">
        <v>14088</v>
      </c>
      <c r="H89" s="6">
        <f t="shared" si="52"/>
        <v>197</v>
      </c>
      <c r="I89" s="5">
        <v>1142</v>
      </c>
      <c r="J89" s="6">
        <f t="shared" si="53"/>
        <v>46</v>
      </c>
      <c r="K89" s="5">
        <v>6770</v>
      </c>
      <c r="L89" s="6">
        <f t="shared" si="54"/>
        <v>103</v>
      </c>
      <c r="M89" s="5">
        <v>94</v>
      </c>
      <c r="N89" s="6">
        <f t="shared" si="55"/>
        <v>2</v>
      </c>
      <c r="O89" s="13">
        <v>13628</v>
      </c>
      <c r="P89" s="6">
        <f t="shared" si="56"/>
        <v>347</v>
      </c>
      <c r="Q89" s="5">
        <v>1409</v>
      </c>
      <c r="R89" s="6">
        <f t="shared" si="57"/>
        <v>111</v>
      </c>
      <c r="S89" s="5">
        <v>4964</v>
      </c>
      <c r="T89" s="6">
        <f t="shared" si="58"/>
        <v>138</v>
      </c>
      <c r="U89" s="5">
        <v>5802</v>
      </c>
      <c r="V89" s="6">
        <f t="shared" si="59"/>
        <v>83</v>
      </c>
      <c r="W89" s="5">
        <v>774</v>
      </c>
      <c r="X89" s="6">
        <f t="shared" si="60"/>
        <v>14</v>
      </c>
      <c r="Y89" s="7">
        <f t="shared" si="62"/>
        <v>348</v>
      </c>
      <c r="Z89" s="7">
        <f t="shared" si="63"/>
        <v>346</v>
      </c>
      <c r="AA89" s="7">
        <f t="shared" si="64"/>
        <v>694</v>
      </c>
      <c r="AB89" s="17">
        <f t="shared" si="65"/>
        <v>-212</v>
      </c>
      <c r="AC89" s="17">
        <f t="shared" si="66"/>
        <v>-1</v>
      </c>
      <c r="AD89" s="17">
        <f t="shared" si="67"/>
        <v>-213</v>
      </c>
    </row>
    <row r="90" spans="1:30" hidden="1" x14ac:dyDescent="0.3">
      <c r="A90" s="9" t="s">
        <v>70</v>
      </c>
      <c r="B90" s="33">
        <v>45920</v>
      </c>
      <c r="C90" s="5">
        <v>41087</v>
      </c>
      <c r="D90" s="6">
        <f t="shared" si="51"/>
        <v>586</v>
      </c>
      <c r="E90" s="5"/>
      <c r="F90" s="6" t="str">
        <f t="shared" si="61"/>
        <v/>
      </c>
      <c r="G90" s="5">
        <v>14285</v>
      </c>
      <c r="H90" s="6">
        <f t="shared" si="52"/>
        <v>199</v>
      </c>
      <c r="I90" s="5">
        <v>1188</v>
      </c>
      <c r="J90" s="6">
        <f t="shared" si="53"/>
        <v>45</v>
      </c>
      <c r="K90" s="5">
        <v>6873</v>
      </c>
      <c r="L90" s="6">
        <f t="shared" si="54"/>
        <v>101</v>
      </c>
      <c r="M90" s="5">
        <v>96</v>
      </c>
      <c r="N90" s="6">
        <f t="shared" si="55"/>
        <v>1</v>
      </c>
      <c r="O90" s="13">
        <v>13975</v>
      </c>
      <c r="P90" s="6">
        <f t="shared" si="56"/>
        <v>289</v>
      </c>
      <c r="Q90" s="5">
        <v>1520</v>
      </c>
      <c r="R90" s="6">
        <f t="shared" si="57"/>
        <v>93</v>
      </c>
      <c r="S90" s="5">
        <v>5102</v>
      </c>
      <c r="T90" s="6">
        <f t="shared" si="58"/>
        <v>110</v>
      </c>
      <c r="U90" s="5">
        <v>5885</v>
      </c>
      <c r="V90" s="6">
        <f t="shared" si="59"/>
        <v>80</v>
      </c>
      <c r="W90" s="5">
        <v>788</v>
      </c>
      <c r="X90" s="6">
        <f t="shared" si="60"/>
        <v>7</v>
      </c>
      <c r="Y90" s="7">
        <f t="shared" si="62"/>
        <v>346</v>
      </c>
      <c r="Z90" s="7">
        <f t="shared" si="63"/>
        <v>290</v>
      </c>
      <c r="AA90" s="7">
        <f t="shared" si="64"/>
        <v>636</v>
      </c>
      <c r="AB90" s="17">
        <f t="shared" si="65"/>
        <v>-240</v>
      </c>
      <c r="AC90" s="17">
        <f t="shared" si="66"/>
        <v>1</v>
      </c>
      <c r="AD90" s="17">
        <f t="shared" si="67"/>
        <v>-239</v>
      </c>
    </row>
    <row r="91" spans="1:30" hidden="1" x14ac:dyDescent="0.3">
      <c r="A91" s="9" t="s">
        <v>71</v>
      </c>
      <c r="B91" s="33">
        <v>45921</v>
      </c>
      <c r="C91" s="5">
        <v>41673</v>
      </c>
      <c r="D91" s="6">
        <f t="shared" si="51"/>
        <v>8</v>
      </c>
      <c r="E91" s="5"/>
      <c r="F91" s="6" t="str">
        <f t="shared" si="61"/>
        <v/>
      </c>
      <c r="G91" s="5">
        <v>14484</v>
      </c>
      <c r="H91" s="6">
        <f t="shared" si="52"/>
        <v>4</v>
      </c>
      <c r="I91" s="5">
        <v>1233</v>
      </c>
      <c r="J91" s="6">
        <f t="shared" si="53"/>
        <v>0</v>
      </c>
      <c r="K91" s="5">
        <v>6974</v>
      </c>
      <c r="L91" s="6">
        <f t="shared" si="54"/>
        <v>2</v>
      </c>
      <c r="M91" s="5">
        <v>97</v>
      </c>
      <c r="N91" s="6">
        <f t="shared" si="55"/>
        <v>0</v>
      </c>
      <c r="O91" s="13">
        <v>14264</v>
      </c>
      <c r="P91" s="6">
        <f t="shared" si="56"/>
        <v>49</v>
      </c>
      <c r="Q91" s="5">
        <v>1613</v>
      </c>
      <c r="R91" s="6">
        <f t="shared" si="57"/>
        <v>0</v>
      </c>
      <c r="S91" s="5">
        <v>5212</v>
      </c>
      <c r="T91" s="6">
        <f t="shared" si="58"/>
        <v>30</v>
      </c>
      <c r="U91" s="5">
        <v>5965</v>
      </c>
      <c r="V91" s="6">
        <f t="shared" si="59"/>
        <v>4</v>
      </c>
      <c r="W91" s="5">
        <v>795</v>
      </c>
      <c r="X91" s="6">
        <f t="shared" si="60"/>
        <v>9</v>
      </c>
      <c r="Y91" s="7">
        <f t="shared" si="62"/>
        <v>6</v>
      </c>
      <c r="Z91" s="7">
        <f t="shared" si="63"/>
        <v>43</v>
      </c>
      <c r="AA91" s="7">
        <f t="shared" si="64"/>
        <v>49</v>
      </c>
      <c r="AB91" s="17">
        <f t="shared" si="65"/>
        <v>-2</v>
      </c>
      <c r="AC91" s="17">
        <f t="shared" si="66"/>
        <v>-6</v>
      </c>
      <c r="AD91" s="17">
        <f t="shared" si="67"/>
        <v>-8</v>
      </c>
    </row>
    <row r="92" spans="1:30" hidden="1" x14ac:dyDescent="0.3">
      <c r="A92" s="9" t="s">
        <v>72</v>
      </c>
      <c r="B92" s="33">
        <v>45922</v>
      </c>
      <c r="C92" s="5">
        <v>41681</v>
      </c>
      <c r="D92" s="6">
        <f t="shared" si="51"/>
        <v>608</v>
      </c>
      <c r="E92" s="5"/>
      <c r="F92" s="6" t="str">
        <f t="shared" si="61"/>
        <v/>
      </c>
      <c r="G92" s="5">
        <v>14488</v>
      </c>
      <c r="H92" s="6">
        <f t="shared" si="52"/>
        <v>200</v>
      </c>
      <c r="I92" s="5">
        <v>1233</v>
      </c>
      <c r="J92" s="6">
        <f t="shared" si="53"/>
        <v>40</v>
      </c>
      <c r="K92" s="5">
        <v>6976</v>
      </c>
      <c r="L92" s="6">
        <f t="shared" si="54"/>
        <v>101</v>
      </c>
      <c r="M92" s="5">
        <v>97</v>
      </c>
      <c r="N92" s="6">
        <f t="shared" si="55"/>
        <v>2</v>
      </c>
      <c r="O92" s="13">
        <v>14313</v>
      </c>
      <c r="P92" s="6">
        <f t="shared" si="56"/>
        <v>273</v>
      </c>
      <c r="Q92" s="5">
        <v>1613</v>
      </c>
      <c r="R92" s="6">
        <f t="shared" si="57"/>
        <v>62</v>
      </c>
      <c r="S92" s="5">
        <v>5242</v>
      </c>
      <c r="T92" s="6">
        <f t="shared" si="58"/>
        <v>110</v>
      </c>
      <c r="U92" s="5">
        <v>5969</v>
      </c>
      <c r="V92" s="6">
        <f t="shared" si="59"/>
        <v>85</v>
      </c>
      <c r="W92" s="5">
        <v>804</v>
      </c>
      <c r="X92" s="6">
        <f t="shared" si="60"/>
        <v>14</v>
      </c>
      <c r="Y92" s="7">
        <f t="shared" si="62"/>
        <v>343</v>
      </c>
      <c r="Z92" s="7">
        <f t="shared" si="63"/>
        <v>271</v>
      </c>
      <c r="AA92" s="7">
        <f t="shared" si="64"/>
        <v>614</v>
      </c>
      <c r="AB92" s="17">
        <f t="shared" si="65"/>
        <v>-265</v>
      </c>
      <c r="AC92" s="17">
        <f t="shared" si="66"/>
        <v>-2</v>
      </c>
      <c r="AD92" s="17">
        <f t="shared" si="67"/>
        <v>-267</v>
      </c>
    </row>
    <row r="93" spans="1:30" hidden="1" x14ac:dyDescent="0.3">
      <c r="A93" s="9" t="s">
        <v>66</v>
      </c>
      <c r="B93" s="33">
        <v>45923</v>
      </c>
      <c r="C93" s="5">
        <v>42289</v>
      </c>
      <c r="D93" s="6">
        <f t="shared" si="51"/>
        <v>714</v>
      </c>
      <c r="E93" s="5"/>
      <c r="F93" s="6" t="str">
        <f t="shared" si="61"/>
        <v/>
      </c>
      <c r="G93" s="5">
        <v>14688</v>
      </c>
      <c r="H93" s="6">
        <f t="shared" si="52"/>
        <v>209</v>
      </c>
      <c r="I93" s="5">
        <v>1273</v>
      </c>
      <c r="J93" s="6">
        <f t="shared" si="53"/>
        <v>35</v>
      </c>
      <c r="K93" s="5">
        <v>7077</v>
      </c>
      <c r="L93" s="6">
        <f t="shared" si="54"/>
        <v>132</v>
      </c>
      <c r="M93" s="5">
        <v>99</v>
      </c>
      <c r="N93" s="6">
        <f t="shared" si="55"/>
        <v>2</v>
      </c>
      <c r="O93" s="13">
        <v>14586</v>
      </c>
      <c r="P93" s="6">
        <f t="shared" si="56"/>
        <v>232</v>
      </c>
      <c r="Q93" s="5">
        <v>1675</v>
      </c>
      <c r="R93" s="6">
        <f t="shared" si="57"/>
        <v>23</v>
      </c>
      <c r="S93" s="5">
        <v>5352</v>
      </c>
      <c r="T93" s="6">
        <f t="shared" si="58"/>
        <v>97</v>
      </c>
      <c r="U93" s="5">
        <v>6054</v>
      </c>
      <c r="V93" s="6">
        <f t="shared" si="59"/>
        <v>95</v>
      </c>
      <c r="W93" s="5">
        <v>818</v>
      </c>
      <c r="X93" s="6">
        <f t="shared" si="60"/>
        <v>16</v>
      </c>
      <c r="Y93" s="7">
        <f t="shared" si="62"/>
        <v>378</v>
      </c>
      <c r="Z93" s="7">
        <f t="shared" si="63"/>
        <v>231</v>
      </c>
      <c r="AA93" s="7">
        <f t="shared" si="64"/>
        <v>609</v>
      </c>
      <c r="AB93" s="17">
        <f t="shared" si="65"/>
        <v>-336</v>
      </c>
      <c r="AC93" s="17">
        <f t="shared" si="66"/>
        <v>-1</v>
      </c>
      <c r="AD93" s="17">
        <f t="shared" si="67"/>
        <v>-337</v>
      </c>
    </row>
    <row r="94" spans="1:30" hidden="1" x14ac:dyDescent="0.3">
      <c r="A94" s="9" t="s">
        <v>67</v>
      </c>
      <c r="B94" s="33">
        <v>45924</v>
      </c>
      <c r="C94" s="5">
        <v>43003</v>
      </c>
      <c r="D94" s="6">
        <f t="shared" si="51"/>
        <v>617</v>
      </c>
      <c r="E94" s="5"/>
      <c r="F94" s="6" t="str">
        <f t="shared" si="61"/>
        <v/>
      </c>
      <c r="G94" s="5">
        <v>14897</v>
      </c>
      <c r="H94" s="6">
        <f t="shared" si="52"/>
        <v>189</v>
      </c>
      <c r="I94" s="5">
        <v>1308</v>
      </c>
      <c r="J94" s="6">
        <f t="shared" si="53"/>
        <v>26</v>
      </c>
      <c r="K94" s="5">
        <v>7209</v>
      </c>
      <c r="L94" s="6">
        <f t="shared" si="54"/>
        <v>112</v>
      </c>
      <c r="M94" s="5">
        <v>101</v>
      </c>
      <c r="N94" s="6">
        <f t="shared" si="55"/>
        <v>1</v>
      </c>
      <c r="O94" s="13">
        <v>14818</v>
      </c>
      <c r="P94" s="6">
        <f t="shared" si="56"/>
        <v>355</v>
      </c>
      <c r="Q94" s="5">
        <v>1698</v>
      </c>
      <c r="R94" s="6">
        <f t="shared" si="57"/>
        <v>114</v>
      </c>
      <c r="S94" s="5">
        <v>5449</v>
      </c>
      <c r="T94" s="6">
        <f t="shared" si="58"/>
        <v>125</v>
      </c>
      <c r="U94" s="5">
        <v>6149</v>
      </c>
      <c r="V94" s="6">
        <f t="shared" si="59"/>
        <v>103</v>
      </c>
      <c r="W94" s="5">
        <v>834</v>
      </c>
      <c r="X94" s="6">
        <f t="shared" si="60"/>
        <v>11</v>
      </c>
      <c r="Y94" s="7">
        <f t="shared" si="62"/>
        <v>328</v>
      </c>
      <c r="Z94" s="7">
        <f t="shared" si="63"/>
        <v>353</v>
      </c>
      <c r="AA94" s="7">
        <f t="shared" si="64"/>
        <v>681</v>
      </c>
      <c r="AB94" s="17">
        <f t="shared" si="65"/>
        <v>-289</v>
      </c>
      <c r="AC94" s="17">
        <f t="shared" si="66"/>
        <v>-2</v>
      </c>
      <c r="AD94" s="17">
        <f t="shared" si="67"/>
        <v>-291</v>
      </c>
    </row>
    <row r="95" spans="1:30" hidden="1" x14ac:dyDescent="0.3">
      <c r="A95" s="9" t="s">
        <v>68</v>
      </c>
      <c r="B95" s="33">
        <v>45925</v>
      </c>
      <c r="C95" s="5">
        <v>43620</v>
      </c>
      <c r="D95" s="6">
        <f t="shared" si="51"/>
        <v>628</v>
      </c>
      <c r="E95" s="5"/>
      <c r="F95" s="6" t="str">
        <f t="shared" si="61"/>
        <v/>
      </c>
      <c r="G95" s="5">
        <v>15086</v>
      </c>
      <c r="H95" s="6">
        <f t="shared" si="52"/>
        <v>207</v>
      </c>
      <c r="I95" s="5">
        <v>1334</v>
      </c>
      <c r="J95" s="6">
        <f t="shared" si="53"/>
        <v>36</v>
      </c>
      <c r="K95" s="5">
        <v>7321</v>
      </c>
      <c r="L95" s="6">
        <f t="shared" si="54"/>
        <v>108</v>
      </c>
      <c r="M95" s="5">
        <v>102</v>
      </c>
      <c r="N95" s="6">
        <f t="shared" si="55"/>
        <v>2</v>
      </c>
      <c r="O95" s="13">
        <v>15173</v>
      </c>
      <c r="P95" s="6">
        <f t="shared" si="56"/>
        <v>329</v>
      </c>
      <c r="Q95" s="5">
        <v>1812</v>
      </c>
      <c r="R95" s="6">
        <f t="shared" si="57"/>
        <v>104</v>
      </c>
      <c r="S95" s="5">
        <v>5574</v>
      </c>
      <c r="T95" s="6">
        <f t="shared" si="58"/>
        <v>104</v>
      </c>
      <c r="U95" s="5">
        <v>6252</v>
      </c>
      <c r="V95" s="6">
        <f t="shared" si="59"/>
        <v>106</v>
      </c>
      <c r="W95" s="5">
        <v>845</v>
      </c>
      <c r="X95" s="6">
        <f t="shared" si="60"/>
        <v>14</v>
      </c>
      <c r="Y95" s="7">
        <f t="shared" si="62"/>
        <v>353</v>
      </c>
      <c r="Z95" s="7">
        <f t="shared" si="63"/>
        <v>328</v>
      </c>
      <c r="AA95" s="7">
        <f t="shared" si="64"/>
        <v>681</v>
      </c>
      <c r="AB95" s="17">
        <f t="shared" si="65"/>
        <v>-275</v>
      </c>
      <c r="AC95" s="17">
        <f t="shared" si="66"/>
        <v>-1</v>
      </c>
      <c r="AD95" s="17">
        <f t="shared" si="67"/>
        <v>-276</v>
      </c>
    </row>
    <row r="96" spans="1:30" hidden="1" x14ac:dyDescent="0.3">
      <c r="A96" s="9" t="s">
        <v>69</v>
      </c>
      <c r="B96" s="33">
        <v>45926</v>
      </c>
      <c r="C96" s="5">
        <v>44248</v>
      </c>
      <c r="D96" s="6">
        <f t="shared" si="51"/>
        <v>672</v>
      </c>
      <c r="E96" s="5"/>
      <c r="F96" s="6" t="str">
        <f t="shared" si="61"/>
        <v/>
      </c>
      <c r="G96" s="5">
        <v>15293</v>
      </c>
      <c r="H96" s="6">
        <f t="shared" si="52"/>
        <v>289</v>
      </c>
      <c r="I96" s="5">
        <v>1370</v>
      </c>
      <c r="J96" s="6">
        <f t="shared" si="53"/>
        <v>29</v>
      </c>
      <c r="K96" s="5">
        <v>7429</v>
      </c>
      <c r="L96" s="6">
        <f t="shared" si="54"/>
        <v>116</v>
      </c>
      <c r="M96" s="5">
        <v>104</v>
      </c>
      <c r="N96" s="6">
        <f t="shared" si="55"/>
        <v>2</v>
      </c>
      <c r="O96" s="13">
        <v>15502</v>
      </c>
      <c r="P96" s="6">
        <f t="shared" si="56"/>
        <v>300</v>
      </c>
      <c r="Q96" s="5">
        <v>1916</v>
      </c>
      <c r="R96" s="6">
        <f t="shared" si="57"/>
        <v>95</v>
      </c>
      <c r="S96" s="5">
        <v>5678</v>
      </c>
      <c r="T96" s="6">
        <f t="shared" si="58"/>
        <v>100</v>
      </c>
      <c r="U96" s="5">
        <v>6358</v>
      </c>
      <c r="V96" s="6">
        <f t="shared" si="59"/>
        <v>92</v>
      </c>
      <c r="W96" s="5">
        <v>859</v>
      </c>
      <c r="X96" s="6">
        <f t="shared" si="60"/>
        <v>12</v>
      </c>
      <c r="Y96" s="7">
        <f t="shared" si="62"/>
        <v>436</v>
      </c>
      <c r="Z96" s="7">
        <f t="shared" si="63"/>
        <v>299</v>
      </c>
      <c r="AA96" s="7">
        <f t="shared" si="64"/>
        <v>735</v>
      </c>
      <c r="AB96" s="17">
        <f t="shared" si="65"/>
        <v>-236</v>
      </c>
      <c r="AC96" s="17">
        <f t="shared" si="66"/>
        <v>-1</v>
      </c>
      <c r="AD96" s="17">
        <f t="shared" si="67"/>
        <v>-237</v>
      </c>
    </row>
    <row r="97" spans="1:30" hidden="1" x14ac:dyDescent="0.3">
      <c r="A97" s="9" t="s">
        <v>70</v>
      </c>
      <c r="B97" s="33">
        <v>45927</v>
      </c>
      <c r="C97" s="5">
        <v>44920</v>
      </c>
      <c r="D97" s="6">
        <f t="shared" si="51"/>
        <v>816</v>
      </c>
      <c r="E97" s="5"/>
      <c r="F97" s="6" t="str">
        <f t="shared" si="61"/>
        <v/>
      </c>
      <c r="G97" s="5">
        <v>15582</v>
      </c>
      <c r="H97" s="6">
        <f t="shared" si="52"/>
        <v>155</v>
      </c>
      <c r="I97" s="5">
        <v>1399</v>
      </c>
      <c r="J97" s="6">
        <f t="shared" si="53"/>
        <v>23</v>
      </c>
      <c r="K97" s="5">
        <v>7545</v>
      </c>
      <c r="L97" s="6">
        <f t="shared" si="54"/>
        <v>155</v>
      </c>
      <c r="M97" s="5">
        <v>106</v>
      </c>
      <c r="N97" s="6">
        <f t="shared" si="55"/>
        <v>1</v>
      </c>
      <c r="O97" s="13">
        <v>15802</v>
      </c>
      <c r="P97" s="6">
        <f t="shared" si="56"/>
        <v>234</v>
      </c>
      <c r="Q97" s="5">
        <v>2011</v>
      </c>
      <c r="R97" s="6">
        <f t="shared" si="57"/>
        <v>2</v>
      </c>
      <c r="S97" s="5">
        <v>5778</v>
      </c>
      <c r="T97" s="6">
        <f t="shared" si="58"/>
        <v>100</v>
      </c>
      <c r="U97" s="5">
        <v>6450</v>
      </c>
      <c r="V97" s="6">
        <f t="shared" si="59"/>
        <v>117</v>
      </c>
      <c r="W97" s="5">
        <v>871</v>
      </c>
      <c r="X97" s="6">
        <f t="shared" si="60"/>
        <v>14</v>
      </c>
      <c r="Y97" s="7">
        <f t="shared" si="62"/>
        <v>334</v>
      </c>
      <c r="Z97" s="7">
        <f t="shared" si="63"/>
        <v>233</v>
      </c>
      <c r="AA97" s="7">
        <f t="shared" si="64"/>
        <v>567</v>
      </c>
      <c r="AB97" s="17">
        <f t="shared" si="65"/>
        <v>-482</v>
      </c>
      <c r="AC97" s="17">
        <f t="shared" si="66"/>
        <v>-1</v>
      </c>
      <c r="AD97" s="17">
        <f t="shared" si="67"/>
        <v>-483</v>
      </c>
    </row>
    <row r="98" spans="1:30" hidden="1" x14ac:dyDescent="0.3">
      <c r="A98" s="9" t="s">
        <v>71</v>
      </c>
      <c r="B98" s="33">
        <v>45928</v>
      </c>
      <c r="C98" s="5">
        <v>45736</v>
      </c>
      <c r="D98" s="6">
        <f t="shared" si="51"/>
        <v>588</v>
      </c>
      <c r="E98" s="5"/>
      <c r="F98" s="6" t="str">
        <f t="shared" si="61"/>
        <v/>
      </c>
      <c r="G98" s="5">
        <v>15737</v>
      </c>
      <c r="H98" s="6">
        <f t="shared" si="52"/>
        <v>168</v>
      </c>
      <c r="I98" s="5">
        <v>1422</v>
      </c>
      <c r="J98" s="6">
        <f t="shared" si="53"/>
        <v>2</v>
      </c>
      <c r="K98" s="5">
        <v>7700</v>
      </c>
      <c r="L98" s="6">
        <f t="shared" si="54"/>
        <v>103</v>
      </c>
      <c r="M98" s="5">
        <v>107</v>
      </c>
      <c r="N98" s="6">
        <f t="shared" si="55"/>
        <v>1</v>
      </c>
      <c r="O98" s="13">
        <v>16036</v>
      </c>
      <c r="P98" s="6">
        <f t="shared" si="56"/>
        <v>160</v>
      </c>
      <c r="Q98" s="5">
        <v>2013</v>
      </c>
      <c r="R98" s="6">
        <f t="shared" si="57"/>
        <v>2</v>
      </c>
      <c r="S98" s="5">
        <v>5878</v>
      </c>
      <c r="T98" s="6">
        <f t="shared" si="58"/>
        <v>65</v>
      </c>
      <c r="U98" s="5">
        <v>6567</v>
      </c>
      <c r="V98" s="6">
        <f t="shared" si="59"/>
        <v>81</v>
      </c>
      <c r="W98" s="5">
        <v>885</v>
      </c>
      <c r="X98" s="6">
        <f t="shared" si="60"/>
        <v>11</v>
      </c>
      <c r="Y98" s="7">
        <f t="shared" si="62"/>
        <v>274</v>
      </c>
      <c r="Z98" s="7">
        <f t="shared" si="63"/>
        <v>159</v>
      </c>
      <c r="AA98" s="7">
        <f t="shared" si="64"/>
        <v>433</v>
      </c>
      <c r="AB98" s="17">
        <f t="shared" si="65"/>
        <v>-314</v>
      </c>
      <c r="AC98" s="17">
        <f t="shared" si="66"/>
        <v>-1</v>
      </c>
      <c r="AD98" s="17">
        <f t="shared" si="67"/>
        <v>-315</v>
      </c>
    </row>
    <row r="99" spans="1:30" hidden="1" x14ac:dyDescent="0.3">
      <c r="A99" s="9" t="s">
        <v>72</v>
      </c>
      <c r="B99" s="33">
        <v>45929</v>
      </c>
      <c r="C99" s="5">
        <v>46324</v>
      </c>
      <c r="D99" s="6">
        <f t="shared" si="51"/>
        <v>783</v>
      </c>
      <c r="E99" s="5"/>
      <c r="F99" s="6" t="str">
        <f t="shared" si="61"/>
        <v/>
      </c>
      <c r="G99" s="5">
        <v>15905</v>
      </c>
      <c r="H99" s="6">
        <f t="shared" si="52"/>
        <v>247</v>
      </c>
      <c r="I99" s="5">
        <v>1424</v>
      </c>
      <c r="J99" s="6">
        <f t="shared" si="53"/>
        <v>20</v>
      </c>
      <c r="K99" s="5">
        <v>7803</v>
      </c>
      <c r="L99" s="6">
        <f t="shared" si="54"/>
        <v>154</v>
      </c>
      <c r="M99" s="5">
        <v>108</v>
      </c>
      <c r="N99" s="6">
        <f t="shared" si="55"/>
        <v>1</v>
      </c>
      <c r="O99" s="13">
        <v>16196</v>
      </c>
      <c r="P99" s="6">
        <f t="shared" si="56"/>
        <v>251</v>
      </c>
      <c r="Q99" s="5">
        <v>2015</v>
      </c>
      <c r="R99" s="6">
        <f t="shared" si="57"/>
        <v>0</v>
      </c>
      <c r="S99" s="5">
        <v>5943</v>
      </c>
      <c r="T99" s="6">
        <f t="shared" si="58"/>
        <v>128</v>
      </c>
      <c r="U99" s="5">
        <v>6648</v>
      </c>
      <c r="V99" s="6">
        <f t="shared" si="59"/>
        <v>112</v>
      </c>
      <c r="W99" s="5">
        <v>896</v>
      </c>
      <c r="X99" s="6">
        <f t="shared" si="60"/>
        <v>10</v>
      </c>
      <c r="Y99" s="7">
        <f t="shared" si="62"/>
        <v>422</v>
      </c>
      <c r="Z99" s="7">
        <f t="shared" si="63"/>
        <v>250</v>
      </c>
      <c r="AA99" s="7">
        <f t="shared" si="64"/>
        <v>672</v>
      </c>
      <c r="AB99" s="17">
        <f t="shared" si="65"/>
        <v>-361</v>
      </c>
      <c r="AC99" s="17">
        <f t="shared" si="66"/>
        <v>-1</v>
      </c>
      <c r="AD99" s="17">
        <f t="shared" si="67"/>
        <v>-362</v>
      </c>
    </row>
    <row r="100" spans="1:30" hidden="1" x14ac:dyDescent="0.3">
      <c r="A100" s="9" t="s">
        <v>66</v>
      </c>
      <c r="B100" s="33">
        <v>45930</v>
      </c>
      <c r="C100" s="5">
        <v>47107</v>
      </c>
      <c r="D100" s="6">
        <f t="shared" si="51"/>
        <v>729</v>
      </c>
      <c r="E100" s="5"/>
      <c r="F100" s="6" t="str">
        <f t="shared" si="61"/>
        <v/>
      </c>
      <c r="G100" s="5">
        <v>16152</v>
      </c>
      <c r="H100" s="6">
        <f t="shared" si="52"/>
        <v>251</v>
      </c>
      <c r="I100" s="5">
        <v>1444</v>
      </c>
      <c r="J100" s="6">
        <f t="shared" si="53"/>
        <v>23</v>
      </c>
      <c r="K100" s="5">
        <v>7957</v>
      </c>
      <c r="L100" s="6">
        <f t="shared" si="54"/>
        <v>136</v>
      </c>
      <c r="M100" s="5">
        <v>109</v>
      </c>
      <c r="N100" s="6">
        <f t="shared" si="55"/>
        <v>2</v>
      </c>
      <c r="O100" s="13">
        <v>16447</v>
      </c>
      <c r="P100" s="6">
        <f t="shared" si="56"/>
        <v>227</v>
      </c>
      <c r="Q100" s="5">
        <v>2015</v>
      </c>
      <c r="R100" s="6">
        <f t="shared" si="57"/>
        <v>10</v>
      </c>
      <c r="S100" s="5">
        <v>6071</v>
      </c>
      <c r="T100" s="6">
        <f t="shared" si="58"/>
        <v>86</v>
      </c>
      <c r="U100" s="5">
        <v>6760</v>
      </c>
      <c r="V100" s="6">
        <f t="shared" si="59"/>
        <v>116</v>
      </c>
      <c r="W100" s="5">
        <v>906</v>
      </c>
      <c r="X100" s="6">
        <f t="shared" si="60"/>
        <v>14</v>
      </c>
      <c r="Y100" s="7">
        <f t="shared" si="62"/>
        <v>412</v>
      </c>
      <c r="Z100" s="7">
        <f t="shared" si="63"/>
        <v>226</v>
      </c>
      <c r="AA100" s="7">
        <f t="shared" si="64"/>
        <v>638</v>
      </c>
      <c r="AB100" s="17">
        <f t="shared" si="65"/>
        <v>-317</v>
      </c>
      <c r="AC100" s="17">
        <f t="shared" si="66"/>
        <v>-1</v>
      </c>
      <c r="AD100" s="17">
        <f t="shared" si="67"/>
        <v>-318</v>
      </c>
    </row>
    <row r="101" spans="1:30" hidden="1" x14ac:dyDescent="0.3">
      <c r="A101" s="9" t="s">
        <v>67</v>
      </c>
      <c r="B101" s="33">
        <v>45931</v>
      </c>
      <c r="C101" s="5">
        <v>47836</v>
      </c>
      <c r="D101" s="6">
        <f>IF(C103&lt;&gt;"",C103-C101,"")</f>
        <v>0</v>
      </c>
      <c r="E101" s="5"/>
      <c r="F101" s="6" t="str">
        <f>IF(E103&lt;&gt;"",E103-E101,"")</f>
        <v/>
      </c>
      <c r="G101" s="5">
        <v>16403</v>
      </c>
      <c r="H101" s="6">
        <f>IF(G103&lt;&gt;"",G103-G101,"")</f>
        <v>0</v>
      </c>
      <c r="I101" s="5">
        <v>1467</v>
      </c>
      <c r="J101" s="6">
        <f>IF(I103&lt;&gt;"",I103-I101,"")</f>
        <v>0</v>
      </c>
      <c r="K101" s="5">
        <v>8093</v>
      </c>
      <c r="L101" s="6">
        <f>IF(K103&lt;&gt;"",K103-K101,"")</f>
        <v>0</v>
      </c>
      <c r="M101" s="5">
        <v>111</v>
      </c>
      <c r="N101" s="6">
        <f>IF(M103&lt;&gt;"",M103-M101,"")</f>
        <v>0</v>
      </c>
      <c r="O101" s="13">
        <v>16674</v>
      </c>
      <c r="P101" s="6">
        <f>IF(O103&lt;&gt;"",O103-O101,"")</f>
        <v>0</v>
      </c>
      <c r="Q101" s="5">
        <v>2025</v>
      </c>
      <c r="R101" s="6">
        <f>IF(Q103&lt;&gt;"",Q103-Q101,"")</f>
        <v>0</v>
      </c>
      <c r="S101" s="5">
        <v>6157</v>
      </c>
      <c r="T101" s="6">
        <f>IF(S103&lt;&gt;"",S103-S101,"")</f>
        <v>0</v>
      </c>
      <c r="U101" s="5">
        <v>6876</v>
      </c>
      <c r="V101" s="6">
        <f>IF(U103&lt;&gt;"",U103-U101,"")</f>
        <v>0</v>
      </c>
      <c r="W101" s="5">
        <v>920</v>
      </c>
      <c r="X101" s="6">
        <f>IF(W103&lt;&gt;"",W103-W101,"")</f>
        <v>0</v>
      </c>
      <c r="Y101" s="7">
        <f t="shared" si="62"/>
        <v>0</v>
      </c>
      <c r="Z101" s="7">
        <f t="shared" si="63"/>
        <v>0</v>
      </c>
      <c r="AA101" s="7">
        <f t="shared" si="64"/>
        <v>0</v>
      </c>
      <c r="AB101" s="17">
        <f t="shared" si="65"/>
        <v>0</v>
      </c>
      <c r="AC101" s="17">
        <f t="shared" si="66"/>
        <v>0</v>
      </c>
      <c r="AD101" s="17">
        <f t="shared" si="67"/>
        <v>0</v>
      </c>
    </row>
    <row r="102" spans="1:30" ht="23.4" hidden="1" x14ac:dyDescent="0.3">
      <c r="A102" s="152" t="s">
        <v>73</v>
      </c>
      <c r="B102" s="153"/>
      <c r="C102" s="8"/>
      <c r="D102" s="11">
        <f>SUM(D71:D101)</f>
        <v>15415</v>
      </c>
      <c r="E102" s="8"/>
      <c r="F102" s="11">
        <f>SUM(F71:F101)</f>
        <v>0</v>
      </c>
      <c r="G102" s="8"/>
      <c r="H102" s="11">
        <f>SUM(H71:H101)</f>
        <v>5176</v>
      </c>
      <c r="I102" s="8"/>
      <c r="J102" s="11">
        <f>SUM(J71:J101)</f>
        <v>662</v>
      </c>
      <c r="K102" s="8"/>
      <c r="L102" s="11">
        <f>SUM(L71:L101)</f>
        <v>2794</v>
      </c>
      <c r="M102" s="8"/>
      <c r="N102" s="11">
        <f>SUM(N71:N101)</f>
        <v>40</v>
      </c>
      <c r="O102" s="15"/>
      <c r="P102" s="11">
        <f>SUM(P71:P101)</f>
        <v>6729</v>
      </c>
      <c r="Q102" s="8"/>
      <c r="R102" s="11">
        <f>SUM(R71:R101)</f>
        <v>1735</v>
      </c>
      <c r="S102" s="8"/>
      <c r="T102" s="11">
        <f>SUM(T71:T101)</f>
        <v>2383</v>
      </c>
      <c r="U102" s="8"/>
      <c r="V102" s="11">
        <f>SUM(V71:V101)</f>
        <v>2205</v>
      </c>
      <c r="W102" s="8"/>
      <c r="X102" s="11">
        <f>SUM(X71:X101)</f>
        <v>333</v>
      </c>
      <c r="Y102" s="7">
        <f>SUM(F102,H102,J102,L102,N102)</f>
        <v>8672</v>
      </c>
      <c r="Z102" s="7">
        <f>SUM(R102,T102,V102,X102)</f>
        <v>6656</v>
      </c>
      <c r="AA102" s="7">
        <f t="shared" si="64"/>
        <v>15328</v>
      </c>
      <c r="AB102" s="17">
        <f>D102-Y102</f>
        <v>6743</v>
      </c>
      <c r="AC102" s="17">
        <f>P102-Z102</f>
        <v>73</v>
      </c>
      <c r="AD102" s="17">
        <f>(D102+P102)-AA102</f>
        <v>6816</v>
      </c>
    </row>
    <row r="103" spans="1:30" x14ac:dyDescent="0.3">
      <c r="A103" s="9" t="s">
        <v>67</v>
      </c>
      <c r="B103" s="33">
        <v>45931</v>
      </c>
      <c r="C103" s="5">
        <v>47836</v>
      </c>
      <c r="D103" s="6">
        <f>IF(C104&lt;&gt;"",C104-C103,"")</f>
        <v>566</v>
      </c>
      <c r="E103" s="5"/>
      <c r="F103" s="6" t="str">
        <f>IF(E104&lt;&gt;"",E104-E103,"")</f>
        <v/>
      </c>
      <c r="G103" s="5">
        <v>16403</v>
      </c>
      <c r="H103" s="6">
        <f>IF(G104&lt;&gt;"",G104-G103,"")</f>
        <v>186</v>
      </c>
      <c r="I103" s="5">
        <v>1467</v>
      </c>
      <c r="J103" s="6">
        <f>IF(I104&lt;&gt;"",I104-I103,"")</f>
        <v>18</v>
      </c>
      <c r="K103" s="5">
        <v>8093</v>
      </c>
      <c r="L103" s="6">
        <f>IF(K104&lt;&gt;"",K104-K103,"")</f>
        <v>112</v>
      </c>
      <c r="M103" s="5">
        <v>111</v>
      </c>
      <c r="N103" s="6">
        <f>IF(M104&lt;&gt;"",M104-M103,"")</f>
        <v>1</v>
      </c>
      <c r="O103" s="13">
        <v>16674</v>
      </c>
      <c r="P103" s="6">
        <f>IF(O104&lt;&gt;"",O104-O103,"")</f>
        <v>286</v>
      </c>
      <c r="Q103" s="5">
        <v>2025</v>
      </c>
      <c r="R103" s="6">
        <f>IF(Q104&lt;&gt;"",Q104-Q103,"")</f>
        <v>78</v>
      </c>
      <c r="S103" s="5">
        <v>6157</v>
      </c>
      <c r="T103" s="6">
        <f>IF(S104&lt;&gt;"",S104-S103,"")</f>
        <v>97</v>
      </c>
      <c r="U103" s="5">
        <v>6876</v>
      </c>
      <c r="V103" s="6">
        <f>IF(U104&lt;&gt;"",U104-U103,"")</f>
        <v>98</v>
      </c>
      <c r="W103" s="5">
        <v>920</v>
      </c>
      <c r="X103" s="6">
        <f>IF(W104&lt;&gt;"",W104-W103,"")</f>
        <v>13</v>
      </c>
      <c r="Y103" s="7">
        <f t="shared" ref="Y103:Y134" si="68">SUM(F103,H103,J103,L103,N103)</f>
        <v>317</v>
      </c>
      <c r="Z103" s="7">
        <f t="shared" ref="Z103:Z134" si="69">SUM(R103,T103,V103,X103)</f>
        <v>286</v>
      </c>
      <c r="AA103" s="7">
        <f t="shared" ref="AA103:AA134" si="70">SUM(F103,H103,J103,L103,N103,R103,T103,V103,X103)</f>
        <v>603</v>
      </c>
      <c r="AB103" s="17">
        <f>D103-Y103</f>
        <v>249</v>
      </c>
      <c r="AC103" s="17">
        <f>P103-Z103</f>
        <v>0</v>
      </c>
      <c r="AD103" s="17">
        <f>(D103+P103)-AA103</f>
        <v>249</v>
      </c>
    </row>
    <row r="104" spans="1:30" x14ac:dyDescent="0.3">
      <c r="A104" s="9" t="s">
        <v>68</v>
      </c>
      <c r="B104" s="33">
        <v>45932</v>
      </c>
      <c r="C104" s="5">
        <v>48402</v>
      </c>
      <c r="D104" s="6">
        <f t="shared" ref="D104:D134" si="71">IF(C105&lt;&gt;"",C105-C104,"")</f>
        <v>649</v>
      </c>
      <c r="E104" s="5"/>
      <c r="F104" s="6" t="str">
        <f t="shared" ref="F104:F134" si="72">IF(E105&lt;&gt;"",E105-E104,"")</f>
        <v/>
      </c>
      <c r="G104" s="5">
        <v>16589</v>
      </c>
      <c r="H104" s="6">
        <f t="shared" ref="H104:H134" si="73">IF(G105&lt;&gt;"",G105-G104,"")</f>
        <v>221</v>
      </c>
      <c r="I104" s="5">
        <v>1485</v>
      </c>
      <c r="J104" s="6">
        <f t="shared" ref="J104:J134" si="74">IF(I105&lt;&gt;"",I105-I104,"")</f>
        <v>21</v>
      </c>
      <c r="K104" s="5">
        <v>8205</v>
      </c>
      <c r="L104" s="6">
        <f t="shared" ref="L104:L134" si="75">IF(K105&lt;&gt;"",K105-K104,"")</f>
        <v>123</v>
      </c>
      <c r="M104" s="5">
        <v>112</v>
      </c>
      <c r="N104" s="6">
        <f t="shared" ref="N104:N134" si="76">IF(M105&lt;&gt;"",M105-M104,"")</f>
        <v>2</v>
      </c>
      <c r="O104" s="13">
        <v>16960</v>
      </c>
      <c r="P104" s="6">
        <f t="shared" ref="P104:P134" si="77">IF(O105&lt;&gt;"",O105-O104,"")</f>
        <v>317</v>
      </c>
      <c r="Q104" s="5">
        <v>2103</v>
      </c>
      <c r="R104" s="6">
        <f t="shared" ref="R104:R134" si="78">IF(Q105&lt;&gt;"",Q105-Q104,"")</f>
        <v>100</v>
      </c>
      <c r="S104" s="5">
        <v>6254</v>
      </c>
      <c r="T104" s="6">
        <f t="shared" ref="T104:T134" si="79">IF(S105&lt;&gt;"",S105-S104,"")</f>
        <v>110</v>
      </c>
      <c r="U104" s="5">
        <v>6974</v>
      </c>
      <c r="V104" s="6">
        <f t="shared" ref="V104:V134" si="80">IF(U105&lt;&gt;"",U105-U104,"")</f>
        <v>98</v>
      </c>
      <c r="W104" s="5">
        <v>933</v>
      </c>
      <c r="X104" s="6">
        <f t="shared" ref="X104:X134" si="81">IF(W105&lt;&gt;"",W105-W104,"")</f>
        <v>12</v>
      </c>
      <c r="Y104" s="7">
        <f t="shared" si="68"/>
        <v>367</v>
      </c>
      <c r="Z104" s="7">
        <f>SUM(R104,T104,V104,X104)</f>
        <v>320</v>
      </c>
      <c r="AA104" s="7">
        <f t="shared" si="70"/>
        <v>687</v>
      </c>
      <c r="AB104" s="17">
        <f t="shared" ref="AB104:AB134" si="82">D104-Y104</f>
        <v>282</v>
      </c>
      <c r="AC104" s="17">
        <f>P104-Z104</f>
        <v>-3</v>
      </c>
      <c r="AD104" s="17">
        <f t="shared" ref="AD104:AD134" si="83">(D104+P104)-AA104</f>
        <v>279</v>
      </c>
    </row>
    <row r="105" spans="1:30" x14ac:dyDescent="0.3">
      <c r="A105" s="9" t="s">
        <v>69</v>
      </c>
      <c r="B105" s="33">
        <v>45933</v>
      </c>
      <c r="C105" s="5">
        <v>49051</v>
      </c>
      <c r="D105" s="6">
        <f t="shared" si="71"/>
        <v>578</v>
      </c>
      <c r="E105" s="5"/>
      <c r="F105" s="6" t="str">
        <f t="shared" si="72"/>
        <v/>
      </c>
      <c r="G105" s="5">
        <v>16810</v>
      </c>
      <c r="H105" s="6">
        <f t="shared" si="73"/>
        <v>181</v>
      </c>
      <c r="I105" s="5">
        <v>1506</v>
      </c>
      <c r="J105" s="6">
        <f t="shared" si="74"/>
        <v>30</v>
      </c>
      <c r="K105" s="5">
        <v>8328</v>
      </c>
      <c r="L105" s="6">
        <f t="shared" si="75"/>
        <v>109</v>
      </c>
      <c r="M105" s="5">
        <v>114</v>
      </c>
      <c r="N105" s="6">
        <f t="shared" si="76"/>
        <v>1</v>
      </c>
      <c r="O105" s="13">
        <v>17277</v>
      </c>
      <c r="P105" s="6">
        <f t="shared" si="77"/>
        <v>254</v>
      </c>
      <c r="Q105" s="5">
        <v>2203</v>
      </c>
      <c r="R105" s="6">
        <f t="shared" si="78"/>
        <v>86</v>
      </c>
      <c r="S105" s="5">
        <v>6364</v>
      </c>
      <c r="T105" s="6">
        <f t="shared" si="79"/>
        <v>78</v>
      </c>
      <c r="U105" s="5">
        <v>7072</v>
      </c>
      <c r="V105" s="6">
        <f t="shared" si="80"/>
        <v>77</v>
      </c>
      <c r="W105" s="5">
        <v>945</v>
      </c>
      <c r="X105" s="6">
        <f t="shared" si="81"/>
        <v>12</v>
      </c>
      <c r="Y105" s="7">
        <f t="shared" si="68"/>
        <v>321</v>
      </c>
      <c r="Z105" s="7">
        <f t="shared" si="69"/>
        <v>253</v>
      </c>
      <c r="AA105" s="7">
        <f t="shared" si="70"/>
        <v>574</v>
      </c>
      <c r="AB105" s="17">
        <f t="shared" si="82"/>
        <v>257</v>
      </c>
      <c r="AC105" s="17">
        <f t="shared" ref="AC105:AC134" si="84">P105-Z105</f>
        <v>1</v>
      </c>
      <c r="AD105" s="17">
        <f t="shared" si="83"/>
        <v>258</v>
      </c>
    </row>
    <row r="106" spans="1:30" x14ac:dyDescent="0.3">
      <c r="A106" s="9" t="s">
        <v>70</v>
      </c>
      <c r="B106" s="33">
        <v>45934</v>
      </c>
      <c r="C106" s="5">
        <v>49629</v>
      </c>
      <c r="D106" s="6">
        <f t="shared" si="71"/>
        <v>554</v>
      </c>
      <c r="E106" s="5"/>
      <c r="F106" s="6" t="str">
        <f t="shared" si="72"/>
        <v/>
      </c>
      <c r="G106" s="5">
        <v>16991</v>
      </c>
      <c r="H106" s="6">
        <f t="shared" si="73"/>
        <v>172</v>
      </c>
      <c r="I106" s="5">
        <v>1536</v>
      </c>
      <c r="J106" s="6">
        <f t="shared" si="74"/>
        <v>14</v>
      </c>
      <c r="K106" s="5">
        <v>8437</v>
      </c>
      <c r="L106" s="6">
        <f t="shared" si="75"/>
        <v>107</v>
      </c>
      <c r="M106" s="5">
        <v>115</v>
      </c>
      <c r="N106" s="6">
        <f t="shared" si="76"/>
        <v>2</v>
      </c>
      <c r="O106" s="13">
        <v>17531</v>
      </c>
      <c r="P106" s="6">
        <f t="shared" si="77"/>
        <v>256</v>
      </c>
      <c r="Q106" s="5">
        <v>2289</v>
      </c>
      <c r="R106" s="6">
        <f t="shared" si="78"/>
        <v>95</v>
      </c>
      <c r="S106" s="5">
        <v>6442</v>
      </c>
      <c r="T106" s="6">
        <f t="shared" si="79"/>
        <v>66</v>
      </c>
      <c r="U106" s="5">
        <v>7149</v>
      </c>
      <c r="V106" s="6">
        <f t="shared" si="80"/>
        <v>82</v>
      </c>
      <c r="W106" s="5">
        <v>957</v>
      </c>
      <c r="X106" s="6">
        <f t="shared" si="81"/>
        <v>14</v>
      </c>
      <c r="Y106" s="7">
        <f t="shared" si="68"/>
        <v>295</v>
      </c>
      <c r="Z106" s="7">
        <f t="shared" si="69"/>
        <v>257</v>
      </c>
      <c r="AA106" s="7">
        <f t="shared" si="70"/>
        <v>552</v>
      </c>
      <c r="AB106" s="17">
        <f t="shared" si="82"/>
        <v>259</v>
      </c>
      <c r="AC106" s="17">
        <f t="shared" si="84"/>
        <v>-1</v>
      </c>
      <c r="AD106" s="17">
        <f t="shared" si="83"/>
        <v>258</v>
      </c>
    </row>
    <row r="107" spans="1:30" x14ac:dyDescent="0.3">
      <c r="A107" s="9" t="s">
        <v>71</v>
      </c>
      <c r="B107" s="33">
        <v>45935</v>
      </c>
      <c r="C107" s="5">
        <v>50183</v>
      </c>
      <c r="D107" s="6">
        <f t="shared" si="71"/>
        <v>33</v>
      </c>
      <c r="E107" s="5"/>
      <c r="F107" s="6" t="str">
        <f t="shared" si="72"/>
        <v/>
      </c>
      <c r="G107" s="5">
        <v>17163</v>
      </c>
      <c r="H107" s="6">
        <f t="shared" si="73"/>
        <v>14</v>
      </c>
      <c r="I107" s="5">
        <v>1550</v>
      </c>
      <c r="J107" s="6">
        <f t="shared" si="74"/>
        <v>1</v>
      </c>
      <c r="K107" s="5">
        <v>8544</v>
      </c>
      <c r="L107" s="6">
        <f t="shared" si="75"/>
        <v>9</v>
      </c>
      <c r="M107" s="5">
        <v>117</v>
      </c>
      <c r="N107" s="6">
        <f t="shared" si="76"/>
        <v>0</v>
      </c>
      <c r="O107" s="13">
        <v>17787</v>
      </c>
      <c r="P107" s="6">
        <f t="shared" si="77"/>
        <v>27</v>
      </c>
      <c r="Q107" s="5">
        <v>2384</v>
      </c>
      <c r="R107" s="6">
        <f t="shared" si="78"/>
        <v>4</v>
      </c>
      <c r="S107" s="5">
        <v>6508</v>
      </c>
      <c r="T107" s="6">
        <f t="shared" si="79"/>
        <v>9</v>
      </c>
      <c r="U107" s="5">
        <v>7231</v>
      </c>
      <c r="V107" s="6">
        <f t="shared" si="80"/>
        <v>9</v>
      </c>
      <c r="W107" s="5">
        <v>971</v>
      </c>
      <c r="X107" s="6">
        <f t="shared" si="81"/>
        <v>2</v>
      </c>
      <c r="Y107" s="7">
        <f t="shared" si="68"/>
        <v>24</v>
      </c>
      <c r="Z107" s="7">
        <f t="shared" si="69"/>
        <v>24</v>
      </c>
      <c r="AA107" s="7">
        <f t="shared" si="70"/>
        <v>48</v>
      </c>
      <c r="AB107" s="17">
        <f t="shared" si="82"/>
        <v>9</v>
      </c>
      <c r="AC107" s="17">
        <f t="shared" si="84"/>
        <v>3</v>
      </c>
      <c r="AD107" s="17">
        <f t="shared" si="83"/>
        <v>12</v>
      </c>
    </row>
    <row r="108" spans="1:30" x14ac:dyDescent="0.3">
      <c r="A108" s="9" t="s">
        <v>72</v>
      </c>
      <c r="B108" s="33">
        <v>45936</v>
      </c>
      <c r="C108" s="5">
        <v>50216</v>
      </c>
      <c r="D108" s="6">
        <f t="shared" si="71"/>
        <v>555</v>
      </c>
      <c r="E108" s="5"/>
      <c r="F108" s="6" t="str">
        <f t="shared" si="72"/>
        <v/>
      </c>
      <c r="G108" s="5">
        <v>17177</v>
      </c>
      <c r="H108" s="6">
        <f t="shared" si="73"/>
        <v>172</v>
      </c>
      <c r="I108" s="5">
        <v>1551</v>
      </c>
      <c r="J108" s="6">
        <f t="shared" si="74"/>
        <v>2</v>
      </c>
      <c r="K108" s="5">
        <v>8553</v>
      </c>
      <c r="L108" s="6">
        <f t="shared" si="75"/>
        <v>111</v>
      </c>
      <c r="M108" s="5">
        <v>117</v>
      </c>
      <c r="N108" s="6">
        <f t="shared" si="76"/>
        <v>2</v>
      </c>
      <c r="O108" s="13">
        <v>17814</v>
      </c>
      <c r="P108" s="6">
        <f t="shared" si="77"/>
        <v>218</v>
      </c>
      <c r="Q108" s="5">
        <v>2388</v>
      </c>
      <c r="R108" s="6">
        <f t="shared" si="78"/>
        <v>92</v>
      </c>
      <c r="S108" s="5">
        <v>6517</v>
      </c>
      <c r="T108" s="6">
        <f t="shared" si="79"/>
        <v>18</v>
      </c>
      <c r="U108" s="5">
        <v>7240</v>
      </c>
      <c r="V108" s="6">
        <f t="shared" si="80"/>
        <v>92</v>
      </c>
      <c r="W108" s="5">
        <v>973</v>
      </c>
      <c r="X108" s="6">
        <f t="shared" si="81"/>
        <v>14</v>
      </c>
      <c r="Y108" s="7">
        <f t="shared" si="68"/>
        <v>287</v>
      </c>
      <c r="Z108" s="7">
        <f t="shared" si="69"/>
        <v>216</v>
      </c>
      <c r="AA108" s="7">
        <f t="shared" si="70"/>
        <v>503</v>
      </c>
      <c r="AB108" s="17">
        <f t="shared" si="82"/>
        <v>268</v>
      </c>
      <c r="AC108" s="17">
        <f t="shared" si="84"/>
        <v>2</v>
      </c>
      <c r="AD108" s="17">
        <f t="shared" si="83"/>
        <v>270</v>
      </c>
    </row>
    <row r="109" spans="1:30" x14ac:dyDescent="0.3">
      <c r="A109" s="9" t="s">
        <v>66</v>
      </c>
      <c r="B109" s="33">
        <v>45937</v>
      </c>
      <c r="C109" s="5">
        <v>50771</v>
      </c>
      <c r="D109" s="6">
        <f t="shared" si="71"/>
        <v>575</v>
      </c>
      <c r="E109" s="5"/>
      <c r="F109" s="6" t="str">
        <f t="shared" si="72"/>
        <v/>
      </c>
      <c r="G109" s="5">
        <v>17349</v>
      </c>
      <c r="H109" s="6">
        <f t="shared" si="73"/>
        <v>167</v>
      </c>
      <c r="I109" s="5">
        <v>1553</v>
      </c>
      <c r="J109" s="6">
        <f t="shared" si="74"/>
        <v>2</v>
      </c>
      <c r="K109" s="5">
        <v>8664</v>
      </c>
      <c r="L109" s="6">
        <f t="shared" si="75"/>
        <v>103</v>
      </c>
      <c r="M109" s="5">
        <v>119</v>
      </c>
      <c r="N109" s="6">
        <f t="shared" si="76"/>
        <v>3</v>
      </c>
      <c r="O109" s="13">
        <v>18032</v>
      </c>
      <c r="P109" s="6">
        <f t="shared" si="77"/>
        <v>226</v>
      </c>
      <c r="Q109" s="5">
        <v>2480</v>
      </c>
      <c r="R109" s="6">
        <f t="shared" si="78"/>
        <v>106</v>
      </c>
      <c r="S109" s="5">
        <v>6535</v>
      </c>
      <c r="T109" s="6">
        <f t="shared" si="79"/>
        <v>17</v>
      </c>
      <c r="U109" s="5">
        <v>7332</v>
      </c>
      <c r="V109" s="6">
        <f t="shared" si="80"/>
        <v>93</v>
      </c>
      <c r="W109" s="5">
        <v>987</v>
      </c>
      <c r="X109" s="6">
        <f t="shared" si="81"/>
        <v>11</v>
      </c>
      <c r="Y109" s="7">
        <f t="shared" si="68"/>
        <v>275</v>
      </c>
      <c r="Z109" s="7">
        <f t="shared" si="69"/>
        <v>227</v>
      </c>
      <c r="AA109" s="7">
        <f t="shared" si="70"/>
        <v>502</v>
      </c>
      <c r="AB109" s="17">
        <f t="shared" si="82"/>
        <v>300</v>
      </c>
      <c r="AC109" s="17">
        <f t="shared" si="84"/>
        <v>-1</v>
      </c>
      <c r="AD109" s="17">
        <f t="shared" si="83"/>
        <v>299</v>
      </c>
    </row>
    <row r="110" spans="1:30" x14ac:dyDescent="0.3">
      <c r="A110" s="9" t="s">
        <v>67</v>
      </c>
      <c r="B110" s="33">
        <v>45938</v>
      </c>
      <c r="C110" s="5">
        <v>51346</v>
      </c>
      <c r="D110" s="6">
        <f t="shared" si="71"/>
        <v>571</v>
      </c>
      <c r="E110" s="5"/>
      <c r="F110" s="6" t="str">
        <f t="shared" si="72"/>
        <v/>
      </c>
      <c r="G110" s="5">
        <v>17516</v>
      </c>
      <c r="H110" s="6">
        <f t="shared" si="73"/>
        <v>173</v>
      </c>
      <c r="I110" s="5">
        <v>1555</v>
      </c>
      <c r="J110" s="6">
        <f t="shared" si="74"/>
        <v>2</v>
      </c>
      <c r="K110" s="5">
        <v>8767</v>
      </c>
      <c r="L110" s="6">
        <f t="shared" si="75"/>
        <v>117</v>
      </c>
      <c r="M110" s="5">
        <v>122</v>
      </c>
      <c r="N110" s="6">
        <f t="shared" si="76"/>
        <v>2</v>
      </c>
      <c r="O110" s="13">
        <v>18258</v>
      </c>
      <c r="P110" s="6">
        <f t="shared" si="77"/>
        <v>221</v>
      </c>
      <c r="Q110" s="5">
        <v>2586</v>
      </c>
      <c r="R110" s="6">
        <f t="shared" si="78"/>
        <v>90</v>
      </c>
      <c r="S110" s="5">
        <v>6552</v>
      </c>
      <c r="T110" s="6">
        <f t="shared" si="79"/>
        <v>19</v>
      </c>
      <c r="U110" s="5">
        <v>7425</v>
      </c>
      <c r="V110" s="6">
        <f t="shared" si="80"/>
        <v>99</v>
      </c>
      <c r="W110" s="5">
        <v>998</v>
      </c>
      <c r="X110" s="6">
        <f t="shared" si="81"/>
        <v>13</v>
      </c>
      <c r="Y110" s="7">
        <f t="shared" si="68"/>
        <v>294</v>
      </c>
      <c r="Z110" s="7">
        <f t="shared" si="69"/>
        <v>221</v>
      </c>
      <c r="AA110" s="7">
        <f t="shared" si="70"/>
        <v>515</v>
      </c>
      <c r="AB110" s="17">
        <f t="shared" si="82"/>
        <v>277</v>
      </c>
      <c r="AC110" s="17">
        <f t="shared" si="84"/>
        <v>0</v>
      </c>
      <c r="AD110" s="17">
        <f t="shared" si="83"/>
        <v>277</v>
      </c>
    </row>
    <row r="111" spans="1:30" x14ac:dyDescent="0.3">
      <c r="A111" s="9" t="s">
        <v>68</v>
      </c>
      <c r="B111" s="33">
        <v>45939</v>
      </c>
      <c r="C111" s="5">
        <v>51917</v>
      </c>
      <c r="D111" s="6">
        <f t="shared" si="71"/>
        <v>546</v>
      </c>
      <c r="E111" s="5"/>
      <c r="F111" s="6" t="str">
        <f t="shared" si="72"/>
        <v/>
      </c>
      <c r="G111" s="5">
        <v>17689</v>
      </c>
      <c r="H111" s="6">
        <f t="shared" si="73"/>
        <v>165</v>
      </c>
      <c r="I111" s="5">
        <v>1557</v>
      </c>
      <c r="J111" s="6">
        <f t="shared" si="74"/>
        <v>3</v>
      </c>
      <c r="K111" s="5">
        <v>8884</v>
      </c>
      <c r="L111" s="6">
        <f t="shared" si="75"/>
        <v>103</v>
      </c>
      <c r="M111" s="5">
        <v>124</v>
      </c>
      <c r="N111" s="6">
        <f t="shared" si="76"/>
        <v>2</v>
      </c>
      <c r="O111" s="13">
        <v>18479</v>
      </c>
      <c r="P111" s="6">
        <f t="shared" si="77"/>
        <v>218</v>
      </c>
      <c r="Q111" s="5">
        <v>2676</v>
      </c>
      <c r="R111" s="6">
        <f t="shared" si="78"/>
        <v>95</v>
      </c>
      <c r="S111" s="5">
        <v>6571</v>
      </c>
      <c r="T111" s="6">
        <f t="shared" si="79"/>
        <v>23</v>
      </c>
      <c r="U111" s="5">
        <v>7524</v>
      </c>
      <c r="V111" s="6">
        <f t="shared" si="80"/>
        <v>86</v>
      </c>
      <c r="W111" s="5">
        <v>1011</v>
      </c>
      <c r="X111" s="6">
        <f t="shared" si="81"/>
        <v>11</v>
      </c>
      <c r="Y111" s="7">
        <f t="shared" si="68"/>
        <v>273</v>
      </c>
      <c r="Z111" s="7">
        <f t="shared" si="69"/>
        <v>215</v>
      </c>
      <c r="AA111" s="7">
        <f t="shared" si="70"/>
        <v>488</v>
      </c>
      <c r="AB111" s="17">
        <f t="shared" si="82"/>
        <v>273</v>
      </c>
      <c r="AC111" s="17">
        <f t="shared" si="84"/>
        <v>3</v>
      </c>
      <c r="AD111" s="17">
        <f t="shared" si="83"/>
        <v>276</v>
      </c>
    </row>
    <row r="112" spans="1:30" x14ac:dyDescent="0.3">
      <c r="A112" s="9" t="s">
        <v>69</v>
      </c>
      <c r="B112" s="33">
        <v>45940</v>
      </c>
      <c r="C112" s="5">
        <v>52463</v>
      </c>
      <c r="D112" s="6">
        <f t="shared" si="71"/>
        <v>444</v>
      </c>
      <c r="E112" s="5"/>
      <c r="F112" s="6" t="str">
        <f t="shared" si="72"/>
        <v/>
      </c>
      <c r="G112" s="5">
        <v>17854</v>
      </c>
      <c r="H112" s="6">
        <f t="shared" si="73"/>
        <v>121</v>
      </c>
      <c r="I112" s="5">
        <v>1560</v>
      </c>
      <c r="J112" s="6">
        <f t="shared" si="74"/>
        <v>5</v>
      </c>
      <c r="K112" s="5">
        <v>8987</v>
      </c>
      <c r="L112" s="6">
        <f t="shared" si="75"/>
        <v>103</v>
      </c>
      <c r="M112" s="5">
        <v>126</v>
      </c>
      <c r="N112" s="6">
        <f t="shared" si="76"/>
        <v>2</v>
      </c>
      <c r="O112" s="13">
        <v>18697</v>
      </c>
      <c r="P112" s="6">
        <f t="shared" si="77"/>
        <v>245</v>
      </c>
      <c r="Q112" s="5">
        <v>2771</v>
      </c>
      <c r="R112" s="6">
        <f t="shared" si="78"/>
        <v>100</v>
      </c>
      <c r="S112" s="5">
        <v>6594</v>
      </c>
      <c r="T112" s="6">
        <f t="shared" si="79"/>
        <v>31</v>
      </c>
      <c r="U112" s="5">
        <v>7610</v>
      </c>
      <c r="V112" s="6">
        <f t="shared" si="80"/>
        <v>99</v>
      </c>
      <c r="W112" s="5">
        <v>1022</v>
      </c>
      <c r="X112" s="6">
        <f t="shared" si="81"/>
        <v>15</v>
      </c>
      <c r="Y112" s="7">
        <f t="shared" si="68"/>
        <v>231</v>
      </c>
      <c r="Z112" s="7">
        <f t="shared" si="69"/>
        <v>245</v>
      </c>
      <c r="AA112" s="7">
        <f t="shared" si="70"/>
        <v>476</v>
      </c>
      <c r="AB112" s="17">
        <f t="shared" si="82"/>
        <v>213</v>
      </c>
      <c r="AC112" s="17">
        <f t="shared" si="84"/>
        <v>0</v>
      </c>
      <c r="AD112" s="17">
        <f t="shared" si="83"/>
        <v>213</v>
      </c>
    </row>
    <row r="113" spans="1:30" x14ac:dyDescent="0.3">
      <c r="A113" s="9" t="s">
        <v>70</v>
      </c>
      <c r="B113" s="33">
        <v>45941</v>
      </c>
      <c r="C113" s="5">
        <v>52907</v>
      </c>
      <c r="D113" s="6">
        <f t="shared" si="71"/>
        <v>473</v>
      </c>
      <c r="E113" s="5"/>
      <c r="F113" s="6" t="str">
        <f t="shared" si="72"/>
        <v/>
      </c>
      <c r="G113" s="5">
        <v>17975</v>
      </c>
      <c r="H113" s="6">
        <f t="shared" si="73"/>
        <v>84</v>
      </c>
      <c r="I113" s="5">
        <v>1565</v>
      </c>
      <c r="J113" s="6">
        <f t="shared" si="74"/>
        <v>5</v>
      </c>
      <c r="K113" s="5">
        <v>9090</v>
      </c>
      <c r="L113" s="6">
        <f t="shared" si="75"/>
        <v>113</v>
      </c>
      <c r="M113" s="5">
        <v>128</v>
      </c>
      <c r="N113" s="6">
        <f t="shared" si="76"/>
        <v>2</v>
      </c>
      <c r="O113" s="13">
        <v>18942</v>
      </c>
      <c r="P113" s="6">
        <f t="shared" si="77"/>
        <v>218</v>
      </c>
      <c r="Q113" s="5">
        <v>2871</v>
      </c>
      <c r="R113" s="6">
        <f t="shared" si="78"/>
        <v>96</v>
      </c>
      <c r="S113" s="5">
        <v>6625</v>
      </c>
      <c r="T113" s="6">
        <f t="shared" si="79"/>
        <v>21</v>
      </c>
      <c r="U113" s="5">
        <v>7709</v>
      </c>
      <c r="V113" s="6">
        <f t="shared" si="80"/>
        <v>88</v>
      </c>
      <c r="W113" s="5">
        <v>1037</v>
      </c>
      <c r="X113" s="6">
        <f t="shared" si="81"/>
        <v>11</v>
      </c>
      <c r="Y113" s="7">
        <f t="shared" si="68"/>
        <v>204</v>
      </c>
      <c r="Z113" s="7">
        <f t="shared" si="69"/>
        <v>216</v>
      </c>
      <c r="AA113" s="7">
        <f t="shared" si="70"/>
        <v>420</v>
      </c>
      <c r="AB113" s="17">
        <f t="shared" si="82"/>
        <v>269</v>
      </c>
      <c r="AC113" s="17">
        <f t="shared" si="84"/>
        <v>2</v>
      </c>
      <c r="AD113" s="17">
        <f t="shared" si="83"/>
        <v>271</v>
      </c>
    </row>
    <row r="114" spans="1:30" x14ac:dyDescent="0.3">
      <c r="A114" s="9" t="s">
        <v>71</v>
      </c>
      <c r="B114" s="33">
        <v>45942</v>
      </c>
      <c r="C114" s="5">
        <v>53380</v>
      </c>
      <c r="D114" s="6">
        <f t="shared" si="71"/>
        <v>61</v>
      </c>
      <c r="E114" s="5"/>
      <c r="F114" s="6" t="str">
        <f t="shared" si="72"/>
        <v/>
      </c>
      <c r="G114" s="5">
        <v>18059</v>
      </c>
      <c r="H114" s="6">
        <f t="shared" si="73"/>
        <v>1</v>
      </c>
      <c r="I114" s="5">
        <v>1570</v>
      </c>
      <c r="J114" s="6">
        <f t="shared" si="74"/>
        <v>0</v>
      </c>
      <c r="K114" s="5">
        <v>9203</v>
      </c>
      <c r="L114" s="6">
        <f t="shared" si="75"/>
        <v>3</v>
      </c>
      <c r="M114" s="5">
        <v>130</v>
      </c>
      <c r="N114" s="6">
        <f t="shared" si="76"/>
        <v>0</v>
      </c>
      <c r="O114" s="13">
        <v>19160</v>
      </c>
      <c r="P114" s="6">
        <f t="shared" si="77"/>
        <v>7</v>
      </c>
      <c r="Q114" s="5">
        <v>2967</v>
      </c>
      <c r="R114" s="6">
        <f t="shared" si="78"/>
        <v>0</v>
      </c>
      <c r="S114" s="5">
        <v>6646</v>
      </c>
      <c r="T114" s="6">
        <f t="shared" si="79"/>
        <v>0</v>
      </c>
      <c r="U114" s="5">
        <v>7797</v>
      </c>
      <c r="V114" s="6">
        <f t="shared" si="80"/>
        <v>0</v>
      </c>
      <c r="W114" s="5">
        <v>1048</v>
      </c>
      <c r="X114" s="6">
        <f t="shared" si="81"/>
        <v>5</v>
      </c>
      <c r="Y114" s="7">
        <f t="shared" si="68"/>
        <v>4</v>
      </c>
      <c r="Z114" s="7">
        <f t="shared" si="69"/>
        <v>5</v>
      </c>
      <c r="AA114" s="7">
        <f t="shared" si="70"/>
        <v>9</v>
      </c>
      <c r="AB114" s="17">
        <f t="shared" si="82"/>
        <v>57</v>
      </c>
      <c r="AC114" s="17">
        <f t="shared" si="84"/>
        <v>2</v>
      </c>
      <c r="AD114" s="17">
        <f t="shared" si="83"/>
        <v>59</v>
      </c>
    </row>
    <row r="115" spans="1:30" x14ac:dyDescent="0.3">
      <c r="A115" s="9" t="s">
        <v>72</v>
      </c>
      <c r="B115" s="33">
        <v>45943</v>
      </c>
      <c r="C115" s="5">
        <v>53441</v>
      </c>
      <c r="D115" s="6">
        <f t="shared" si="71"/>
        <v>388</v>
      </c>
      <c r="E115" s="5"/>
      <c r="F115" s="6" t="str">
        <f t="shared" si="72"/>
        <v/>
      </c>
      <c r="G115" s="5">
        <v>18060</v>
      </c>
      <c r="H115" s="6">
        <f t="shared" si="73"/>
        <v>83</v>
      </c>
      <c r="I115" s="5">
        <v>1570</v>
      </c>
      <c r="J115" s="6">
        <f t="shared" si="74"/>
        <v>7</v>
      </c>
      <c r="K115" s="5">
        <v>9206</v>
      </c>
      <c r="L115" s="6">
        <f t="shared" si="75"/>
        <v>105</v>
      </c>
      <c r="M115" s="5">
        <v>130</v>
      </c>
      <c r="N115" s="6">
        <f t="shared" si="76"/>
        <v>2</v>
      </c>
      <c r="O115" s="13">
        <v>19167</v>
      </c>
      <c r="P115" s="6">
        <f t="shared" si="77"/>
        <v>240</v>
      </c>
      <c r="Q115" s="5">
        <v>2967</v>
      </c>
      <c r="R115" s="6">
        <f t="shared" si="78"/>
        <v>106</v>
      </c>
      <c r="S115" s="5">
        <v>6646</v>
      </c>
      <c r="T115" s="6">
        <f t="shared" si="79"/>
        <v>32</v>
      </c>
      <c r="U115" s="5">
        <v>7797</v>
      </c>
      <c r="V115" s="6">
        <f t="shared" si="80"/>
        <v>90</v>
      </c>
      <c r="W115" s="5">
        <v>1053</v>
      </c>
      <c r="X115" s="6">
        <f t="shared" si="81"/>
        <v>12</v>
      </c>
      <c r="Y115" s="7">
        <f t="shared" si="68"/>
        <v>197</v>
      </c>
      <c r="Z115" s="7">
        <f t="shared" si="69"/>
        <v>240</v>
      </c>
      <c r="AA115" s="7">
        <f t="shared" si="70"/>
        <v>437</v>
      </c>
      <c r="AB115" s="17">
        <f t="shared" si="82"/>
        <v>191</v>
      </c>
      <c r="AC115" s="17">
        <f t="shared" si="84"/>
        <v>0</v>
      </c>
      <c r="AD115" s="17">
        <f t="shared" si="83"/>
        <v>191</v>
      </c>
    </row>
    <row r="116" spans="1:30" x14ac:dyDescent="0.3">
      <c r="A116" s="9" t="s">
        <v>66</v>
      </c>
      <c r="B116" s="33">
        <v>45944</v>
      </c>
      <c r="C116" s="5">
        <v>53829</v>
      </c>
      <c r="D116" s="6">
        <f t="shared" si="71"/>
        <v>530</v>
      </c>
      <c r="E116" s="5"/>
      <c r="F116" s="6" t="str">
        <f t="shared" si="72"/>
        <v/>
      </c>
      <c r="G116" s="5">
        <v>18143</v>
      </c>
      <c r="H116" s="6">
        <f t="shared" si="73"/>
        <v>88</v>
      </c>
      <c r="I116" s="5">
        <v>1577</v>
      </c>
      <c r="J116" s="6">
        <f t="shared" si="74"/>
        <v>8</v>
      </c>
      <c r="K116" s="5">
        <v>9311</v>
      </c>
      <c r="L116" s="6">
        <f t="shared" si="75"/>
        <v>124</v>
      </c>
      <c r="M116" s="5">
        <v>132</v>
      </c>
      <c r="N116" s="6">
        <f t="shared" si="76"/>
        <v>2</v>
      </c>
      <c r="O116" s="13">
        <v>19407</v>
      </c>
      <c r="P116" s="6">
        <f t="shared" si="77"/>
        <v>259</v>
      </c>
      <c r="Q116" s="5">
        <v>3073</v>
      </c>
      <c r="R116" s="6">
        <f t="shared" si="78"/>
        <v>124</v>
      </c>
      <c r="S116" s="5">
        <v>6678</v>
      </c>
      <c r="T116" s="6">
        <f t="shared" si="79"/>
        <v>28</v>
      </c>
      <c r="U116" s="5">
        <v>7887</v>
      </c>
      <c r="V116" s="6">
        <f t="shared" si="80"/>
        <v>99</v>
      </c>
      <c r="W116" s="5">
        <v>1065</v>
      </c>
      <c r="X116" s="6">
        <f t="shared" si="81"/>
        <v>12</v>
      </c>
      <c r="Y116" s="7">
        <f t="shared" si="68"/>
        <v>222</v>
      </c>
      <c r="Z116" s="7">
        <f t="shared" si="69"/>
        <v>263</v>
      </c>
      <c r="AA116" s="7">
        <f t="shared" si="70"/>
        <v>485</v>
      </c>
      <c r="AB116" s="17">
        <f t="shared" si="82"/>
        <v>308</v>
      </c>
      <c r="AC116" s="17">
        <f t="shared" si="84"/>
        <v>-4</v>
      </c>
      <c r="AD116" s="17">
        <f t="shared" si="83"/>
        <v>304</v>
      </c>
    </row>
    <row r="117" spans="1:30" x14ac:dyDescent="0.3">
      <c r="A117" s="9" t="s">
        <v>67</v>
      </c>
      <c r="B117" s="33">
        <v>45945</v>
      </c>
      <c r="C117" s="5">
        <v>54359</v>
      </c>
      <c r="D117" s="6">
        <f t="shared" si="71"/>
        <v>491</v>
      </c>
      <c r="E117" s="5"/>
      <c r="F117" s="6" t="str">
        <f t="shared" si="72"/>
        <v/>
      </c>
      <c r="G117" s="5">
        <v>18231</v>
      </c>
      <c r="H117" s="6">
        <f t="shared" si="73"/>
        <v>89</v>
      </c>
      <c r="I117" s="5">
        <v>1585</v>
      </c>
      <c r="J117" s="6">
        <f t="shared" si="74"/>
        <v>10</v>
      </c>
      <c r="K117" s="5">
        <v>9435</v>
      </c>
      <c r="L117" s="6">
        <f t="shared" si="75"/>
        <v>128</v>
      </c>
      <c r="M117" s="5">
        <v>134</v>
      </c>
      <c r="N117" s="6">
        <f t="shared" si="76"/>
        <v>2</v>
      </c>
      <c r="O117" s="13">
        <v>19666</v>
      </c>
      <c r="P117" s="6">
        <f t="shared" si="77"/>
        <v>256</v>
      </c>
      <c r="Q117" s="5">
        <v>3197</v>
      </c>
      <c r="R117" s="6">
        <f t="shared" si="78"/>
        <v>120</v>
      </c>
      <c r="S117" s="5">
        <v>6706</v>
      </c>
      <c r="T117" s="6">
        <f t="shared" si="79"/>
        <v>31</v>
      </c>
      <c r="U117" s="5">
        <v>7986</v>
      </c>
      <c r="V117" s="6">
        <f t="shared" si="80"/>
        <v>87</v>
      </c>
      <c r="W117" s="5">
        <v>1077</v>
      </c>
      <c r="X117" s="6">
        <f t="shared" si="81"/>
        <v>12</v>
      </c>
      <c r="Y117" s="7">
        <f t="shared" si="68"/>
        <v>229</v>
      </c>
      <c r="Z117" s="7">
        <f t="shared" si="69"/>
        <v>250</v>
      </c>
      <c r="AA117" s="7">
        <f t="shared" si="70"/>
        <v>479</v>
      </c>
      <c r="AB117" s="17">
        <f t="shared" si="82"/>
        <v>262</v>
      </c>
      <c r="AC117" s="17">
        <f t="shared" si="84"/>
        <v>6</v>
      </c>
      <c r="AD117" s="17">
        <f t="shared" si="83"/>
        <v>268</v>
      </c>
    </row>
    <row r="118" spans="1:30" x14ac:dyDescent="0.3">
      <c r="A118" s="9" t="s">
        <v>68</v>
      </c>
      <c r="B118" s="33">
        <v>45946</v>
      </c>
      <c r="C118" s="5">
        <v>54850</v>
      </c>
      <c r="D118" s="6">
        <f t="shared" si="71"/>
        <v>513</v>
      </c>
      <c r="E118" s="5"/>
      <c r="F118" s="6" t="str">
        <f t="shared" si="72"/>
        <v/>
      </c>
      <c r="G118" s="5">
        <v>18320</v>
      </c>
      <c r="H118" s="6">
        <f t="shared" si="73"/>
        <v>93</v>
      </c>
      <c r="I118" s="5">
        <v>1595</v>
      </c>
      <c r="J118" s="6">
        <f t="shared" si="74"/>
        <v>16</v>
      </c>
      <c r="K118" s="5">
        <v>9563</v>
      </c>
      <c r="L118" s="6">
        <f t="shared" si="75"/>
        <v>126</v>
      </c>
      <c r="M118" s="5">
        <v>136</v>
      </c>
      <c r="N118" s="6">
        <f t="shared" si="76"/>
        <v>2</v>
      </c>
      <c r="O118" s="13">
        <v>19922</v>
      </c>
      <c r="P118" s="6">
        <f t="shared" si="77"/>
        <v>243</v>
      </c>
      <c r="Q118" s="5">
        <v>3317</v>
      </c>
      <c r="R118" s="6">
        <f t="shared" si="78"/>
        <v>99</v>
      </c>
      <c r="S118" s="5">
        <v>6737</v>
      </c>
      <c r="T118" s="6">
        <f t="shared" si="79"/>
        <v>34</v>
      </c>
      <c r="U118" s="5">
        <v>8073</v>
      </c>
      <c r="V118" s="6">
        <f t="shared" si="80"/>
        <v>94</v>
      </c>
      <c r="W118" s="5">
        <v>1089</v>
      </c>
      <c r="X118" s="6">
        <f t="shared" si="81"/>
        <v>14</v>
      </c>
      <c r="Y118" s="7">
        <f t="shared" si="68"/>
        <v>237</v>
      </c>
      <c r="Z118" s="7">
        <f t="shared" si="69"/>
        <v>241</v>
      </c>
      <c r="AA118" s="7">
        <f t="shared" si="70"/>
        <v>478</v>
      </c>
      <c r="AB118" s="17">
        <f t="shared" si="82"/>
        <v>276</v>
      </c>
      <c r="AC118" s="17">
        <f t="shared" si="84"/>
        <v>2</v>
      </c>
      <c r="AD118" s="17">
        <f t="shared" si="83"/>
        <v>278</v>
      </c>
    </row>
    <row r="119" spans="1:30" x14ac:dyDescent="0.3">
      <c r="A119" s="9" t="s">
        <v>69</v>
      </c>
      <c r="B119" s="33">
        <v>45947</v>
      </c>
      <c r="C119" s="5">
        <v>55363</v>
      </c>
      <c r="D119" s="6">
        <f t="shared" si="71"/>
        <v>462</v>
      </c>
      <c r="E119" s="5"/>
      <c r="F119" s="6" t="str">
        <f t="shared" si="72"/>
        <v/>
      </c>
      <c r="G119" s="5">
        <v>18413</v>
      </c>
      <c r="H119" s="6">
        <f t="shared" si="73"/>
        <v>86</v>
      </c>
      <c r="I119" s="5">
        <v>1611</v>
      </c>
      <c r="J119" s="6">
        <f t="shared" si="74"/>
        <v>19</v>
      </c>
      <c r="K119" s="5">
        <v>9689</v>
      </c>
      <c r="L119" s="6">
        <f t="shared" si="75"/>
        <v>127</v>
      </c>
      <c r="M119" s="5">
        <v>138</v>
      </c>
      <c r="N119" s="6">
        <f t="shared" si="76"/>
        <v>2</v>
      </c>
      <c r="O119" s="13">
        <v>20165</v>
      </c>
      <c r="P119" s="6">
        <f t="shared" si="77"/>
        <v>233</v>
      </c>
      <c r="Q119" s="5">
        <v>3416</v>
      </c>
      <c r="R119" s="6">
        <f t="shared" si="78"/>
        <v>90</v>
      </c>
      <c r="S119" s="5">
        <v>6771</v>
      </c>
      <c r="T119" s="6">
        <f t="shared" si="79"/>
        <v>33</v>
      </c>
      <c r="U119" s="5">
        <v>8167</v>
      </c>
      <c r="V119" s="6">
        <f t="shared" si="80"/>
        <v>94</v>
      </c>
      <c r="W119" s="5">
        <v>1103</v>
      </c>
      <c r="X119" s="6">
        <f t="shared" si="81"/>
        <v>14</v>
      </c>
      <c r="Y119" s="7">
        <f t="shared" si="68"/>
        <v>234</v>
      </c>
      <c r="Z119" s="7">
        <f t="shared" si="69"/>
        <v>231</v>
      </c>
      <c r="AA119" s="7">
        <f t="shared" si="70"/>
        <v>465</v>
      </c>
      <c r="AB119" s="17">
        <f t="shared" si="82"/>
        <v>228</v>
      </c>
      <c r="AC119" s="17">
        <f t="shared" si="84"/>
        <v>2</v>
      </c>
      <c r="AD119" s="17">
        <f t="shared" si="83"/>
        <v>230</v>
      </c>
    </row>
    <row r="120" spans="1:30" x14ac:dyDescent="0.3">
      <c r="A120" s="9" t="s">
        <v>70</v>
      </c>
      <c r="B120" s="33">
        <v>45948</v>
      </c>
      <c r="C120" s="5">
        <v>55825</v>
      </c>
      <c r="D120" s="6">
        <f t="shared" si="71"/>
        <v>392</v>
      </c>
      <c r="E120" s="5"/>
      <c r="F120" s="6" t="str">
        <f t="shared" si="72"/>
        <v/>
      </c>
      <c r="G120" s="5">
        <v>18499</v>
      </c>
      <c r="H120" s="6">
        <f t="shared" si="73"/>
        <v>81</v>
      </c>
      <c r="I120" s="5">
        <v>1630</v>
      </c>
      <c r="J120" s="6">
        <f t="shared" si="74"/>
        <v>17</v>
      </c>
      <c r="K120" s="5">
        <v>9816</v>
      </c>
      <c r="L120" s="6">
        <f t="shared" si="75"/>
        <v>141</v>
      </c>
      <c r="M120" s="5">
        <v>140</v>
      </c>
      <c r="N120" s="6">
        <f t="shared" si="76"/>
        <v>2</v>
      </c>
      <c r="O120" s="13">
        <v>20398</v>
      </c>
      <c r="P120" s="6">
        <f t="shared" si="77"/>
        <v>273</v>
      </c>
      <c r="Q120" s="5">
        <v>3506</v>
      </c>
      <c r="R120" s="6">
        <f t="shared" si="78"/>
        <v>129</v>
      </c>
      <c r="S120" s="5">
        <v>6804</v>
      </c>
      <c r="T120" s="6">
        <f t="shared" si="79"/>
        <v>32</v>
      </c>
      <c r="U120" s="5">
        <v>8261</v>
      </c>
      <c r="V120" s="6">
        <f t="shared" si="80"/>
        <v>97</v>
      </c>
      <c r="W120" s="5">
        <v>1117</v>
      </c>
      <c r="X120" s="6">
        <f t="shared" si="81"/>
        <v>9</v>
      </c>
      <c r="Y120" s="7">
        <f t="shared" si="68"/>
        <v>241</v>
      </c>
      <c r="Z120" s="7">
        <f t="shared" si="69"/>
        <v>267</v>
      </c>
      <c r="AA120" s="7">
        <f t="shared" si="70"/>
        <v>508</v>
      </c>
      <c r="AB120" s="17">
        <f t="shared" si="82"/>
        <v>151</v>
      </c>
      <c r="AC120" s="17">
        <f t="shared" si="84"/>
        <v>6</v>
      </c>
      <c r="AD120" s="17">
        <f t="shared" si="83"/>
        <v>157</v>
      </c>
    </row>
    <row r="121" spans="1:30" x14ac:dyDescent="0.3">
      <c r="A121" s="9" t="s">
        <v>71</v>
      </c>
      <c r="B121" s="33">
        <v>45949</v>
      </c>
      <c r="C121" s="5">
        <v>56217</v>
      </c>
      <c r="D121" s="6">
        <f t="shared" si="71"/>
        <v>324</v>
      </c>
      <c r="E121" s="5"/>
      <c r="F121" s="6" t="str">
        <f t="shared" si="72"/>
        <v/>
      </c>
      <c r="G121" s="5">
        <v>18580</v>
      </c>
      <c r="H121" s="6">
        <f t="shared" si="73"/>
        <v>67</v>
      </c>
      <c r="I121" s="5">
        <v>1647</v>
      </c>
      <c r="J121" s="6">
        <f t="shared" si="74"/>
        <v>1</v>
      </c>
      <c r="K121" s="5">
        <v>9957</v>
      </c>
      <c r="L121" s="6">
        <f t="shared" si="75"/>
        <v>112</v>
      </c>
      <c r="M121" s="5">
        <v>142</v>
      </c>
      <c r="N121" s="6">
        <f t="shared" si="76"/>
        <v>1</v>
      </c>
      <c r="O121" s="13">
        <v>20671</v>
      </c>
      <c r="P121" s="6">
        <f t="shared" si="77"/>
        <v>131</v>
      </c>
      <c r="Q121" s="5">
        <v>3635</v>
      </c>
      <c r="R121" s="6">
        <f t="shared" si="78"/>
        <v>28</v>
      </c>
      <c r="S121" s="5">
        <v>6836</v>
      </c>
      <c r="T121" s="6">
        <f t="shared" si="79"/>
        <v>12</v>
      </c>
      <c r="U121" s="5">
        <v>8358</v>
      </c>
      <c r="V121" s="6">
        <f t="shared" si="80"/>
        <v>80</v>
      </c>
      <c r="W121" s="5">
        <v>1126</v>
      </c>
      <c r="X121" s="6">
        <f t="shared" si="81"/>
        <v>2</v>
      </c>
      <c r="Y121" s="7">
        <f t="shared" si="68"/>
        <v>181</v>
      </c>
      <c r="Z121" s="7">
        <f t="shared" si="69"/>
        <v>122</v>
      </c>
      <c r="AA121" s="7">
        <f t="shared" si="70"/>
        <v>303</v>
      </c>
      <c r="AB121" s="17">
        <f t="shared" si="82"/>
        <v>143</v>
      </c>
      <c r="AC121" s="17">
        <f t="shared" si="84"/>
        <v>9</v>
      </c>
      <c r="AD121" s="17">
        <f t="shared" si="83"/>
        <v>152</v>
      </c>
    </row>
    <row r="122" spans="1:30" x14ac:dyDescent="0.3">
      <c r="A122" s="9" t="s">
        <v>72</v>
      </c>
      <c r="B122" s="33">
        <v>45950</v>
      </c>
      <c r="C122" s="5">
        <v>56541</v>
      </c>
      <c r="D122" s="6">
        <f t="shared" si="71"/>
        <v>561</v>
      </c>
      <c r="E122" s="5"/>
      <c r="F122" s="6" t="str">
        <f t="shared" si="72"/>
        <v/>
      </c>
      <c r="G122" s="5">
        <v>18647</v>
      </c>
      <c r="H122" s="6">
        <f t="shared" si="73"/>
        <v>62</v>
      </c>
      <c r="I122" s="5">
        <v>1648</v>
      </c>
      <c r="J122" s="6">
        <f t="shared" si="74"/>
        <v>21</v>
      </c>
      <c r="K122" s="5">
        <v>10069</v>
      </c>
      <c r="L122" s="6">
        <f t="shared" si="75"/>
        <v>153</v>
      </c>
      <c r="M122" s="5">
        <v>143</v>
      </c>
      <c r="N122" s="6">
        <f t="shared" si="76"/>
        <v>2</v>
      </c>
      <c r="O122" s="13">
        <v>20802</v>
      </c>
      <c r="P122" s="6">
        <f t="shared" si="77"/>
        <v>251</v>
      </c>
      <c r="Q122" s="5">
        <v>3663</v>
      </c>
      <c r="R122" s="6">
        <f t="shared" si="78"/>
        <v>76</v>
      </c>
      <c r="S122" s="5">
        <v>6848</v>
      </c>
      <c r="T122" s="6">
        <f t="shared" si="79"/>
        <v>38</v>
      </c>
      <c r="U122" s="5">
        <v>8438</v>
      </c>
      <c r="V122" s="6">
        <f t="shared" si="80"/>
        <v>121</v>
      </c>
      <c r="W122" s="5">
        <v>1128</v>
      </c>
      <c r="X122" s="6">
        <f t="shared" si="81"/>
        <v>3</v>
      </c>
      <c r="Y122" s="7">
        <f t="shared" si="68"/>
        <v>238</v>
      </c>
      <c r="Z122" s="7">
        <f t="shared" si="69"/>
        <v>238</v>
      </c>
      <c r="AA122" s="7">
        <f t="shared" si="70"/>
        <v>476</v>
      </c>
      <c r="AB122" s="17">
        <f t="shared" si="82"/>
        <v>323</v>
      </c>
      <c r="AC122" s="17">
        <f t="shared" si="84"/>
        <v>13</v>
      </c>
      <c r="AD122" s="17">
        <f t="shared" si="83"/>
        <v>336</v>
      </c>
    </row>
    <row r="123" spans="1:30" x14ac:dyDescent="0.3">
      <c r="A123" s="9" t="s">
        <v>66</v>
      </c>
      <c r="B123" s="33">
        <v>45951</v>
      </c>
      <c r="C123" s="5">
        <v>57102</v>
      </c>
      <c r="D123" s="6">
        <f t="shared" si="71"/>
        <v>478</v>
      </c>
      <c r="E123" s="5"/>
      <c r="F123" s="6" t="str">
        <f t="shared" si="72"/>
        <v/>
      </c>
      <c r="G123" s="5">
        <v>18709</v>
      </c>
      <c r="H123" s="6">
        <f t="shared" si="73"/>
        <v>106</v>
      </c>
      <c r="I123" s="5">
        <v>1669</v>
      </c>
      <c r="J123" s="6">
        <f t="shared" si="74"/>
        <v>17</v>
      </c>
      <c r="K123" s="5">
        <v>10222</v>
      </c>
      <c r="L123" s="6">
        <f t="shared" si="75"/>
        <v>155</v>
      </c>
      <c r="M123" s="5">
        <v>145</v>
      </c>
      <c r="N123" s="6">
        <f t="shared" si="76"/>
        <v>2</v>
      </c>
      <c r="O123" s="13">
        <v>21053</v>
      </c>
      <c r="P123" s="6">
        <f t="shared" si="77"/>
        <v>236</v>
      </c>
      <c r="Q123" s="5">
        <v>3739</v>
      </c>
      <c r="R123" s="6">
        <f t="shared" si="78"/>
        <v>68</v>
      </c>
      <c r="S123" s="5">
        <v>6886</v>
      </c>
      <c r="T123" s="6">
        <f t="shared" si="79"/>
        <v>35</v>
      </c>
      <c r="U123" s="5">
        <v>8559</v>
      </c>
      <c r="V123" s="6">
        <f t="shared" si="80"/>
        <v>117</v>
      </c>
      <c r="W123" s="5">
        <v>1131</v>
      </c>
      <c r="X123" s="6">
        <f t="shared" si="81"/>
        <v>4</v>
      </c>
      <c r="Y123" s="7">
        <f t="shared" si="68"/>
        <v>280</v>
      </c>
      <c r="Z123" s="7">
        <f t="shared" si="69"/>
        <v>224</v>
      </c>
      <c r="AA123" s="7">
        <f t="shared" si="70"/>
        <v>504</v>
      </c>
      <c r="AB123" s="17">
        <f t="shared" si="82"/>
        <v>198</v>
      </c>
      <c r="AC123" s="17">
        <f t="shared" si="84"/>
        <v>12</v>
      </c>
      <c r="AD123" s="17">
        <f t="shared" si="83"/>
        <v>210</v>
      </c>
    </row>
    <row r="124" spans="1:30" x14ac:dyDescent="0.3">
      <c r="A124" s="9" t="s">
        <v>67</v>
      </c>
      <c r="B124" s="33">
        <v>45952</v>
      </c>
      <c r="C124" s="5">
        <v>57580</v>
      </c>
      <c r="D124" s="6">
        <f t="shared" si="71"/>
        <v>694</v>
      </c>
      <c r="E124" s="5"/>
      <c r="F124" s="6" t="str">
        <f t="shared" si="72"/>
        <v/>
      </c>
      <c r="G124" s="5">
        <v>18815</v>
      </c>
      <c r="H124" s="6">
        <f t="shared" si="73"/>
        <v>109</v>
      </c>
      <c r="I124" s="5">
        <v>1686</v>
      </c>
      <c r="J124" s="6">
        <f t="shared" si="74"/>
        <v>20</v>
      </c>
      <c r="K124" s="5">
        <v>10377</v>
      </c>
      <c r="L124" s="6">
        <f t="shared" si="75"/>
        <v>154</v>
      </c>
      <c r="M124" s="5">
        <v>147</v>
      </c>
      <c r="N124" s="6">
        <f t="shared" si="76"/>
        <v>3</v>
      </c>
      <c r="O124" s="13">
        <v>21289</v>
      </c>
      <c r="P124" s="6">
        <f t="shared" si="77"/>
        <v>248</v>
      </c>
      <c r="Q124" s="5">
        <v>3807</v>
      </c>
      <c r="R124" s="6">
        <f t="shared" si="78"/>
        <v>66</v>
      </c>
      <c r="S124" s="5">
        <v>6921</v>
      </c>
      <c r="T124" s="6">
        <f t="shared" si="79"/>
        <v>37</v>
      </c>
      <c r="U124" s="5">
        <v>8676</v>
      </c>
      <c r="V124" s="6">
        <f t="shared" si="80"/>
        <v>127</v>
      </c>
      <c r="W124" s="5">
        <v>1135</v>
      </c>
      <c r="X124" s="6">
        <f t="shared" si="81"/>
        <v>5</v>
      </c>
      <c r="Y124" s="7">
        <f t="shared" si="68"/>
        <v>286</v>
      </c>
      <c r="Z124" s="7">
        <f t="shared" si="69"/>
        <v>235</v>
      </c>
      <c r="AA124" s="7">
        <f t="shared" si="70"/>
        <v>521</v>
      </c>
      <c r="AB124" s="17">
        <f t="shared" si="82"/>
        <v>408</v>
      </c>
      <c r="AC124" s="17">
        <f t="shared" si="84"/>
        <v>13</v>
      </c>
      <c r="AD124" s="17">
        <f t="shared" si="83"/>
        <v>421</v>
      </c>
    </row>
    <row r="125" spans="1:30" x14ac:dyDescent="0.3">
      <c r="A125" s="9" t="s">
        <v>68</v>
      </c>
      <c r="B125" s="33">
        <v>45953</v>
      </c>
      <c r="C125" s="5">
        <v>58274</v>
      </c>
      <c r="D125" s="6">
        <f t="shared" si="71"/>
        <v>640</v>
      </c>
      <c r="E125" s="5"/>
      <c r="F125" s="6" t="str">
        <f t="shared" si="72"/>
        <v/>
      </c>
      <c r="G125" s="5">
        <v>18924</v>
      </c>
      <c r="H125" s="6">
        <f t="shared" si="73"/>
        <v>47</v>
      </c>
      <c r="I125" s="5">
        <v>1706</v>
      </c>
      <c r="J125" s="6">
        <f t="shared" si="74"/>
        <v>11</v>
      </c>
      <c r="K125" s="5">
        <v>10531</v>
      </c>
      <c r="L125" s="6">
        <f t="shared" si="75"/>
        <v>169</v>
      </c>
      <c r="M125" s="5">
        <v>150</v>
      </c>
      <c r="N125" s="6">
        <f t="shared" si="76"/>
        <v>2</v>
      </c>
      <c r="O125" s="13">
        <v>21537</v>
      </c>
      <c r="P125" s="6">
        <f t="shared" si="77"/>
        <v>191</v>
      </c>
      <c r="Q125" s="5">
        <v>3873</v>
      </c>
      <c r="R125" s="6">
        <f t="shared" si="78"/>
        <v>17</v>
      </c>
      <c r="S125" s="5">
        <v>6958</v>
      </c>
      <c r="T125" s="6">
        <f t="shared" si="79"/>
        <v>29</v>
      </c>
      <c r="U125" s="5">
        <v>8803</v>
      </c>
      <c r="V125" s="6">
        <f t="shared" si="80"/>
        <v>128</v>
      </c>
      <c r="W125" s="5">
        <v>1140</v>
      </c>
      <c r="X125" s="6">
        <f t="shared" si="81"/>
        <v>4</v>
      </c>
      <c r="Y125" s="7">
        <f t="shared" si="68"/>
        <v>229</v>
      </c>
      <c r="Z125" s="7">
        <f t="shared" si="69"/>
        <v>178</v>
      </c>
      <c r="AA125" s="7">
        <f t="shared" si="70"/>
        <v>407</v>
      </c>
      <c r="AB125" s="17">
        <f t="shared" si="82"/>
        <v>411</v>
      </c>
      <c r="AC125" s="17">
        <f t="shared" si="84"/>
        <v>13</v>
      </c>
      <c r="AD125" s="17">
        <f t="shared" si="83"/>
        <v>424</v>
      </c>
    </row>
    <row r="126" spans="1:30" x14ac:dyDescent="0.3">
      <c r="A126" s="9" t="s">
        <v>69</v>
      </c>
      <c r="B126" s="33">
        <v>45954</v>
      </c>
      <c r="C126" s="5">
        <v>58914</v>
      </c>
      <c r="D126" s="6">
        <f t="shared" si="71"/>
        <v>766</v>
      </c>
      <c r="E126" s="5"/>
      <c r="F126" s="6" t="str">
        <f t="shared" si="72"/>
        <v/>
      </c>
      <c r="G126" s="5">
        <v>18971</v>
      </c>
      <c r="H126" s="6">
        <f t="shared" si="73"/>
        <v>120</v>
      </c>
      <c r="I126" s="5">
        <v>1717</v>
      </c>
      <c r="J126" s="6">
        <f t="shared" si="74"/>
        <v>11</v>
      </c>
      <c r="K126" s="5">
        <v>10700</v>
      </c>
      <c r="L126" s="6">
        <f t="shared" si="75"/>
        <v>189</v>
      </c>
      <c r="M126" s="5">
        <v>152</v>
      </c>
      <c r="N126" s="6">
        <f t="shared" si="76"/>
        <v>2</v>
      </c>
      <c r="O126" s="13">
        <v>21728</v>
      </c>
      <c r="P126" s="6">
        <f t="shared" si="77"/>
        <v>186</v>
      </c>
      <c r="Q126" s="5">
        <v>3890</v>
      </c>
      <c r="R126" s="6">
        <f t="shared" si="78"/>
        <v>9</v>
      </c>
      <c r="S126" s="5">
        <v>6987</v>
      </c>
      <c r="T126" s="6">
        <f t="shared" si="79"/>
        <v>32</v>
      </c>
      <c r="U126" s="5">
        <v>8931</v>
      </c>
      <c r="V126" s="6">
        <f t="shared" si="80"/>
        <v>153</v>
      </c>
      <c r="W126" s="5">
        <v>1144</v>
      </c>
      <c r="X126" s="6">
        <f t="shared" si="81"/>
        <v>4</v>
      </c>
      <c r="Y126" s="7">
        <f t="shared" si="68"/>
        <v>322</v>
      </c>
      <c r="Z126" s="7">
        <f t="shared" si="69"/>
        <v>198</v>
      </c>
      <c r="AA126" s="7">
        <f t="shared" si="70"/>
        <v>520</v>
      </c>
      <c r="AB126" s="17">
        <f t="shared" si="82"/>
        <v>444</v>
      </c>
      <c r="AC126" s="17">
        <f>P126-Z126</f>
        <v>-12</v>
      </c>
      <c r="AD126" s="17">
        <f t="shared" si="83"/>
        <v>432</v>
      </c>
    </row>
    <row r="127" spans="1:30" x14ac:dyDescent="0.3">
      <c r="A127" s="9" t="s">
        <v>70</v>
      </c>
      <c r="B127" s="33">
        <v>45955</v>
      </c>
      <c r="C127" s="5">
        <v>59680</v>
      </c>
      <c r="D127" s="6">
        <f t="shared" si="71"/>
        <v>718</v>
      </c>
      <c r="E127" s="5"/>
      <c r="F127" s="6" t="str">
        <f t="shared" si="72"/>
        <v/>
      </c>
      <c r="G127" s="5">
        <v>19091</v>
      </c>
      <c r="H127" s="6">
        <f t="shared" si="73"/>
        <v>108</v>
      </c>
      <c r="I127" s="5">
        <v>1728</v>
      </c>
      <c r="J127" s="6">
        <f t="shared" si="74"/>
        <v>9</v>
      </c>
      <c r="K127" s="5">
        <v>10889</v>
      </c>
      <c r="L127" s="6">
        <f t="shared" si="75"/>
        <v>183</v>
      </c>
      <c r="M127" s="5">
        <v>154</v>
      </c>
      <c r="N127" s="6">
        <f t="shared" si="76"/>
        <v>2</v>
      </c>
      <c r="O127" s="13">
        <v>21914</v>
      </c>
      <c r="P127" s="6">
        <f t="shared" si="77"/>
        <v>237</v>
      </c>
      <c r="Q127" s="5">
        <v>3899</v>
      </c>
      <c r="R127" s="6">
        <f t="shared" si="78"/>
        <v>6</v>
      </c>
      <c r="S127" s="5">
        <v>7019</v>
      </c>
      <c r="T127" s="6">
        <f t="shared" si="79"/>
        <v>35</v>
      </c>
      <c r="U127" s="5">
        <v>9084</v>
      </c>
      <c r="V127" s="6">
        <f t="shared" si="80"/>
        <v>149</v>
      </c>
      <c r="W127" s="5">
        <v>1148</v>
      </c>
      <c r="X127" s="6">
        <f t="shared" si="81"/>
        <v>4</v>
      </c>
      <c r="Y127" s="7">
        <f t="shared" si="68"/>
        <v>302</v>
      </c>
      <c r="Z127" s="7">
        <f t="shared" si="69"/>
        <v>194</v>
      </c>
      <c r="AA127" s="7">
        <f t="shared" si="70"/>
        <v>496</v>
      </c>
      <c r="AB127" s="17">
        <f t="shared" si="82"/>
        <v>416</v>
      </c>
      <c r="AC127" s="17">
        <f t="shared" si="84"/>
        <v>43</v>
      </c>
      <c r="AD127" s="17">
        <f t="shared" si="83"/>
        <v>459</v>
      </c>
    </row>
    <row r="128" spans="1:30" x14ac:dyDescent="0.3">
      <c r="A128" s="9" t="s">
        <v>71</v>
      </c>
      <c r="B128" s="33">
        <v>45956</v>
      </c>
      <c r="C128" s="5">
        <v>60398</v>
      </c>
      <c r="D128" s="6">
        <f t="shared" si="71"/>
        <v>530</v>
      </c>
      <c r="E128" s="5"/>
      <c r="F128" s="6" t="str">
        <f t="shared" si="72"/>
        <v/>
      </c>
      <c r="G128" s="5">
        <v>19199</v>
      </c>
      <c r="H128" s="6">
        <f t="shared" si="73"/>
        <v>30</v>
      </c>
      <c r="I128" s="5">
        <v>1737</v>
      </c>
      <c r="J128" s="6">
        <f t="shared" si="74"/>
        <v>0</v>
      </c>
      <c r="K128" s="5">
        <v>11072</v>
      </c>
      <c r="L128" s="6">
        <f t="shared" si="75"/>
        <v>129</v>
      </c>
      <c r="M128" s="5">
        <v>156</v>
      </c>
      <c r="N128" s="6">
        <f t="shared" si="76"/>
        <v>0</v>
      </c>
      <c r="O128" s="13">
        <v>22151</v>
      </c>
      <c r="P128" s="6">
        <f t="shared" si="77"/>
        <v>196</v>
      </c>
      <c r="Q128" s="5">
        <v>3905</v>
      </c>
      <c r="R128" s="6">
        <f t="shared" si="78"/>
        <v>64</v>
      </c>
      <c r="S128" s="5">
        <v>7054</v>
      </c>
      <c r="T128" s="6">
        <f t="shared" si="79"/>
        <v>5</v>
      </c>
      <c r="U128" s="5">
        <v>9233</v>
      </c>
      <c r="V128" s="6">
        <f t="shared" si="80"/>
        <v>111</v>
      </c>
      <c r="W128" s="5">
        <v>1152</v>
      </c>
      <c r="X128" s="6">
        <f t="shared" si="81"/>
        <v>3</v>
      </c>
      <c r="Y128" s="7">
        <f t="shared" si="68"/>
        <v>159</v>
      </c>
      <c r="Z128" s="7">
        <f t="shared" si="69"/>
        <v>183</v>
      </c>
      <c r="AA128" s="7">
        <f t="shared" si="70"/>
        <v>342</v>
      </c>
      <c r="AB128" s="17">
        <f t="shared" si="82"/>
        <v>371</v>
      </c>
      <c r="AC128" s="17">
        <f t="shared" si="84"/>
        <v>13</v>
      </c>
      <c r="AD128" s="17">
        <f t="shared" si="83"/>
        <v>384</v>
      </c>
    </row>
    <row r="129" spans="1:30" x14ac:dyDescent="0.3">
      <c r="A129" s="9" t="s">
        <v>72</v>
      </c>
      <c r="B129" s="33">
        <v>45957</v>
      </c>
      <c r="C129" s="5">
        <v>60928</v>
      </c>
      <c r="D129" s="6">
        <f t="shared" si="71"/>
        <v>690</v>
      </c>
      <c r="E129" s="5"/>
      <c r="F129" s="6" t="str">
        <f t="shared" si="72"/>
        <v/>
      </c>
      <c r="G129" s="5">
        <v>19229</v>
      </c>
      <c r="H129" s="6">
        <f t="shared" si="73"/>
        <v>95</v>
      </c>
      <c r="I129" s="5">
        <v>1737</v>
      </c>
      <c r="J129" s="6">
        <f t="shared" si="74"/>
        <v>6</v>
      </c>
      <c r="K129" s="5">
        <v>11201</v>
      </c>
      <c r="L129" s="6">
        <f t="shared" si="75"/>
        <v>172</v>
      </c>
      <c r="M129" s="5">
        <v>156</v>
      </c>
      <c r="N129" s="6">
        <f t="shared" si="76"/>
        <v>3</v>
      </c>
      <c r="O129" s="13">
        <v>22347</v>
      </c>
      <c r="P129" s="6">
        <f t="shared" si="77"/>
        <v>213</v>
      </c>
      <c r="Q129" s="5">
        <v>3969</v>
      </c>
      <c r="R129" s="6">
        <f t="shared" si="78"/>
        <v>8</v>
      </c>
      <c r="S129" s="5">
        <v>7059</v>
      </c>
      <c r="T129" s="6">
        <f t="shared" si="79"/>
        <v>40</v>
      </c>
      <c r="U129" s="5">
        <v>9344</v>
      </c>
      <c r="V129" s="6">
        <f t="shared" si="80"/>
        <v>145</v>
      </c>
      <c r="W129" s="5">
        <v>1155</v>
      </c>
      <c r="X129" s="6">
        <f t="shared" si="81"/>
        <v>3</v>
      </c>
      <c r="Y129" s="7">
        <f t="shared" si="68"/>
        <v>276</v>
      </c>
      <c r="Z129" s="7">
        <f t="shared" si="69"/>
        <v>196</v>
      </c>
      <c r="AA129" s="7">
        <f t="shared" si="70"/>
        <v>472</v>
      </c>
      <c r="AB129" s="17">
        <f t="shared" si="82"/>
        <v>414</v>
      </c>
      <c r="AC129" s="17">
        <f t="shared" si="84"/>
        <v>17</v>
      </c>
      <c r="AD129" s="17">
        <f t="shared" si="83"/>
        <v>431</v>
      </c>
    </row>
    <row r="130" spans="1:30" x14ac:dyDescent="0.3">
      <c r="A130" s="9" t="s">
        <v>66</v>
      </c>
      <c r="B130" s="33">
        <v>45958</v>
      </c>
      <c r="C130" s="5">
        <v>61618</v>
      </c>
      <c r="D130" s="6">
        <f t="shared" si="71"/>
        <v>686</v>
      </c>
      <c r="E130" s="5"/>
      <c r="F130" s="6" t="str">
        <f t="shared" si="72"/>
        <v/>
      </c>
      <c r="G130" s="5">
        <v>19324</v>
      </c>
      <c r="H130" s="6">
        <f t="shared" si="73"/>
        <v>106</v>
      </c>
      <c r="I130" s="5">
        <v>1743</v>
      </c>
      <c r="J130" s="6">
        <f t="shared" si="74"/>
        <v>9</v>
      </c>
      <c r="K130" s="5">
        <v>11373</v>
      </c>
      <c r="L130" s="6">
        <f t="shared" si="75"/>
        <v>153</v>
      </c>
      <c r="M130" s="5">
        <v>159</v>
      </c>
      <c r="N130" s="6">
        <f t="shared" si="76"/>
        <v>2</v>
      </c>
      <c r="O130" s="13">
        <v>22560</v>
      </c>
      <c r="P130" s="6">
        <f t="shared" si="77"/>
        <v>196</v>
      </c>
      <c r="Q130" s="5">
        <v>3977</v>
      </c>
      <c r="R130" s="6">
        <f t="shared" si="78"/>
        <v>7</v>
      </c>
      <c r="S130" s="5">
        <v>7099</v>
      </c>
      <c r="T130" s="6">
        <f t="shared" si="79"/>
        <v>30</v>
      </c>
      <c r="U130" s="5">
        <v>9489</v>
      </c>
      <c r="V130" s="6">
        <f t="shared" si="80"/>
        <v>142</v>
      </c>
      <c r="W130" s="5">
        <v>1158</v>
      </c>
      <c r="X130" s="6">
        <f t="shared" si="81"/>
        <v>4</v>
      </c>
      <c r="Y130" s="7">
        <f t="shared" si="68"/>
        <v>270</v>
      </c>
      <c r="Z130" s="7">
        <f t="shared" si="69"/>
        <v>183</v>
      </c>
      <c r="AA130" s="7">
        <f t="shared" si="70"/>
        <v>453</v>
      </c>
      <c r="AB130" s="17">
        <f t="shared" si="82"/>
        <v>416</v>
      </c>
      <c r="AC130" s="17">
        <f t="shared" si="84"/>
        <v>13</v>
      </c>
      <c r="AD130" s="17">
        <f t="shared" si="83"/>
        <v>429</v>
      </c>
    </row>
    <row r="131" spans="1:30" x14ac:dyDescent="0.3">
      <c r="A131" s="9" t="s">
        <v>67</v>
      </c>
      <c r="B131" s="33">
        <v>45959</v>
      </c>
      <c r="C131" s="5">
        <v>62304</v>
      </c>
      <c r="D131" s="6">
        <f t="shared" si="71"/>
        <v>696</v>
      </c>
      <c r="E131" s="5"/>
      <c r="F131" s="6" t="str">
        <f t="shared" si="72"/>
        <v/>
      </c>
      <c r="G131" s="5">
        <v>19430</v>
      </c>
      <c r="H131" s="6">
        <f t="shared" si="73"/>
        <v>97</v>
      </c>
      <c r="I131" s="5">
        <v>1752</v>
      </c>
      <c r="J131" s="6">
        <f t="shared" si="74"/>
        <v>7</v>
      </c>
      <c r="K131" s="5">
        <v>11526</v>
      </c>
      <c r="L131" s="6">
        <f t="shared" si="75"/>
        <v>158</v>
      </c>
      <c r="M131" s="5">
        <v>161</v>
      </c>
      <c r="N131" s="6">
        <f t="shared" si="76"/>
        <v>2</v>
      </c>
      <c r="O131" s="13">
        <v>22756</v>
      </c>
      <c r="P131" s="6">
        <f t="shared" si="77"/>
        <v>224</v>
      </c>
      <c r="Q131" s="5">
        <v>3984</v>
      </c>
      <c r="R131" s="6">
        <f t="shared" si="78"/>
        <v>37</v>
      </c>
      <c r="S131" s="5">
        <v>7129</v>
      </c>
      <c r="T131" s="6">
        <f t="shared" si="79"/>
        <v>30</v>
      </c>
      <c r="U131" s="5">
        <v>9631</v>
      </c>
      <c r="V131" s="6">
        <f t="shared" si="80"/>
        <v>138</v>
      </c>
      <c r="W131" s="5">
        <v>1162</v>
      </c>
      <c r="X131" s="6">
        <f t="shared" si="81"/>
        <v>3</v>
      </c>
      <c r="Y131" s="7">
        <f t="shared" si="68"/>
        <v>264</v>
      </c>
      <c r="Z131" s="7">
        <f t="shared" si="69"/>
        <v>208</v>
      </c>
      <c r="AA131" s="7">
        <f t="shared" si="70"/>
        <v>472</v>
      </c>
      <c r="AB131" s="17">
        <f t="shared" si="82"/>
        <v>432</v>
      </c>
      <c r="AC131" s="17">
        <f t="shared" si="84"/>
        <v>16</v>
      </c>
      <c r="AD131" s="17">
        <f t="shared" si="83"/>
        <v>448</v>
      </c>
    </row>
    <row r="132" spans="1:30" x14ac:dyDescent="0.3">
      <c r="A132" s="9" t="s">
        <v>68</v>
      </c>
      <c r="B132" s="33">
        <v>45960</v>
      </c>
      <c r="C132" s="5">
        <v>63000</v>
      </c>
      <c r="D132" s="6">
        <f t="shared" si="71"/>
        <v>571</v>
      </c>
      <c r="E132" s="5"/>
      <c r="F132" s="6" t="str">
        <f t="shared" si="72"/>
        <v/>
      </c>
      <c r="G132" s="5">
        <v>19527</v>
      </c>
      <c r="H132" s="6">
        <f t="shared" si="73"/>
        <v>63</v>
      </c>
      <c r="I132" s="5">
        <v>1759</v>
      </c>
      <c r="J132" s="6">
        <f t="shared" si="74"/>
        <v>6</v>
      </c>
      <c r="K132" s="5">
        <v>11684</v>
      </c>
      <c r="L132" s="6">
        <f t="shared" si="75"/>
        <v>155</v>
      </c>
      <c r="M132" s="5">
        <v>163</v>
      </c>
      <c r="N132" s="6">
        <f t="shared" si="76"/>
        <v>2</v>
      </c>
      <c r="O132" s="13">
        <v>22980</v>
      </c>
      <c r="P132" s="6">
        <f t="shared" si="77"/>
        <v>209</v>
      </c>
      <c r="Q132" s="5">
        <v>4021</v>
      </c>
      <c r="R132" s="6">
        <f t="shared" si="78"/>
        <v>26</v>
      </c>
      <c r="S132" s="5">
        <v>7159</v>
      </c>
      <c r="T132" s="6">
        <f t="shared" si="79"/>
        <v>27</v>
      </c>
      <c r="U132" s="5">
        <v>9769</v>
      </c>
      <c r="V132" s="6">
        <f t="shared" si="80"/>
        <v>138</v>
      </c>
      <c r="W132" s="5">
        <v>1165</v>
      </c>
      <c r="X132" s="6">
        <f t="shared" si="81"/>
        <v>3</v>
      </c>
      <c r="Y132" s="7">
        <f t="shared" si="68"/>
        <v>226</v>
      </c>
      <c r="Z132" s="7">
        <f t="shared" si="69"/>
        <v>194</v>
      </c>
      <c r="AA132" s="7">
        <f t="shared" si="70"/>
        <v>420</v>
      </c>
      <c r="AB132" s="17">
        <f t="shared" si="82"/>
        <v>345</v>
      </c>
      <c r="AC132" s="17">
        <f t="shared" si="84"/>
        <v>15</v>
      </c>
      <c r="AD132" s="17">
        <f t="shared" si="83"/>
        <v>360</v>
      </c>
    </row>
    <row r="133" spans="1:30" x14ac:dyDescent="0.3">
      <c r="A133" s="9" t="s">
        <v>69</v>
      </c>
      <c r="B133" s="33">
        <v>45961</v>
      </c>
      <c r="C133" s="5">
        <v>63571</v>
      </c>
      <c r="D133" s="6">
        <f t="shared" si="71"/>
        <v>531</v>
      </c>
      <c r="E133" s="5"/>
      <c r="F133" s="6" t="str">
        <f t="shared" si="72"/>
        <v/>
      </c>
      <c r="G133" s="5">
        <v>19590</v>
      </c>
      <c r="H133" s="6">
        <f t="shared" si="73"/>
        <v>79</v>
      </c>
      <c r="I133" s="5">
        <v>1765</v>
      </c>
      <c r="J133" s="6">
        <f t="shared" si="74"/>
        <v>3</v>
      </c>
      <c r="K133" s="5">
        <v>11839</v>
      </c>
      <c r="L133" s="6">
        <f t="shared" si="75"/>
        <v>152</v>
      </c>
      <c r="M133" s="5">
        <v>165</v>
      </c>
      <c r="N133" s="6">
        <f t="shared" si="76"/>
        <v>0</v>
      </c>
      <c r="O133" s="13">
        <v>23189</v>
      </c>
      <c r="P133" s="6">
        <f t="shared" si="77"/>
        <v>186</v>
      </c>
      <c r="Q133" s="5">
        <v>4047</v>
      </c>
      <c r="R133" s="6">
        <f t="shared" si="78"/>
        <v>7</v>
      </c>
      <c r="S133" s="5">
        <v>7186</v>
      </c>
      <c r="T133" s="6">
        <f t="shared" si="79"/>
        <v>30</v>
      </c>
      <c r="U133" s="5">
        <v>9907</v>
      </c>
      <c r="V133" s="6">
        <f t="shared" si="80"/>
        <v>132</v>
      </c>
      <c r="W133" s="5">
        <v>1168</v>
      </c>
      <c r="X133" s="6">
        <f t="shared" si="81"/>
        <v>2</v>
      </c>
      <c r="Y133" s="7">
        <f t="shared" si="68"/>
        <v>234</v>
      </c>
      <c r="Z133" s="7">
        <f t="shared" si="69"/>
        <v>171</v>
      </c>
      <c r="AA133" s="7">
        <f t="shared" si="70"/>
        <v>405</v>
      </c>
      <c r="AB133" s="17">
        <f t="shared" si="82"/>
        <v>297</v>
      </c>
      <c r="AC133" s="17">
        <f t="shared" si="84"/>
        <v>15</v>
      </c>
      <c r="AD133" s="17">
        <f t="shared" si="83"/>
        <v>312</v>
      </c>
    </row>
    <row r="134" spans="1:30" x14ac:dyDescent="0.3">
      <c r="A134" s="9" t="s">
        <v>70</v>
      </c>
      <c r="B134" s="33">
        <v>45962</v>
      </c>
      <c r="C134" s="5">
        <v>64102</v>
      </c>
      <c r="D134" s="6" t="str">
        <f t="shared" si="71"/>
        <v/>
      </c>
      <c r="E134" s="5"/>
      <c r="F134" s="6" t="str">
        <f t="shared" si="72"/>
        <v/>
      </c>
      <c r="G134" s="5">
        <v>19669</v>
      </c>
      <c r="H134" s="6" t="str">
        <f t="shared" si="73"/>
        <v/>
      </c>
      <c r="I134" s="5">
        <v>1768</v>
      </c>
      <c r="J134" s="6" t="str">
        <f t="shared" si="74"/>
        <v/>
      </c>
      <c r="K134" s="5">
        <v>11991</v>
      </c>
      <c r="L134" s="6" t="str">
        <f t="shared" si="75"/>
        <v/>
      </c>
      <c r="M134" s="5">
        <v>165</v>
      </c>
      <c r="N134" s="6" t="str">
        <f t="shared" si="76"/>
        <v/>
      </c>
      <c r="O134" s="13">
        <v>23375</v>
      </c>
      <c r="P134" s="6" t="str">
        <f t="shared" si="77"/>
        <v/>
      </c>
      <c r="Q134" s="5">
        <v>4054</v>
      </c>
      <c r="R134" s="6" t="str">
        <f t="shared" si="78"/>
        <v/>
      </c>
      <c r="S134" s="5">
        <v>7216</v>
      </c>
      <c r="T134" s="6" t="str">
        <f t="shared" si="79"/>
        <v/>
      </c>
      <c r="U134" s="5">
        <v>10039</v>
      </c>
      <c r="V134" s="6" t="str">
        <f t="shared" si="80"/>
        <v/>
      </c>
      <c r="W134" s="5">
        <v>1170</v>
      </c>
      <c r="X134" s="6" t="str">
        <f t="shared" si="81"/>
        <v/>
      </c>
      <c r="Y134" s="7">
        <f t="shared" si="68"/>
        <v>0</v>
      </c>
      <c r="Z134" s="7">
        <f t="shared" si="69"/>
        <v>0</v>
      </c>
      <c r="AA134" s="7">
        <f t="shared" si="70"/>
        <v>0</v>
      </c>
      <c r="AB134" s="17" t="e">
        <f t="shared" si="82"/>
        <v>#VALUE!</v>
      </c>
      <c r="AC134" s="17" t="e">
        <f t="shared" si="84"/>
        <v>#VALUE!</v>
      </c>
      <c r="AD134" s="17" t="e">
        <f t="shared" si="83"/>
        <v>#VALUE!</v>
      </c>
    </row>
    <row r="135" spans="1:30" ht="23.4" x14ac:dyDescent="0.3">
      <c r="A135" s="152" t="s">
        <v>73</v>
      </c>
      <c r="B135" s="153"/>
      <c r="C135" s="8"/>
      <c r="D135" s="11">
        <f>SUM(D103:D134)</f>
        <v>16266</v>
      </c>
      <c r="E135" s="8"/>
      <c r="F135" s="11">
        <f>SUM(F104:F134)</f>
        <v>0</v>
      </c>
      <c r="G135" s="8"/>
      <c r="H135" s="11">
        <f>SUM(H103:H134)</f>
        <v>3266</v>
      </c>
      <c r="I135" s="8"/>
      <c r="J135" s="11">
        <f>SUM(J103:J134)</f>
        <v>301</v>
      </c>
      <c r="K135" s="8"/>
      <c r="L135" s="11">
        <f>SUM(L103:L134)</f>
        <v>3898</v>
      </c>
      <c r="M135" s="8"/>
      <c r="N135" s="11">
        <f>SUM(N103:N134)</f>
        <v>54</v>
      </c>
      <c r="O135" s="15"/>
      <c r="P135" s="11">
        <f>SUM(P103:P134)</f>
        <v>6701</v>
      </c>
      <c r="Q135" s="8"/>
      <c r="R135" s="11">
        <f>SUM(R103:R134)</f>
        <v>2029</v>
      </c>
      <c r="S135" s="8"/>
      <c r="T135" s="11">
        <f>SUM(T103:T134)</f>
        <v>1059</v>
      </c>
      <c r="U135" s="8"/>
      <c r="V135" s="11">
        <f>SUM(V103:V134)</f>
        <v>3163</v>
      </c>
      <c r="W135" s="8"/>
      <c r="X135" s="11">
        <f>SUM(X103:X134)</f>
        <v>250</v>
      </c>
      <c r="Y135" s="7">
        <f>SUM(F135,H135,J135,L135,N135)</f>
        <v>7519</v>
      </c>
      <c r="Z135" s="7">
        <f>SUM(R135,T135,V135,X135)</f>
        <v>6501</v>
      </c>
      <c r="AA135" s="7">
        <f>SUM(F135,H135,J135,L135,N135,R135,T135,V135,X135)</f>
        <v>14020</v>
      </c>
      <c r="AB135" s="17">
        <f>D135-Y135</f>
        <v>8747</v>
      </c>
      <c r="AC135" s="17">
        <f>P135-Z135</f>
        <v>200</v>
      </c>
      <c r="AD135" s="17">
        <f>(D135+P135)-AA135</f>
        <v>8947</v>
      </c>
    </row>
    <row r="136" spans="1:30" x14ac:dyDescent="0.3">
      <c r="A136" s="9" t="s">
        <v>70</v>
      </c>
      <c r="B136" s="33">
        <v>45962</v>
      </c>
      <c r="C136" s="5">
        <v>64102</v>
      </c>
      <c r="D136" s="6">
        <f>IF(C137&lt;&gt;"",C137-C136,"")</f>
        <v>488</v>
      </c>
      <c r="E136" s="5"/>
      <c r="F136" s="6" t="str">
        <f>IF(E137&lt;&gt;"",E137-E136,"")</f>
        <v/>
      </c>
      <c r="G136" s="5">
        <v>19669</v>
      </c>
      <c r="H136" s="6">
        <f>IF(G137&lt;&gt;"",G137-G136,"")</f>
        <v>62</v>
      </c>
      <c r="I136" s="5">
        <v>1768</v>
      </c>
      <c r="J136" s="6">
        <f>IF(I137&lt;&gt;"",I137-I136,"")</f>
        <v>4</v>
      </c>
      <c r="K136" s="5">
        <v>11991</v>
      </c>
      <c r="L136" s="6">
        <f>IF(K137&lt;&gt;"",K137-K136,"")</f>
        <v>139</v>
      </c>
      <c r="M136" s="5">
        <v>165</v>
      </c>
      <c r="N136" s="6">
        <f>IF(M137&lt;&gt;"",M137-M136,"")</f>
        <v>2</v>
      </c>
      <c r="O136" s="13">
        <v>23375</v>
      </c>
      <c r="P136" s="6">
        <f>IF(O137&lt;&gt;"",O137-O136,"")</f>
        <v>198</v>
      </c>
      <c r="Q136" s="5">
        <v>4054</v>
      </c>
      <c r="R136" s="6">
        <f>IF(Q137&lt;&gt;"",Q137-Q136,"")</f>
        <v>6</v>
      </c>
      <c r="S136" s="5">
        <v>7216</v>
      </c>
      <c r="T136" s="6">
        <f>IF(S137&lt;&gt;"",S137-S136,"")</f>
        <v>33</v>
      </c>
      <c r="U136" s="5">
        <v>10039</v>
      </c>
      <c r="V136" s="6">
        <f>IF(U137&lt;&gt;"",U137-U136,"")</f>
        <v>139</v>
      </c>
      <c r="W136" s="5">
        <v>1170</v>
      </c>
      <c r="X136" s="6">
        <f>IF(W137&lt;&gt;"",W137-W136,"")</f>
        <v>3</v>
      </c>
      <c r="Y136" s="7">
        <f>SUM(F136,H136,J136,L136,N136)</f>
        <v>207</v>
      </c>
      <c r="Z136" s="7">
        <f>SUM(R136,T136,V136,X136)</f>
        <v>181</v>
      </c>
      <c r="AA136" s="7">
        <f>SUM(F136,H136,J136,L136,N136,R136,T136,V136,X136)</f>
        <v>388</v>
      </c>
      <c r="AB136" s="17">
        <f>D136-Y136</f>
        <v>281</v>
      </c>
      <c r="AC136" s="17">
        <f>P136-Z136</f>
        <v>17</v>
      </c>
      <c r="AD136" s="17">
        <f>(D136+P136)-AA136</f>
        <v>298</v>
      </c>
    </row>
    <row r="137" spans="1:30" x14ac:dyDescent="0.3">
      <c r="A137" s="9" t="s">
        <v>71</v>
      </c>
      <c r="B137" s="33">
        <v>45963</v>
      </c>
      <c r="C137" s="5">
        <v>64590</v>
      </c>
      <c r="D137" s="6">
        <f t="shared" ref="D137:D167" si="85">IF(C138&lt;&gt;"",C138-C137,"")</f>
        <v>7</v>
      </c>
      <c r="E137" s="5"/>
      <c r="F137" s="6" t="str">
        <f t="shared" ref="F137:F167" si="86">IF(E138&lt;&gt;"",E138-E137,"")</f>
        <v/>
      </c>
      <c r="G137" s="5">
        <v>19731</v>
      </c>
      <c r="H137" s="6">
        <f t="shared" ref="H137:H167" si="87">IF(G138&lt;&gt;"",G138-G137,"")</f>
        <v>1</v>
      </c>
      <c r="I137" s="5">
        <v>1772</v>
      </c>
      <c r="J137" s="6">
        <f t="shared" ref="J137:J167" si="88">IF(I138&lt;&gt;"",I138-I137,"")</f>
        <v>1</v>
      </c>
      <c r="K137" s="5">
        <v>12130</v>
      </c>
      <c r="L137" s="6">
        <f t="shared" ref="L137:L167" si="89">IF(K138&lt;&gt;"",K138-K137,"")</f>
        <v>4</v>
      </c>
      <c r="M137" s="5">
        <v>167</v>
      </c>
      <c r="N137" s="6">
        <f t="shared" ref="N137:N167" si="90">IF(M138&lt;&gt;"",M138-M137,"")</f>
        <v>2</v>
      </c>
      <c r="O137" s="13">
        <v>23573</v>
      </c>
      <c r="P137" s="6">
        <f t="shared" ref="P137:P167" si="91">IF(O138&lt;&gt;"",O138-O137,"")</f>
        <v>9</v>
      </c>
      <c r="Q137" s="5">
        <v>4060</v>
      </c>
      <c r="R137" s="6">
        <f t="shared" ref="R137:R167" si="92">IF(Q138&lt;&gt;"",Q138-Q137,"")</f>
        <v>0</v>
      </c>
      <c r="S137" s="5">
        <v>7249</v>
      </c>
      <c r="T137" s="6">
        <f t="shared" ref="T137:T167" si="93">IF(S138&lt;&gt;"",S138-S137,"")</f>
        <v>1</v>
      </c>
      <c r="U137" s="5">
        <v>10178</v>
      </c>
      <c r="V137" s="6">
        <f t="shared" ref="V137:V167" si="94">IF(U138&lt;&gt;"",U138-U137,"")</f>
        <v>1</v>
      </c>
      <c r="W137" s="5">
        <v>1173</v>
      </c>
      <c r="X137" s="6">
        <f t="shared" ref="X137:X167" si="95">IF(W138&lt;&gt;"",W138-W137,"")</f>
        <v>0</v>
      </c>
      <c r="Y137" s="7">
        <f t="shared" ref="Y137:Y167" si="96">SUM(F137,H137,J137,L137,N137)</f>
        <v>8</v>
      </c>
      <c r="Z137" s="7">
        <f>SUM(R137,T137,V137,X137)</f>
        <v>2</v>
      </c>
      <c r="AA137" s="7">
        <f t="shared" ref="AA137:AA167" si="97">SUM(F137,H137,J137,L137,N137,R137,T137,V137,X137)</f>
        <v>10</v>
      </c>
      <c r="AB137" s="17">
        <f t="shared" ref="AB137:AB167" si="98">D137-Y137</f>
        <v>-1</v>
      </c>
      <c r="AC137" s="17">
        <f>P137-Z137</f>
        <v>7</v>
      </c>
      <c r="AD137" s="17">
        <f t="shared" ref="AD137:AD167" si="99">(D137+P137)-AA137</f>
        <v>6</v>
      </c>
    </row>
    <row r="138" spans="1:30" x14ac:dyDescent="0.3">
      <c r="A138" s="9" t="s">
        <v>72</v>
      </c>
      <c r="B138" s="33">
        <v>45964</v>
      </c>
      <c r="C138" s="5">
        <v>64597</v>
      </c>
      <c r="D138" s="6">
        <f t="shared" si="85"/>
        <v>536</v>
      </c>
      <c r="E138" s="5"/>
      <c r="F138" s="6" t="str">
        <f t="shared" si="86"/>
        <v/>
      </c>
      <c r="G138" s="5">
        <v>19732</v>
      </c>
      <c r="H138" s="6">
        <f t="shared" si="87"/>
        <v>60</v>
      </c>
      <c r="I138" s="5">
        <v>1773</v>
      </c>
      <c r="J138" s="6">
        <f t="shared" si="88"/>
        <v>3</v>
      </c>
      <c r="K138" s="5">
        <v>12134</v>
      </c>
      <c r="L138" s="6">
        <f t="shared" si="89"/>
        <v>127</v>
      </c>
      <c r="M138" s="5">
        <v>169</v>
      </c>
      <c r="N138" s="6">
        <f t="shared" si="90"/>
        <v>2</v>
      </c>
      <c r="O138" s="13">
        <v>23582</v>
      </c>
      <c r="P138" s="6">
        <f t="shared" si="91"/>
        <v>206</v>
      </c>
      <c r="Q138" s="5">
        <v>4060</v>
      </c>
      <c r="R138" s="6">
        <f t="shared" si="92"/>
        <v>18</v>
      </c>
      <c r="S138" s="5">
        <v>7250</v>
      </c>
      <c r="T138" s="6">
        <f t="shared" si="93"/>
        <v>41</v>
      </c>
      <c r="U138" s="5">
        <v>10179</v>
      </c>
      <c r="V138" s="6">
        <f t="shared" si="94"/>
        <v>129</v>
      </c>
      <c r="W138" s="5">
        <v>1173</v>
      </c>
      <c r="X138" s="6">
        <f t="shared" si="95"/>
        <v>3</v>
      </c>
      <c r="Y138" s="7">
        <f t="shared" si="96"/>
        <v>192</v>
      </c>
      <c r="Z138" s="7">
        <f t="shared" ref="Z138:Z167" si="100">SUM(R138,T138,V138,X138)</f>
        <v>191</v>
      </c>
      <c r="AA138" s="7">
        <f t="shared" si="97"/>
        <v>383</v>
      </c>
      <c r="AB138" s="17">
        <f t="shared" si="98"/>
        <v>344</v>
      </c>
      <c r="AC138" s="17">
        <f t="shared" ref="AC138:AC158" si="101">P138-Z138</f>
        <v>15</v>
      </c>
      <c r="AD138" s="17">
        <f t="shared" si="99"/>
        <v>359</v>
      </c>
    </row>
    <row r="139" spans="1:30" x14ac:dyDescent="0.3">
      <c r="A139" s="9" t="s">
        <v>66</v>
      </c>
      <c r="B139" s="33">
        <v>45965</v>
      </c>
      <c r="C139" s="5">
        <v>65133</v>
      </c>
      <c r="D139" s="6">
        <f t="shared" si="85"/>
        <v>482</v>
      </c>
      <c r="E139" s="5"/>
      <c r="F139" s="6" t="str">
        <f t="shared" si="86"/>
        <v/>
      </c>
      <c r="G139" s="5">
        <v>19792</v>
      </c>
      <c r="H139" s="6">
        <f t="shared" si="87"/>
        <v>57</v>
      </c>
      <c r="I139" s="5">
        <v>1776</v>
      </c>
      <c r="J139" s="6">
        <f t="shared" si="88"/>
        <v>1</v>
      </c>
      <c r="K139" s="5">
        <v>12261</v>
      </c>
      <c r="L139" s="6">
        <f t="shared" si="89"/>
        <v>132</v>
      </c>
      <c r="M139" s="5">
        <v>171</v>
      </c>
      <c r="N139" s="6">
        <f t="shared" si="90"/>
        <v>3</v>
      </c>
      <c r="O139" s="13">
        <v>23788</v>
      </c>
      <c r="P139" s="6">
        <f t="shared" si="91"/>
        <v>269</v>
      </c>
      <c r="Q139" s="5">
        <v>4078</v>
      </c>
      <c r="R139" s="6">
        <f t="shared" si="92"/>
        <v>105</v>
      </c>
      <c r="S139" s="5">
        <v>7291</v>
      </c>
      <c r="T139" s="6">
        <f t="shared" si="93"/>
        <v>21</v>
      </c>
      <c r="U139" s="5">
        <v>10308</v>
      </c>
      <c r="V139" s="6">
        <f t="shared" si="94"/>
        <v>127</v>
      </c>
      <c r="W139" s="5">
        <v>1176</v>
      </c>
      <c r="X139" s="6">
        <f t="shared" si="95"/>
        <v>2</v>
      </c>
      <c r="Y139" s="7">
        <f t="shared" si="96"/>
        <v>193</v>
      </c>
      <c r="Z139" s="7">
        <f t="shared" si="100"/>
        <v>255</v>
      </c>
      <c r="AA139" s="7">
        <f t="shared" si="97"/>
        <v>448</v>
      </c>
      <c r="AB139" s="17">
        <f t="shared" si="98"/>
        <v>289</v>
      </c>
      <c r="AC139" s="17">
        <f t="shared" si="101"/>
        <v>14</v>
      </c>
      <c r="AD139" s="17">
        <f t="shared" si="99"/>
        <v>303</v>
      </c>
    </row>
    <row r="140" spans="1:30" x14ac:dyDescent="0.3">
      <c r="A140" s="9" t="s">
        <v>67</v>
      </c>
      <c r="B140" s="33">
        <v>45966</v>
      </c>
      <c r="C140" s="5">
        <v>65615</v>
      </c>
      <c r="D140" s="6">
        <f t="shared" si="85"/>
        <v>447</v>
      </c>
      <c r="E140" s="5"/>
      <c r="F140" s="6" t="str">
        <f t="shared" si="86"/>
        <v/>
      </c>
      <c r="G140" s="5">
        <v>19849</v>
      </c>
      <c r="H140" s="6">
        <f t="shared" si="87"/>
        <v>27</v>
      </c>
      <c r="I140" s="5">
        <v>1777</v>
      </c>
      <c r="J140" s="6">
        <f t="shared" si="88"/>
        <v>0</v>
      </c>
      <c r="K140" s="5">
        <v>12393</v>
      </c>
      <c r="L140" s="6">
        <f t="shared" si="89"/>
        <v>132</v>
      </c>
      <c r="M140" s="5">
        <v>174</v>
      </c>
      <c r="N140" s="6">
        <f t="shared" si="90"/>
        <v>2</v>
      </c>
      <c r="O140" s="13">
        <v>24057</v>
      </c>
      <c r="P140" s="6">
        <f t="shared" si="91"/>
        <v>260</v>
      </c>
      <c r="Q140" s="5">
        <v>4183</v>
      </c>
      <c r="R140" s="6">
        <f t="shared" si="92"/>
        <v>114</v>
      </c>
      <c r="S140" s="5">
        <v>7312</v>
      </c>
      <c r="T140" s="6">
        <f t="shared" si="93"/>
        <v>8</v>
      </c>
      <c r="U140" s="5">
        <v>10435</v>
      </c>
      <c r="V140" s="6">
        <f t="shared" si="94"/>
        <v>123</v>
      </c>
      <c r="W140" s="5">
        <v>1178</v>
      </c>
      <c r="X140" s="6">
        <f t="shared" si="95"/>
        <v>2</v>
      </c>
      <c r="Y140" s="7">
        <f t="shared" si="96"/>
        <v>161</v>
      </c>
      <c r="Z140" s="7">
        <f t="shared" si="100"/>
        <v>247</v>
      </c>
      <c r="AA140" s="7">
        <f t="shared" si="97"/>
        <v>408</v>
      </c>
      <c r="AB140" s="17">
        <f t="shared" si="98"/>
        <v>286</v>
      </c>
      <c r="AC140" s="17">
        <f t="shared" si="101"/>
        <v>13</v>
      </c>
      <c r="AD140" s="17">
        <f t="shared" si="99"/>
        <v>299</v>
      </c>
    </row>
    <row r="141" spans="1:30" x14ac:dyDescent="0.3">
      <c r="A141" s="9" t="s">
        <v>68</v>
      </c>
      <c r="B141" s="33">
        <v>45967</v>
      </c>
      <c r="C141" s="5">
        <v>66062</v>
      </c>
      <c r="D141" s="6">
        <f t="shared" si="85"/>
        <v>497</v>
      </c>
      <c r="E141" s="5"/>
      <c r="F141" s="6" t="str">
        <f t="shared" si="86"/>
        <v/>
      </c>
      <c r="G141" s="5">
        <v>19876</v>
      </c>
      <c r="H141" s="6">
        <f t="shared" si="87"/>
        <v>46</v>
      </c>
      <c r="I141" s="5">
        <v>1777</v>
      </c>
      <c r="J141" s="6">
        <f t="shared" si="88"/>
        <v>0</v>
      </c>
      <c r="K141" s="5">
        <v>12525</v>
      </c>
      <c r="L141" s="6">
        <f t="shared" si="89"/>
        <v>145</v>
      </c>
      <c r="M141" s="5">
        <v>176</v>
      </c>
      <c r="N141" s="6">
        <f t="shared" si="90"/>
        <v>3</v>
      </c>
      <c r="O141" s="13">
        <v>24317</v>
      </c>
      <c r="P141" s="6">
        <f t="shared" si="91"/>
        <v>242</v>
      </c>
      <c r="Q141" s="5">
        <v>4297</v>
      </c>
      <c r="R141" s="6">
        <f t="shared" si="92"/>
        <v>81</v>
      </c>
      <c r="S141" s="5">
        <v>7320</v>
      </c>
      <c r="T141" s="6">
        <f t="shared" si="93"/>
        <v>3</v>
      </c>
      <c r="U141" s="5">
        <v>10558</v>
      </c>
      <c r="V141" s="6">
        <f t="shared" si="94"/>
        <v>141</v>
      </c>
      <c r="W141" s="5">
        <v>1180</v>
      </c>
      <c r="X141" s="6">
        <f t="shared" si="95"/>
        <v>4</v>
      </c>
      <c r="Y141" s="7">
        <f t="shared" si="96"/>
        <v>194</v>
      </c>
      <c r="Z141" s="7">
        <f t="shared" si="100"/>
        <v>229</v>
      </c>
      <c r="AA141" s="7">
        <f t="shared" si="97"/>
        <v>423</v>
      </c>
      <c r="AB141" s="17">
        <f t="shared" si="98"/>
        <v>303</v>
      </c>
      <c r="AC141" s="17">
        <f t="shared" si="101"/>
        <v>13</v>
      </c>
      <c r="AD141" s="17">
        <f t="shared" si="99"/>
        <v>316</v>
      </c>
    </row>
    <row r="142" spans="1:30" x14ac:dyDescent="0.3">
      <c r="A142" s="9" t="s">
        <v>69</v>
      </c>
      <c r="B142" s="33">
        <v>45968</v>
      </c>
      <c r="C142" s="5">
        <v>66559</v>
      </c>
      <c r="D142" s="6">
        <f t="shared" si="85"/>
        <v>496</v>
      </c>
      <c r="E142" s="5"/>
      <c r="F142" s="6" t="str">
        <f t="shared" si="86"/>
        <v/>
      </c>
      <c r="G142" s="5">
        <v>19922</v>
      </c>
      <c r="H142" s="6">
        <f t="shared" si="87"/>
        <v>51</v>
      </c>
      <c r="I142" s="5">
        <v>1777</v>
      </c>
      <c r="J142" s="6">
        <f t="shared" si="88"/>
        <v>0</v>
      </c>
      <c r="K142" s="5">
        <v>12670</v>
      </c>
      <c r="L142" s="6">
        <f t="shared" si="89"/>
        <v>157</v>
      </c>
      <c r="M142" s="5">
        <v>179</v>
      </c>
      <c r="N142" s="6">
        <f t="shared" si="90"/>
        <v>4</v>
      </c>
      <c r="O142" s="13">
        <v>24559</v>
      </c>
      <c r="P142" s="6">
        <f t="shared" si="91"/>
        <v>262</v>
      </c>
      <c r="Q142" s="5">
        <v>4378</v>
      </c>
      <c r="R142" s="6">
        <f t="shared" si="92"/>
        <v>91</v>
      </c>
      <c r="S142" s="5">
        <v>7323</v>
      </c>
      <c r="T142" s="6">
        <f t="shared" si="93"/>
        <v>3</v>
      </c>
      <c r="U142" s="5">
        <v>10699</v>
      </c>
      <c r="V142" s="6">
        <f t="shared" si="94"/>
        <v>150</v>
      </c>
      <c r="W142" s="5">
        <v>1184</v>
      </c>
      <c r="X142" s="6">
        <f t="shared" si="95"/>
        <v>3</v>
      </c>
      <c r="Y142" s="7">
        <f t="shared" si="96"/>
        <v>212</v>
      </c>
      <c r="Z142" s="7">
        <f t="shared" si="100"/>
        <v>247</v>
      </c>
      <c r="AA142" s="7">
        <f t="shared" si="97"/>
        <v>459</v>
      </c>
      <c r="AB142" s="17">
        <f t="shared" si="98"/>
        <v>284</v>
      </c>
      <c r="AC142" s="17">
        <f t="shared" si="101"/>
        <v>15</v>
      </c>
      <c r="AD142" s="17">
        <f t="shared" si="99"/>
        <v>299</v>
      </c>
    </row>
    <row r="143" spans="1:30" x14ac:dyDescent="0.3">
      <c r="A143" s="9" t="s">
        <v>70</v>
      </c>
      <c r="B143" s="33">
        <v>45969</v>
      </c>
      <c r="C143" s="5">
        <v>67055</v>
      </c>
      <c r="D143" s="6">
        <f t="shared" si="85"/>
        <v>585</v>
      </c>
      <c r="E143" s="5"/>
      <c r="F143" s="6" t="str">
        <f t="shared" si="86"/>
        <v/>
      </c>
      <c r="G143" s="5">
        <v>19973</v>
      </c>
      <c r="H143" s="6">
        <f t="shared" si="87"/>
        <v>51</v>
      </c>
      <c r="I143" s="5">
        <v>1777</v>
      </c>
      <c r="J143" s="6">
        <f t="shared" si="88"/>
        <v>1</v>
      </c>
      <c r="K143" s="5">
        <v>12827</v>
      </c>
      <c r="L143" s="6">
        <f t="shared" si="89"/>
        <v>133</v>
      </c>
      <c r="M143" s="5">
        <v>183</v>
      </c>
      <c r="N143" s="6">
        <f t="shared" si="90"/>
        <v>3</v>
      </c>
      <c r="O143" s="13">
        <v>24821</v>
      </c>
      <c r="P143" s="6">
        <f t="shared" si="91"/>
        <v>250</v>
      </c>
      <c r="Q143" s="5">
        <v>4469</v>
      </c>
      <c r="R143" s="6">
        <f t="shared" si="92"/>
        <v>83</v>
      </c>
      <c r="S143" s="5">
        <v>7326</v>
      </c>
      <c r="T143" s="6">
        <f t="shared" si="93"/>
        <v>0</v>
      </c>
      <c r="U143" s="5">
        <v>10849</v>
      </c>
      <c r="V143" s="6">
        <f t="shared" si="94"/>
        <v>150</v>
      </c>
      <c r="W143" s="5">
        <v>1187</v>
      </c>
      <c r="X143" s="6">
        <f t="shared" si="95"/>
        <v>4</v>
      </c>
      <c r="Y143" s="7">
        <f t="shared" si="96"/>
        <v>188</v>
      </c>
      <c r="Z143" s="7">
        <f t="shared" si="100"/>
        <v>237</v>
      </c>
      <c r="AA143" s="7">
        <f t="shared" si="97"/>
        <v>425</v>
      </c>
      <c r="AB143" s="17">
        <f t="shared" si="98"/>
        <v>397</v>
      </c>
      <c r="AC143" s="17">
        <f t="shared" si="101"/>
        <v>13</v>
      </c>
      <c r="AD143" s="17">
        <f t="shared" si="99"/>
        <v>410</v>
      </c>
    </row>
    <row r="144" spans="1:30" x14ac:dyDescent="0.3">
      <c r="A144" s="9" t="s">
        <v>71</v>
      </c>
      <c r="B144" s="33">
        <v>45970</v>
      </c>
      <c r="C144" s="5">
        <v>67640</v>
      </c>
      <c r="D144" s="6">
        <f t="shared" si="85"/>
        <v>237</v>
      </c>
      <c r="E144" s="5"/>
      <c r="F144" s="6" t="str">
        <f t="shared" si="86"/>
        <v/>
      </c>
      <c r="G144" s="5">
        <v>20024</v>
      </c>
      <c r="H144" s="6">
        <f t="shared" si="87"/>
        <v>0</v>
      </c>
      <c r="I144" s="5">
        <v>1778</v>
      </c>
      <c r="J144" s="6">
        <f t="shared" si="88"/>
        <v>0</v>
      </c>
      <c r="K144" s="5">
        <v>12960</v>
      </c>
      <c r="L144" s="6">
        <f t="shared" si="89"/>
        <v>84</v>
      </c>
      <c r="M144" s="5">
        <v>186</v>
      </c>
      <c r="N144" s="6">
        <f t="shared" si="90"/>
        <v>1</v>
      </c>
      <c r="O144" s="13">
        <v>25071</v>
      </c>
      <c r="P144" s="6">
        <f t="shared" si="91"/>
        <v>72</v>
      </c>
      <c r="Q144" s="5">
        <v>4552</v>
      </c>
      <c r="R144" s="6">
        <f t="shared" si="92"/>
        <v>0</v>
      </c>
      <c r="S144" s="5">
        <v>7326</v>
      </c>
      <c r="T144" s="6">
        <f t="shared" si="93"/>
        <v>1</v>
      </c>
      <c r="U144" s="5">
        <v>10999</v>
      </c>
      <c r="V144" s="6">
        <f t="shared" si="94"/>
        <v>61</v>
      </c>
      <c r="W144" s="5">
        <v>1191</v>
      </c>
      <c r="X144" s="6">
        <f t="shared" si="95"/>
        <v>2</v>
      </c>
      <c r="Y144" s="7">
        <f t="shared" si="96"/>
        <v>85</v>
      </c>
      <c r="Z144" s="7">
        <f t="shared" si="100"/>
        <v>64</v>
      </c>
      <c r="AA144" s="7">
        <f t="shared" si="97"/>
        <v>149</v>
      </c>
      <c r="AB144" s="17">
        <f t="shared" si="98"/>
        <v>152</v>
      </c>
      <c r="AC144" s="17">
        <f t="shared" si="101"/>
        <v>8</v>
      </c>
      <c r="AD144" s="17">
        <f t="shared" si="99"/>
        <v>160</v>
      </c>
    </row>
    <row r="145" spans="1:30" x14ac:dyDescent="0.3">
      <c r="A145" s="9" t="s">
        <v>72</v>
      </c>
      <c r="B145" s="33">
        <v>45971</v>
      </c>
      <c r="C145" s="5">
        <v>67877</v>
      </c>
      <c r="D145" s="6">
        <f t="shared" si="85"/>
        <v>549</v>
      </c>
      <c r="E145" s="5"/>
      <c r="F145" s="6" t="str">
        <f t="shared" si="86"/>
        <v/>
      </c>
      <c r="G145" s="5">
        <v>20024</v>
      </c>
      <c r="H145" s="6">
        <f t="shared" si="87"/>
        <v>51</v>
      </c>
      <c r="I145" s="5">
        <v>1778</v>
      </c>
      <c r="J145" s="6">
        <f t="shared" si="88"/>
        <v>0</v>
      </c>
      <c r="K145" s="5">
        <v>13044</v>
      </c>
      <c r="L145" s="6">
        <f t="shared" si="89"/>
        <v>171</v>
      </c>
      <c r="M145" s="5">
        <v>187</v>
      </c>
      <c r="N145" s="6">
        <f t="shared" si="90"/>
        <v>4</v>
      </c>
      <c r="O145" s="13">
        <v>25143</v>
      </c>
      <c r="P145" s="6">
        <f t="shared" si="91"/>
        <v>182</v>
      </c>
      <c r="Q145" s="5">
        <v>4552</v>
      </c>
      <c r="R145" s="6">
        <f t="shared" si="92"/>
        <v>32</v>
      </c>
      <c r="S145" s="5">
        <v>7327</v>
      </c>
      <c r="T145" s="6">
        <f t="shared" si="93"/>
        <v>1</v>
      </c>
      <c r="U145" s="5">
        <v>11060</v>
      </c>
      <c r="V145" s="6">
        <f t="shared" si="94"/>
        <v>132</v>
      </c>
      <c r="W145" s="5">
        <v>1193</v>
      </c>
      <c r="X145" s="6">
        <f t="shared" si="95"/>
        <v>5</v>
      </c>
      <c r="Y145" s="7">
        <f t="shared" si="96"/>
        <v>226</v>
      </c>
      <c r="Z145" s="7">
        <f t="shared" si="100"/>
        <v>170</v>
      </c>
      <c r="AA145" s="7">
        <f t="shared" si="97"/>
        <v>396</v>
      </c>
      <c r="AB145" s="17">
        <f t="shared" si="98"/>
        <v>323</v>
      </c>
      <c r="AC145" s="17">
        <f t="shared" si="101"/>
        <v>12</v>
      </c>
      <c r="AD145" s="17">
        <f t="shared" si="99"/>
        <v>335</v>
      </c>
    </row>
    <row r="146" spans="1:30" x14ac:dyDescent="0.3">
      <c r="A146" s="9" t="s">
        <v>66</v>
      </c>
      <c r="B146" s="33">
        <v>45972</v>
      </c>
      <c r="C146" s="5">
        <v>68426</v>
      </c>
      <c r="D146" s="6">
        <f t="shared" si="85"/>
        <v>479</v>
      </c>
      <c r="E146" s="5"/>
      <c r="F146" s="6" t="str">
        <f t="shared" si="86"/>
        <v/>
      </c>
      <c r="G146" s="5">
        <v>20075</v>
      </c>
      <c r="H146" s="6">
        <f t="shared" si="87"/>
        <v>43</v>
      </c>
      <c r="I146" s="5">
        <v>1778</v>
      </c>
      <c r="J146" s="6">
        <f t="shared" si="88"/>
        <v>0</v>
      </c>
      <c r="K146" s="5">
        <v>13215</v>
      </c>
      <c r="L146" s="6">
        <f t="shared" si="89"/>
        <v>175</v>
      </c>
      <c r="M146" s="5">
        <v>191</v>
      </c>
      <c r="N146" s="6">
        <f t="shared" si="90"/>
        <v>3</v>
      </c>
      <c r="O146" s="13">
        <v>25325</v>
      </c>
      <c r="P146" s="6">
        <f t="shared" si="91"/>
        <v>208</v>
      </c>
      <c r="Q146" s="5">
        <v>4584</v>
      </c>
      <c r="R146" s="6">
        <f t="shared" si="92"/>
        <v>52</v>
      </c>
      <c r="S146" s="5">
        <v>7328</v>
      </c>
      <c r="T146" s="6">
        <f t="shared" si="93"/>
        <v>1</v>
      </c>
      <c r="U146" s="5">
        <v>11192</v>
      </c>
      <c r="V146" s="6">
        <f t="shared" si="94"/>
        <v>136</v>
      </c>
      <c r="W146" s="5">
        <v>1198</v>
      </c>
      <c r="X146" s="6">
        <f t="shared" si="95"/>
        <v>5</v>
      </c>
      <c r="Y146" s="7">
        <f t="shared" si="96"/>
        <v>221</v>
      </c>
      <c r="Z146" s="7">
        <f t="shared" si="100"/>
        <v>194</v>
      </c>
      <c r="AA146" s="7">
        <f t="shared" si="97"/>
        <v>415</v>
      </c>
      <c r="AB146" s="17">
        <f t="shared" si="98"/>
        <v>258</v>
      </c>
      <c r="AC146" s="17">
        <f t="shared" si="101"/>
        <v>14</v>
      </c>
      <c r="AD146" s="17">
        <f t="shared" si="99"/>
        <v>272</v>
      </c>
    </row>
    <row r="147" spans="1:30" x14ac:dyDescent="0.3">
      <c r="A147" s="9" t="s">
        <v>67</v>
      </c>
      <c r="B147" s="33">
        <v>45973</v>
      </c>
      <c r="C147" s="5">
        <v>68905</v>
      </c>
      <c r="D147" s="6">
        <f t="shared" si="85"/>
        <v>537</v>
      </c>
      <c r="E147" s="5"/>
      <c r="F147" s="6" t="str">
        <f t="shared" si="86"/>
        <v/>
      </c>
      <c r="G147" s="5">
        <v>20118</v>
      </c>
      <c r="H147" s="6">
        <f t="shared" si="87"/>
        <v>51</v>
      </c>
      <c r="I147" s="5">
        <v>1778</v>
      </c>
      <c r="J147" s="6">
        <f t="shared" si="88"/>
        <v>0</v>
      </c>
      <c r="K147" s="5">
        <v>13390</v>
      </c>
      <c r="L147" s="6">
        <f t="shared" si="89"/>
        <v>170</v>
      </c>
      <c r="M147" s="5">
        <v>194</v>
      </c>
      <c r="N147" s="6">
        <f t="shared" si="90"/>
        <v>4</v>
      </c>
      <c r="O147" s="13">
        <v>25533</v>
      </c>
      <c r="P147" s="6">
        <f t="shared" si="91"/>
        <v>308</v>
      </c>
      <c r="Q147" s="5">
        <v>4636</v>
      </c>
      <c r="R147" s="6">
        <f t="shared" si="92"/>
        <v>128</v>
      </c>
      <c r="S147" s="5">
        <v>7329</v>
      </c>
      <c r="T147" s="6">
        <f t="shared" si="93"/>
        <v>14</v>
      </c>
      <c r="U147" s="5">
        <v>11328</v>
      </c>
      <c r="V147" s="6">
        <f t="shared" si="94"/>
        <v>148</v>
      </c>
      <c r="W147" s="5">
        <v>1203</v>
      </c>
      <c r="X147" s="6">
        <f t="shared" si="95"/>
        <v>3</v>
      </c>
      <c r="Y147" s="7">
        <f t="shared" si="96"/>
        <v>225</v>
      </c>
      <c r="Z147" s="7">
        <f t="shared" si="100"/>
        <v>293</v>
      </c>
      <c r="AA147" s="7">
        <f t="shared" si="97"/>
        <v>518</v>
      </c>
      <c r="AB147" s="17">
        <f t="shared" si="98"/>
        <v>312</v>
      </c>
      <c r="AC147" s="17">
        <f t="shared" si="101"/>
        <v>15</v>
      </c>
      <c r="AD147" s="17">
        <f t="shared" si="99"/>
        <v>327</v>
      </c>
    </row>
    <row r="148" spans="1:30" x14ac:dyDescent="0.3">
      <c r="A148" s="9" t="s">
        <v>68</v>
      </c>
      <c r="B148" s="33">
        <v>45974</v>
      </c>
      <c r="C148" s="5">
        <v>69442</v>
      </c>
      <c r="D148" s="6">
        <f t="shared" si="85"/>
        <v>360</v>
      </c>
      <c r="E148" s="5"/>
      <c r="F148" s="6" t="str">
        <f t="shared" si="86"/>
        <v/>
      </c>
      <c r="G148" s="5">
        <v>20169</v>
      </c>
      <c r="H148" s="6">
        <f t="shared" si="87"/>
        <v>24</v>
      </c>
      <c r="I148" s="5">
        <v>1778</v>
      </c>
      <c r="J148" s="6">
        <f t="shared" si="88"/>
        <v>0</v>
      </c>
      <c r="K148" s="5">
        <v>13560</v>
      </c>
      <c r="L148" s="6">
        <f t="shared" si="89"/>
        <v>150</v>
      </c>
      <c r="M148" s="5">
        <v>198</v>
      </c>
      <c r="N148" s="6">
        <f t="shared" si="90"/>
        <v>3</v>
      </c>
      <c r="O148" s="13">
        <v>25841</v>
      </c>
      <c r="P148" s="6">
        <f t="shared" si="91"/>
        <v>240</v>
      </c>
      <c r="Q148" s="5">
        <v>4764</v>
      </c>
      <c r="R148" s="6">
        <f t="shared" si="92"/>
        <v>92</v>
      </c>
      <c r="S148" s="5">
        <v>7343</v>
      </c>
      <c r="T148" s="6">
        <f t="shared" si="93"/>
        <v>8</v>
      </c>
      <c r="U148" s="5">
        <v>11476</v>
      </c>
      <c r="V148" s="6">
        <f t="shared" si="94"/>
        <v>124</v>
      </c>
      <c r="W148" s="5">
        <v>1206</v>
      </c>
      <c r="X148" s="6">
        <f t="shared" si="95"/>
        <v>2</v>
      </c>
      <c r="Y148" s="7">
        <f t="shared" si="96"/>
        <v>177</v>
      </c>
      <c r="Z148" s="7">
        <f t="shared" si="100"/>
        <v>226</v>
      </c>
      <c r="AA148" s="7">
        <f t="shared" si="97"/>
        <v>403</v>
      </c>
      <c r="AB148" s="17">
        <f t="shared" si="98"/>
        <v>183</v>
      </c>
      <c r="AC148" s="17">
        <f t="shared" si="101"/>
        <v>14</v>
      </c>
      <c r="AD148" s="17">
        <f t="shared" si="99"/>
        <v>197</v>
      </c>
    </row>
    <row r="149" spans="1:30" x14ac:dyDescent="0.3">
      <c r="A149" s="9" t="s">
        <v>69</v>
      </c>
      <c r="B149" s="33">
        <v>45975</v>
      </c>
      <c r="C149" s="5">
        <v>69802</v>
      </c>
      <c r="D149" s="6">
        <f t="shared" si="85"/>
        <v>413</v>
      </c>
      <c r="E149" s="5"/>
      <c r="F149" s="6" t="str">
        <f t="shared" si="86"/>
        <v/>
      </c>
      <c r="G149" s="5">
        <v>20193</v>
      </c>
      <c r="H149" s="6">
        <f t="shared" si="87"/>
        <v>24</v>
      </c>
      <c r="I149" s="5">
        <v>1778</v>
      </c>
      <c r="J149" s="6">
        <f t="shared" si="88"/>
        <v>0</v>
      </c>
      <c r="K149" s="5">
        <v>13710</v>
      </c>
      <c r="L149" s="6">
        <f t="shared" si="89"/>
        <v>127</v>
      </c>
      <c r="M149" s="5">
        <v>201</v>
      </c>
      <c r="N149" s="6">
        <f t="shared" si="90"/>
        <v>2</v>
      </c>
      <c r="O149" s="13">
        <v>26081</v>
      </c>
      <c r="P149" s="6">
        <f t="shared" si="91"/>
        <v>186</v>
      </c>
      <c r="Q149" s="5">
        <v>4856</v>
      </c>
      <c r="R149" s="6">
        <f t="shared" si="92"/>
        <v>53</v>
      </c>
      <c r="S149" s="5">
        <v>7351</v>
      </c>
      <c r="T149" s="6">
        <f t="shared" si="93"/>
        <v>7</v>
      </c>
      <c r="U149" s="5">
        <v>11600</v>
      </c>
      <c r="V149" s="6">
        <f t="shared" si="94"/>
        <v>110</v>
      </c>
      <c r="W149" s="5">
        <v>1208</v>
      </c>
      <c r="X149" s="6"/>
      <c r="Y149" s="7">
        <f t="shared" si="96"/>
        <v>153</v>
      </c>
      <c r="Z149" s="7">
        <f t="shared" si="100"/>
        <v>170</v>
      </c>
      <c r="AA149" s="7">
        <f t="shared" si="97"/>
        <v>323</v>
      </c>
      <c r="AB149" s="17">
        <f t="shared" si="98"/>
        <v>260</v>
      </c>
      <c r="AC149" s="17">
        <f t="shared" si="101"/>
        <v>16</v>
      </c>
      <c r="AD149" s="17">
        <f t="shared" si="99"/>
        <v>276</v>
      </c>
    </row>
    <row r="150" spans="1:30" x14ac:dyDescent="0.3">
      <c r="A150" s="9" t="s">
        <v>70</v>
      </c>
      <c r="B150" s="33">
        <v>45976</v>
      </c>
      <c r="C150" s="5">
        <v>70215</v>
      </c>
      <c r="D150" s="6">
        <f t="shared" si="85"/>
        <v>487</v>
      </c>
      <c r="E150" s="5"/>
      <c r="F150" s="6" t="str">
        <f t="shared" si="86"/>
        <v/>
      </c>
      <c r="G150" s="5">
        <v>20217</v>
      </c>
      <c r="H150" s="6">
        <f t="shared" si="87"/>
        <v>43</v>
      </c>
      <c r="I150" s="5">
        <v>1778</v>
      </c>
      <c r="J150" s="6">
        <f t="shared" si="88"/>
        <v>0</v>
      </c>
      <c r="K150" s="5">
        <v>13837</v>
      </c>
      <c r="L150" s="6">
        <f t="shared" si="89"/>
        <v>149</v>
      </c>
      <c r="M150" s="5">
        <v>203</v>
      </c>
      <c r="N150" s="6">
        <f t="shared" si="90"/>
        <v>3</v>
      </c>
      <c r="O150" s="13">
        <v>26267</v>
      </c>
      <c r="P150" s="6">
        <f t="shared" si="91"/>
        <v>180</v>
      </c>
      <c r="Q150" s="5">
        <v>4909</v>
      </c>
      <c r="R150" s="6">
        <f t="shared" si="92"/>
        <v>22</v>
      </c>
      <c r="S150" s="5">
        <v>7358</v>
      </c>
      <c r="T150" s="6">
        <f t="shared" si="93"/>
        <v>7</v>
      </c>
      <c r="U150" s="5">
        <v>11710</v>
      </c>
      <c r="V150" s="6">
        <f t="shared" si="94"/>
        <v>136</v>
      </c>
      <c r="W150" s="5">
        <v>1212</v>
      </c>
      <c r="X150" s="6">
        <f t="shared" si="95"/>
        <v>2</v>
      </c>
      <c r="Y150" s="7">
        <f t="shared" si="96"/>
        <v>195</v>
      </c>
      <c r="Z150" s="7">
        <f t="shared" si="100"/>
        <v>167</v>
      </c>
      <c r="AA150" s="7">
        <f t="shared" si="97"/>
        <v>362</v>
      </c>
      <c r="AB150" s="17">
        <f t="shared" si="98"/>
        <v>292</v>
      </c>
      <c r="AC150" s="17">
        <f t="shared" si="101"/>
        <v>13</v>
      </c>
      <c r="AD150" s="17">
        <f t="shared" si="99"/>
        <v>305</v>
      </c>
    </row>
    <row r="151" spans="1:30" x14ac:dyDescent="0.3">
      <c r="A151" s="9" t="s">
        <v>71</v>
      </c>
      <c r="B151" s="33">
        <v>45977</v>
      </c>
      <c r="C151" s="5">
        <v>70702</v>
      </c>
      <c r="D151" s="6">
        <f t="shared" si="85"/>
        <v>18</v>
      </c>
      <c r="E151" s="5"/>
      <c r="F151" s="6" t="str">
        <f t="shared" si="86"/>
        <v/>
      </c>
      <c r="G151" s="5">
        <v>20260</v>
      </c>
      <c r="H151" s="6">
        <f t="shared" si="87"/>
        <v>0</v>
      </c>
      <c r="I151" s="5">
        <v>1778</v>
      </c>
      <c r="J151" s="6">
        <f t="shared" si="88"/>
        <v>0</v>
      </c>
      <c r="K151" s="5">
        <v>13986</v>
      </c>
      <c r="L151" s="6">
        <f t="shared" si="89"/>
        <v>14</v>
      </c>
      <c r="M151" s="5">
        <v>206</v>
      </c>
      <c r="N151" s="6">
        <f t="shared" si="90"/>
        <v>0</v>
      </c>
      <c r="O151" s="13">
        <v>26447</v>
      </c>
      <c r="P151" s="6">
        <f t="shared" si="91"/>
        <v>5</v>
      </c>
      <c r="Q151" s="5">
        <v>4931</v>
      </c>
      <c r="R151" s="6">
        <f t="shared" si="92"/>
        <v>0</v>
      </c>
      <c r="S151" s="5">
        <v>7365</v>
      </c>
      <c r="T151" s="6">
        <f t="shared" si="93"/>
        <v>0</v>
      </c>
      <c r="U151" s="5">
        <v>11846</v>
      </c>
      <c r="V151" s="6">
        <f t="shared" si="94"/>
        <v>1</v>
      </c>
      <c r="W151" s="5">
        <v>1214</v>
      </c>
      <c r="X151" s="6">
        <f t="shared" si="95"/>
        <v>0</v>
      </c>
      <c r="Y151" s="7">
        <f t="shared" si="96"/>
        <v>14</v>
      </c>
      <c r="Z151" s="7">
        <f t="shared" si="100"/>
        <v>1</v>
      </c>
      <c r="AA151" s="7">
        <f t="shared" si="97"/>
        <v>15</v>
      </c>
      <c r="AB151" s="17">
        <f t="shared" si="98"/>
        <v>4</v>
      </c>
      <c r="AC151" s="17">
        <f t="shared" si="101"/>
        <v>4</v>
      </c>
      <c r="AD151" s="17">
        <f t="shared" si="99"/>
        <v>8</v>
      </c>
    </row>
    <row r="152" spans="1:30" x14ac:dyDescent="0.3">
      <c r="A152" s="9" t="s">
        <v>72</v>
      </c>
      <c r="B152" s="33">
        <v>45978</v>
      </c>
      <c r="C152" s="5">
        <v>70720</v>
      </c>
      <c r="D152" s="6">
        <f t="shared" si="85"/>
        <v>382</v>
      </c>
      <c r="E152" s="5"/>
      <c r="F152" s="6" t="str">
        <f t="shared" si="86"/>
        <v/>
      </c>
      <c r="G152" s="5">
        <v>20260</v>
      </c>
      <c r="H152" s="6">
        <f t="shared" si="87"/>
        <v>0</v>
      </c>
      <c r="I152" s="5">
        <v>1778</v>
      </c>
      <c r="J152" s="6">
        <f t="shared" si="88"/>
        <v>0</v>
      </c>
      <c r="K152" s="5">
        <v>14000</v>
      </c>
      <c r="L152" s="6">
        <f t="shared" si="89"/>
        <v>142</v>
      </c>
      <c r="M152" s="5">
        <v>206</v>
      </c>
      <c r="N152" s="6">
        <f t="shared" si="90"/>
        <v>3</v>
      </c>
      <c r="O152" s="13">
        <v>26452</v>
      </c>
      <c r="P152" s="6">
        <f t="shared" si="91"/>
        <v>216</v>
      </c>
      <c r="Q152" s="5">
        <v>4931</v>
      </c>
      <c r="R152" s="6">
        <f t="shared" si="92"/>
        <v>87</v>
      </c>
      <c r="S152" s="5">
        <v>7365</v>
      </c>
      <c r="T152" s="6">
        <f t="shared" si="93"/>
        <v>7</v>
      </c>
      <c r="U152" s="5">
        <v>11847</v>
      </c>
      <c r="V152" s="6">
        <f t="shared" si="94"/>
        <v>110</v>
      </c>
      <c r="W152" s="5">
        <v>1214</v>
      </c>
      <c r="X152" s="6">
        <f t="shared" si="95"/>
        <v>3</v>
      </c>
      <c r="Y152" s="7">
        <f t="shared" si="96"/>
        <v>145</v>
      </c>
      <c r="Z152" s="7">
        <f t="shared" si="100"/>
        <v>207</v>
      </c>
      <c r="AA152" s="7">
        <f t="shared" si="97"/>
        <v>352</v>
      </c>
      <c r="AB152" s="17">
        <f t="shared" si="98"/>
        <v>237</v>
      </c>
      <c r="AC152" s="17">
        <f t="shared" si="101"/>
        <v>9</v>
      </c>
      <c r="AD152" s="17">
        <f t="shared" si="99"/>
        <v>246</v>
      </c>
    </row>
    <row r="153" spans="1:30" x14ac:dyDescent="0.3">
      <c r="A153" s="9" t="s">
        <v>66</v>
      </c>
      <c r="B153" s="33">
        <v>45979</v>
      </c>
      <c r="C153" s="5">
        <v>71102</v>
      </c>
      <c r="D153" s="6">
        <f t="shared" si="85"/>
        <v>384</v>
      </c>
      <c r="E153" s="5"/>
      <c r="F153" s="6" t="str">
        <f t="shared" si="86"/>
        <v/>
      </c>
      <c r="G153" s="5">
        <v>20260</v>
      </c>
      <c r="H153" s="6">
        <f t="shared" si="87"/>
        <v>1</v>
      </c>
      <c r="I153" s="5">
        <v>1778</v>
      </c>
      <c r="J153" s="6">
        <f t="shared" si="88"/>
        <v>0</v>
      </c>
      <c r="K153" s="5">
        <v>14142</v>
      </c>
      <c r="L153" s="6">
        <f t="shared" si="89"/>
        <v>147</v>
      </c>
      <c r="M153" s="5">
        <v>209</v>
      </c>
      <c r="N153" s="6">
        <f t="shared" si="90"/>
        <v>3</v>
      </c>
      <c r="O153" s="13">
        <v>26668</v>
      </c>
      <c r="P153" s="6">
        <f t="shared" si="91"/>
        <v>240</v>
      </c>
      <c r="Q153" s="5">
        <v>5018</v>
      </c>
      <c r="R153" s="6">
        <f t="shared" si="92"/>
        <v>100</v>
      </c>
      <c r="S153" s="5">
        <v>7372</v>
      </c>
      <c r="T153" s="6">
        <f t="shared" si="93"/>
        <v>5</v>
      </c>
      <c r="U153" s="5">
        <v>11957</v>
      </c>
      <c r="V153" s="6">
        <f t="shared" si="94"/>
        <v>119</v>
      </c>
      <c r="W153" s="5">
        <v>1217</v>
      </c>
      <c r="X153" s="6">
        <f t="shared" si="95"/>
        <v>4</v>
      </c>
      <c r="Y153" s="7">
        <f t="shared" si="96"/>
        <v>151</v>
      </c>
      <c r="Z153" s="7">
        <f t="shared" si="100"/>
        <v>228</v>
      </c>
      <c r="AA153" s="7">
        <f t="shared" si="97"/>
        <v>379</v>
      </c>
      <c r="AB153" s="17">
        <f t="shared" si="98"/>
        <v>233</v>
      </c>
      <c r="AC153" s="17">
        <f t="shared" si="101"/>
        <v>12</v>
      </c>
      <c r="AD153" s="17">
        <f t="shared" si="99"/>
        <v>245</v>
      </c>
    </row>
    <row r="154" spans="1:30" x14ac:dyDescent="0.3">
      <c r="A154" s="9" t="s">
        <v>67</v>
      </c>
      <c r="B154" s="33">
        <v>45980</v>
      </c>
      <c r="C154" s="5">
        <v>71486</v>
      </c>
      <c r="D154" s="6">
        <f t="shared" si="85"/>
        <v>419</v>
      </c>
      <c r="E154" s="5"/>
      <c r="F154" s="6" t="str">
        <f t="shared" si="86"/>
        <v/>
      </c>
      <c r="G154" s="5">
        <v>20261</v>
      </c>
      <c r="H154" s="6">
        <f t="shared" si="87"/>
        <v>1</v>
      </c>
      <c r="I154" s="5">
        <v>1778</v>
      </c>
      <c r="J154" s="6">
        <f t="shared" si="88"/>
        <v>0</v>
      </c>
      <c r="K154" s="5">
        <v>14289</v>
      </c>
      <c r="L154" s="6">
        <f t="shared" si="89"/>
        <v>142</v>
      </c>
      <c r="M154" s="5">
        <v>212</v>
      </c>
      <c r="N154" s="6">
        <f t="shared" si="90"/>
        <v>3</v>
      </c>
      <c r="O154" s="13">
        <v>26908</v>
      </c>
      <c r="P154" s="6">
        <f t="shared" si="91"/>
        <v>230</v>
      </c>
      <c r="Q154" s="5">
        <v>5118</v>
      </c>
      <c r="R154" s="6">
        <f t="shared" si="92"/>
        <v>102</v>
      </c>
      <c r="S154" s="5">
        <v>7377</v>
      </c>
      <c r="T154" s="6">
        <f t="shared" si="93"/>
        <v>5</v>
      </c>
      <c r="U154" s="5">
        <v>12076</v>
      </c>
      <c r="V154" s="6">
        <f t="shared" si="94"/>
        <v>110</v>
      </c>
      <c r="W154" s="5">
        <v>1221</v>
      </c>
      <c r="X154" s="6">
        <f t="shared" si="95"/>
        <v>2</v>
      </c>
      <c r="Y154" s="7">
        <f t="shared" si="96"/>
        <v>146</v>
      </c>
      <c r="Z154" s="7">
        <f t="shared" si="100"/>
        <v>219</v>
      </c>
      <c r="AA154" s="7">
        <f t="shared" si="97"/>
        <v>365</v>
      </c>
      <c r="AB154" s="17">
        <f t="shared" si="98"/>
        <v>273</v>
      </c>
      <c r="AC154" s="17">
        <f t="shared" si="101"/>
        <v>11</v>
      </c>
      <c r="AD154" s="17">
        <f t="shared" si="99"/>
        <v>284</v>
      </c>
    </row>
    <row r="155" spans="1:30" x14ac:dyDescent="0.3">
      <c r="A155" s="9" t="s">
        <v>68</v>
      </c>
      <c r="B155" s="33">
        <v>45981</v>
      </c>
      <c r="C155" s="5">
        <v>71905</v>
      </c>
      <c r="D155" s="6">
        <f t="shared" si="85"/>
        <v>452</v>
      </c>
      <c r="E155" s="5"/>
      <c r="F155" s="6" t="str">
        <f t="shared" si="86"/>
        <v/>
      </c>
      <c r="G155" s="5">
        <v>20262</v>
      </c>
      <c r="H155" s="6">
        <f t="shared" si="87"/>
        <v>1</v>
      </c>
      <c r="I155" s="5">
        <v>1778</v>
      </c>
      <c r="J155" s="6">
        <f t="shared" si="88"/>
        <v>0</v>
      </c>
      <c r="K155" s="5">
        <v>14431</v>
      </c>
      <c r="L155" s="6">
        <f t="shared" si="89"/>
        <v>141</v>
      </c>
      <c r="M155" s="5">
        <v>215</v>
      </c>
      <c r="N155" s="6">
        <f t="shared" si="90"/>
        <v>2</v>
      </c>
      <c r="O155" s="13">
        <v>27138</v>
      </c>
      <c r="P155" s="6">
        <f t="shared" si="91"/>
        <v>228</v>
      </c>
      <c r="Q155" s="5">
        <v>5220</v>
      </c>
      <c r="R155" s="6">
        <f t="shared" si="92"/>
        <v>96</v>
      </c>
      <c r="S155" s="5">
        <v>7382</v>
      </c>
      <c r="T155" s="6">
        <f t="shared" si="93"/>
        <v>6</v>
      </c>
      <c r="U155" s="5">
        <v>12186</v>
      </c>
      <c r="V155" s="6">
        <f t="shared" si="94"/>
        <v>114</v>
      </c>
      <c r="W155" s="5">
        <v>1223</v>
      </c>
      <c r="X155" s="6">
        <f t="shared" si="95"/>
        <v>3</v>
      </c>
      <c r="Y155" s="7">
        <f t="shared" si="96"/>
        <v>144</v>
      </c>
      <c r="Z155" s="7">
        <f t="shared" si="100"/>
        <v>219</v>
      </c>
      <c r="AA155" s="7">
        <f t="shared" si="97"/>
        <v>363</v>
      </c>
      <c r="AB155" s="17">
        <f t="shared" si="98"/>
        <v>308</v>
      </c>
      <c r="AC155" s="17">
        <f t="shared" si="101"/>
        <v>9</v>
      </c>
      <c r="AD155" s="17">
        <f t="shared" si="99"/>
        <v>317</v>
      </c>
    </row>
    <row r="156" spans="1:30" x14ac:dyDescent="0.3">
      <c r="A156" s="9" t="s">
        <v>69</v>
      </c>
      <c r="B156" s="33">
        <v>45982</v>
      </c>
      <c r="C156" s="5">
        <v>72357</v>
      </c>
      <c r="D156" s="6">
        <f t="shared" si="85"/>
        <v>420</v>
      </c>
      <c r="E156" s="5"/>
      <c r="F156" s="6" t="str">
        <f t="shared" si="86"/>
        <v/>
      </c>
      <c r="G156" s="5">
        <v>20263</v>
      </c>
      <c r="H156" s="6">
        <f t="shared" si="87"/>
        <v>0</v>
      </c>
      <c r="I156" s="5">
        <v>1778</v>
      </c>
      <c r="J156" s="6">
        <f t="shared" si="88"/>
        <v>0</v>
      </c>
      <c r="K156" s="5">
        <v>14572</v>
      </c>
      <c r="L156" s="6">
        <f t="shared" si="89"/>
        <v>128</v>
      </c>
      <c r="M156" s="5">
        <v>217</v>
      </c>
      <c r="N156" s="6">
        <f t="shared" si="90"/>
        <v>3</v>
      </c>
      <c r="O156" s="13">
        <v>27366</v>
      </c>
      <c r="P156" s="6">
        <f t="shared" si="91"/>
        <v>227</v>
      </c>
      <c r="Q156" s="5">
        <v>5316</v>
      </c>
      <c r="R156" s="6">
        <f t="shared" si="92"/>
        <v>111</v>
      </c>
      <c r="S156" s="5">
        <v>7388</v>
      </c>
      <c r="T156" s="6">
        <f t="shared" si="93"/>
        <v>5</v>
      </c>
      <c r="U156" s="5">
        <v>12300</v>
      </c>
      <c r="V156" s="6">
        <f t="shared" si="94"/>
        <v>95</v>
      </c>
      <c r="W156" s="5">
        <v>1226</v>
      </c>
      <c r="X156" s="6">
        <f t="shared" si="95"/>
        <v>3</v>
      </c>
      <c r="Y156" s="7">
        <f t="shared" si="96"/>
        <v>131</v>
      </c>
      <c r="Z156" s="7">
        <f t="shared" si="100"/>
        <v>214</v>
      </c>
      <c r="AA156" s="7">
        <f t="shared" si="97"/>
        <v>345</v>
      </c>
      <c r="AB156" s="17">
        <f t="shared" si="98"/>
        <v>289</v>
      </c>
      <c r="AC156" s="17">
        <f t="shared" si="101"/>
        <v>13</v>
      </c>
      <c r="AD156" s="17">
        <f t="shared" si="99"/>
        <v>302</v>
      </c>
    </row>
    <row r="157" spans="1:30" x14ac:dyDescent="0.3">
      <c r="A157" s="9" t="s">
        <v>70</v>
      </c>
      <c r="B157" s="33">
        <v>45983</v>
      </c>
      <c r="C157" s="5">
        <v>72777</v>
      </c>
      <c r="D157" s="6">
        <f t="shared" si="85"/>
        <v>410</v>
      </c>
      <c r="E157" s="5"/>
      <c r="F157" s="6" t="str">
        <f t="shared" si="86"/>
        <v/>
      </c>
      <c r="G157" s="5">
        <v>20263</v>
      </c>
      <c r="H157" s="6">
        <f t="shared" si="87"/>
        <v>1</v>
      </c>
      <c r="I157" s="5">
        <v>1778</v>
      </c>
      <c r="J157" s="6">
        <f t="shared" si="88"/>
        <v>0</v>
      </c>
      <c r="K157" s="5">
        <v>14700</v>
      </c>
      <c r="L157" s="6">
        <f t="shared" si="89"/>
        <v>138</v>
      </c>
      <c r="M157" s="5">
        <v>220</v>
      </c>
      <c r="N157" s="6">
        <f t="shared" si="90"/>
        <v>2</v>
      </c>
      <c r="O157" s="13">
        <v>27593</v>
      </c>
      <c r="P157" s="6">
        <f t="shared" si="91"/>
        <v>246</v>
      </c>
      <c r="Q157" s="5">
        <v>5427</v>
      </c>
      <c r="R157" s="6">
        <f t="shared" si="92"/>
        <v>121</v>
      </c>
      <c r="S157" s="5">
        <v>7393</v>
      </c>
      <c r="T157" s="6">
        <f t="shared" si="93"/>
        <v>5</v>
      </c>
      <c r="U157" s="5">
        <v>12395</v>
      </c>
      <c r="V157" s="6">
        <f t="shared" si="94"/>
        <v>106</v>
      </c>
      <c r="W157" s="5">
        <v>1229</v>
      </c>
      <c r="X157" s="6">
        <f t="shared" si="95"/>
        <v>3</v>
      </c>
      <c r="Y157" s="7">
        <f t="shared" si="96"/>
        <v>141</v>
      </c>
      <c r="Z157" s="7">
        <f t="shared" si="100"/>
        <v>235</v>
      </c>
      <c r="AA157" s="7">
        <f t="shared" si="97"/>
        <v>376</v>
      </c>
      <c r="AB157" s="17">
        <f t="shared" si="98"/>
        <v>269</v>
      </c>
      <c r="AC157" s="17">
        <f t="shared" si="101"/>
        <v>11</v>
      </c>
      <c r="AD157" s="17">
        <f t="shared" si="99"/>
        <v>280</v>
      </c>
    </row>
    <row r="158" spans="1:30" x14ac:dyDescent="0.3">
      <c r="A158" s="9" t="s">
        <v>71</v>
      </c>
      <c r="B158" s="33">
        <v>45984</v>
      </c>
      <c r="C158" s="5">
        <v>73187</v>
      </c>
      <c r="D158" s="6">
        <f t="shared" si="85"/>
        <v>6</v>
      </c>
      <c r="E158" s="5"/>
      <c r="F158" s="6" t="str">
        <f t="shared" si="86"/>
        <v/>
      </c>
      <c r="G158" s="5">
        <v>20264</v>
      </c>
      <c r="H158" s="6">
        <f t="shared" si="87"/>
        <v>1</v>
      </c>
      <c r="I158" s="5">
        <v>1778</v>
      </c>
      <c r="J158" s="6">
        <f t="shared" si="88"/>
        <v>0</v>
      </c>
      <c r="K158" s="5">
        <v>14838</v>
      </c>
      <c r="L158" s="6">
        <f t="shared" si="89"/>
        <v>5</v>
      </c>
      <c r="M158" s="5">
        <v>222</v>
      </c>
      <c r="N158" s="6">
        <f t="shared" si="90"/>
        <v>0</v>
      </c>
      <c r="O158" s="13">
        <v>27839</v>
      </c>
      <c r="P158" s="6">
        <f t="shared" si="91"/>
        <v>7</v>
      </c>
      <c r="Q158" s="5">
        <v>5548</v>
      </c>
      <c r="R158" s="6">
        <f t="shared" si="92"/>
        <v>0</v>
      </c>
      <c r="S158" s="5">
        <v>7398</v>
      </c>
      <c r="T158" s="6">
        <f t="shared" si="93"/>
        <v>0</v>
      </c>
      <c r="U158" s="5">
        <v>12501</v>
      </c>
      <c r="V158" s="6">
        <f t="shared" si="94"/>
        <v>1</v>
      </c>
      <c r="W158" s="5">
        <v>1232</v>
      </c>
      <c r="X158" s="6">
        <f t="shared" si="95"/>
        <v>1</v>
      </c>
      <c r="Y158" s="7">
        <f t="shared" si="96"/>
        <v>6</v>
      </c>
      <c r="Z158" s="7">
        <f t="shared" si="100"/>
        <v>2</v>
      </c>
      <c r="AA158" s="7">
        <f t="shared" si="97"/>
        <v>8</v>
      </c>
      <c r="AB158" s="17">
        <f t="shared" si="98"/>
        <v>0</v>
      </c>
      <c r="AC158" s="17">
        <f t="shared" si="101"/>
        <v>5</v>
      </c>
      <c r="AD158" s="17">
        <f t="shared" si="99"/>
        <v>5</v>
      </c>
    </row>
    <row r="159" spans="1:30" x14ac:dyDescent="0.3">
      <c r="A159" s="9" t="s">
        <v>72</v>
      </c>
      <c r="B159" s="33">
        <v>45985</v>
      </c>
      <c r="C159" s="5">
        <v>73193</v>
      </c>
      <c r="D159" s="6">
        <f t="shared" si="85"/>
        <v>360</v>
      </c>
      <c r="E159" s="5"/>
      <c r="F159" s="6" t="str">
        <f t="shared" si="86"/>
        <v/>
      </c>
      <c r="G159" s="5">
        <v>20265</v>
      </c>
      <c r="H159" s="6">
        <f t="shared" si="87"/>
        <v>0</v>
      </c>
      <c r="I159" s="5">
        <v>1778</v>
      </c>
      <c r="J159" s="6">
        <f t="shared" si="88"/>
        <v>0</v>
      </c>
      <c r="K159" s="5">
        <v>14843</v>
      </c>
      <c r="L159" s="6">
        <f t="shared" si="89"/>
        <v>138</v>
      </c>
      <c r="M159" s="5">
        <v>222</v>
      </c>
      <c r="N159" s="6">
        <f t="shared" si="90"/>
        <v>3</v>
      </c>
      <c r="O159" s="13">
        <v>27846</v>
      </c>
      <c r="P159" s="6">
        <f t="shared" si="91"/>
        <v>237</v>
      </c>
      <c r="Q159" s="5">
        <v>5548</v>
      </c>
      <c r="R159" s="6">
        <f t="shared" si="92"/>
        <v>105</v>
      </c>
      <c r="S159" s="5">
        <v>7398</v>
      </c>
      <c r="T159" s="6">
        <f t="shared" si="93"/>
        <v>5</v>
      </c>
      <c r="U159" s="5">
        <v>12502</v>
      </c>
      <c r="V159" s="6">
        <f t="shared" si="94"/>
        <v>116</v>
      </c>
      <c r="W159" s="5">
        <v>1233</v>
      </c>
      <c r="X159" s="6">
        <f t="shared" si="95"/>
        <v>2</v>
      </c>
      <c r="Y159" s="7">
        <f t="shared" si="96"/>
        <v>141</v>
      </c>
      <c r="Z159" s="7">
        <f t="shared" si="100"/>
        <v>228</v>
      </c>
      <c r="AA159" s="7">
        <f t="shared" si="97"/>
        <v>369</v>
      </c>
      <c r="AB159" s="17">
        <f t="shared" si="98"/>
        <v>219</v>
      </c>
      <c r="AC159" s="17">
        <f>P159-Z159</f>
        <v>9</v>
      </c>
      <c r="AD159" s="17">
        <f t="shared" si="99"/>
        <v>228</v>
      </c>
    </row>
    <row r="160" spans="1:30" x14ac:dyDescent="0.3">
      <c r="A160" s="9" t="s">
        <v>66</v>
      </c>
      <c r="B160" s="33">
        <v>45986</v>
      </c>
      <c r="C160" s="5">
        <v>73553</v>
      </c>
      <c r="D160" s="6">
        <f t="shared" si="85"/>
        <v>397</v>
      </c>
      <c r="E160" s="5"/>
      <c r="F160" s="6" t="str">
        <f t="shared" si="86"/>
        <v/>
      </c>
      <c r="G160" s="5">
        <v>20265</v>
      </c>
      <c r="H160" s="6">
        <f t="shared" si="87"/>
        <v>1</v>
      </c>
      <c r="I160" s="5">
        <v>1778</v>
      </c>
      <c r="J160" s="6">
        <f t="shared" si="88"/>
        <v>0</v>
      </c>
      <c r="K160" s="5">
        <v>14981</v>
      </c>
      <c r="L160" s="6">
        <f t="shared" si="89"/>
        <v>143</v>
      </c>
      <c r="M160" s="5">
        <v>225</v>
      </c>
      <c r="N160" s="6">
        <f t="shared" si="90"/>
        <v>2</v>
      </c>
      <c r="O160" s="13">
        <v>28083</v>
      </c>
      <c r="P160" s="6">
        <f t="shared" si="91"/>
        <v>227</v>
      </c>
      <c r="Q160" s="5">
        <v>5653</v>
      </c>
      <c r="R160" s="6">
        <f t="shared" si="92"/>
        <v>92</v>
      </c>
      <c r="S160" s="5">
        <v>7403</v>
      </c>
      <c r="T160" s="6">
        <f t="shared" si="93"/>
        <v>5</v>
      </c>
      <c r="U160" s="5">
        <v>12618</v>
      </c>
      <c r="V160" s="6">
        <f t="shared" si="94"/>
        <v>116</v>
      </c>
      <c r="W160" s="5">
        <v>1235</v>
      </c>
      <c r="X160" s="6">
        <f t="shared" si="95"/>
        <v>3</v>
      </c>
      <c r="Y160" s="7">
        <f t="shared" si="96"/>
        <v>146</v>
      </c>
      <c r="Z160" s="7">
        <f t="shared" si="100"/>
        <v>216</v>
      </c>
      <c r="AA160" s="7">
        <f t="shared" si="97"/>
        <v>362</v>
      </c>
      <c r="AB160" s="17">
        <f t="shared" si="98"/>
        <v>251</v>
      </c>
      <c r="AC160" s="17">
        <f t="shared" ref="AC160:AC167" si="102">P160-Z160</f>
        <v>11</v>
      </c>
      <c r="AD160" s="17">
        <f t="shared" si="99"/>
        <v>262</v>
      </c>
    </row>
    <row r="161" spans="1:30" x14ac:dyDescent="0.3">
      <c r="A161" s="9" t="s">
        <v>67</v>
      </c>
      <c r="B161" s="33">
        <v>45987</v>
      </c>
      <c r="C161" s="5">
        <v>73950</v>
      </c>
      <c r="D161" s="6">
        <f t="shared" si="85"/>
        <v>419</v>
      </c>
      <c r="E161" s="5"/>
      <c r="F161" s="6" t="str">
        <f t="shared" si="86"/>
        <v/>
      </c>
      <c r="G161" s="5">
        <v>20266</v>
      </c>
      <c r="H161" s="6">
        <f t="shared" si="87"/>
        <v>4</v>
      </c>
      <c r="I161" s="5">
        <v>1778</v>
      </c>
      <c r="J161" s="6">
        <f t="shared" si="88"/>
        <v>0</v>
      </c>
      <c r="K161" s="5">
        <v>15124</v>
      </c>
      <c r="L161" s="6">
        <f t="shared" si="89"/>
        <v>142</v>
      </c>
      <c r="M161" s="5">
        <v>227</v>
      </c>
      <c r="N161" s="6">
        <f t="shared" si="90"/>
        <v>3</v>
      </c>
      <c r="O161" s="13">
        <v>28310</v>
      </c>
      <c r="P161" s="6">
        <f t="shared" si="91"/>
        <v>216</v>
      </c>
      <c r="Q161" s="5">
        <v>5745</v>
      </c>
      <c r="R161" s="6">
        <f t="shared" si="92"/>
        <v>80</v>
      </c>
      <c r="S161" s="5">
        <v>7408</v>
      </c>
      <c r="T161" s="6">
        <f t="shared" si="93"/>
        <v>4</v>
      </c>
      <c r="U161" s="5">
        <v>12734</v>
      </c>
      <c r="V161" s="6">
        <f t="shared" si="94"/>
        <v>116</v>
      </c>
      <c r="W161" s="5">
        <v>1238</v>
      </c>
      <c r="X161" s="6">
        <f t="shared" si="95"/>
        <v>4</v>
      </c>
      <c r="Y161" s="7">
        <f t="shared" si="96"/>
        <v>149</v>
      </c>
      <c r="Z161" s="7">
        <f t="shared" si="100"/>
        <v>204</v>
      </c>
      <c r="AA161" s="7">
        <f t="shared" si="97"/>
        <v>353</v>
      </c>
      <c r="AB161" s="17">
        <f t="shared" si="98"/>
        <v>270</v>
      </c>
      <c r="AC161" s="17">
        <f t="shared" si="102"/>
        <v>12</v>
      </c>
      <c r="AD161" s="17">
        <f t="shared" si="99"/>
        <v>282</v>
      </c>
    </row>
    <row r="162" spans="1:30" x14ac:dyDescent="0.3">
      <c r="A162" s="9" t="s">
        <v>68</v>
      </c>
      <c r="B162" s="33">
        <v>45988</v>
      </c>
      <c r="C162" s="5">
        <v>74369</v>
      </c>
      <c r="D162" s="6">
        <f t="shared" si="85"/>
        <v>367</v>
      </c>
      <c r="E162" s="5"/>
      <c r="F162" s="6" t="str">
        <f t="shared" si="86"/>
        <v/>
      </c>
      <c r="G162" s="5">
        <v>20270</v>
      </c>
      <c r="H162" s="6">
        <f t="shared" si="87"/>
        <v>1</v>
      </c>
      <c r="I162" s="5">
        <v>1778</v>
      </c>
      <c r="J162" s="6">
        <f t="shared" si="88"/>
        <v>1</v>
      </c>
      <c r="K162" s="5">
        <v>15266</v>
      </c>
      <c r="L162" s="6">
        <f t="shared" si="89"/>
        <v>138</v>
      </c>
      <c r="M162" s="5">
        <v>230</v>
      </c>
      <c r="N162" s="6">
        <f t="shared" si="90"/>
        <v>3</v>
      </c>
      <c r="O162" s="13">
        <v>28526</v>
      </c>
      <c r="P162" s="6">
        <f t="shared" si="91"/>
        <v>222</v>
      </c>
      <c r="Q162" s="5">
        <v>5825</v>
      </c>
      <c r="R162" s="6">
        <f t="shared" si="92"/>
        <v>88</v>
      </c>
      <c r="S162" s="5">
        <v>7412</v>
      </c>
      <c r="T162" s="6">
        <f t="shared" si="93"/>
        <v>2</v>
      </c>
      <c r="U162" s="5">
        <v>12850</v>
      </c>
      <c r="V162" s="6">
        <f t="shared" si="94"/>
        <v>116</v>
      </c>
      <c r="W162" s="5">
        <v>1242</v>
      </c>
      <c r="X162" s="6">
        <f t="shared" si="95"/>
        <v>2</v>
      </c>
      <c r="Y162" s="7">
        <f t="shared" si="96"/>
        <v>143</v>
      </c>
      <c r="Z162" s="7">
        <f t="shared" si="100"/>
        <v>208</v>
      </c>
      <c r="AA162" s="7">
        <f t="shared" si="97"/>
        <v>351</v>
      </c>
      <c r="AB162" s="17">
        <f t="shared" si="98"/>
        <v>224</v>
      </c>
      <c r="AC162" s="17">
        <f t="shared" si="102"/>
        <v>14</v>
      </c>
      <c r="AD162" s="17">
        <f t="shared" si="99"/>
        <v>238</v>
      </c>
    </row>
    <row r="163" spans="1:30" x14ac:dyDescent="0.3">
      <c r="A163" s="9" t="s">
        <v>69</v>
      </c>
      <c r="B163" s="33">
        <v>45989</v>
      </c>
      <c r="C163" s="5">
        <v>74736</v>
      </c>
      <c r="D163" s="6">
        <f t="shared" si="85"/>
        <v>413</v>
      </c>
      <c r="E163" s="5"/>
      <c r="F163" s="6" t="str">
        <f t="shared" si="86"/>
        <v/>
      </c>
      <c r="G163" s="5">
        <v>20271</v>
      </c>
      <c r="H163" s="6">
        <f t="shared" si="87"/>
        <v>1</v>
      </c>
      <c r="I163" s="5">
        <v>1779</v>
      </c>
      <c r="J163" s="6">
        <f t="shared" si="88"/>
        <v>8</v>
      </c>
      <c r="K163" s="5">
        <v>15404</v>
      </c>
      <c r="L163" s="6">
        <f t="shared" si="89"/>
        <v>142</v>
      </c>
      <c r="M163" s="5">
        <v>233</v>
      </c>
      <c r="N163" s="6">
        <f t="shared" si="90"/>
        <v>3</v>
      </c>
      <c r="O163" s="13">
        <v>28748</v>
      </c>
      <c r="P163" s="6">
        <f t="shared" si="91"/>
        <v>183</v>
      </c>
      <c r="Q163" s="5">
        <v>5913</v>
      </c>
      <c r="R163" s="6">
        <f t="shared" si="92"/>
        <v>51</v>
      </c>
      <c r="S163" s="5">
        <v>7414</v>
      </c>
      <c r="T163" s="6">
        <f t="shared" si="93"/>
        <v>4</v>
      </c>
      <c r="U163" s="5">
        <v>12966</v>
      </c>
      <c r="V163" s="6">
        <f t="shared" si="94"/>
        <v>113</v>
      </c>
      <c r="W163" s="5">
        <v>1244</v>
      </c>
      <c r="X163" s="6">
        <f t="shared" si="95"/>
        <v>3</v>
      </c>
      <c r="Y163" s="7">
        <f t="shared" si="96"/>
        <v>154</v>
      </c>
      <c r="Z163" s="7">
        <f t="shared" si="100"/>
        <v>171</v>
      </c>
      <c r="AA163" s="7">
        <f t="shared" si="97"/>
        <v>325</v>
      </c>
      <c r="AB163" s="17">
        <f t="shared" si="98"/>
        <v>259</v>
      </c>
      <c r="AC163" s="17">
        <f t="shared" si="102"/>
        <v>12</v>
      </c>
      <c r="AD163" s="17">
        <f t="shared" si="99"/>
        <v>271</v>
      </c>
    </row>
    <row r="164" spans="1:30" x14ac:dyDescent="0.3">
      <c r="A164" s="9" t="s">
        <v>70</v>
      </c>
      <c r="B164" s="33">
        <v>45990</v>
      </c>
      <c r="C164" s="5">
        <v>75149</v>
      </c>
      <c r="D164" s="6">
        <f t="shared" si="85"/>
        <v>466</v>
      </c>
      <c r="E164" s="5"/>
      <c r="F164" s="6" t="str">
        <f t="shared" si="86"/>
        <v/>
      </c>
      <c r="G164" s="5">
        <v>20272</v>
      </c>
      <c r="H164" s="6">
        <f t="shared" si="87"/>
        <v>1</v>
      </c>
      <c r="I164" s="5">
        <v>1787</v>
      </c>
      <c r="J164" s="6">
        <f t="shared" si="88"/>
        <v>4</v>
      </c>
      <c r="K164" s="5">
        <v>15546</v>
      </c>
      <c r="L164" s="6">
        <f t="shared" si="89"/>
        <v>151</v>
      </c>
      <c r="M164" s="5">
        <v>236</v>
      </c>
      <c r="N164" s="6">
        <f t="shared" si="90"/>
        <v>3</v>
      </c>
      <c r="O164" s="13">
        <v>28931</v>
      </c>
      <c r="P164" s="6">
        <f t="shared" si="91"/>
        <v>185</v>
      </c>
      <c r="Q164" s="5">
        <v>5964</v>
      </c>
      <c r="R164" s="6">
        <f t="shared" si="92"/>
        <v>45</v>
      </c>
      <c r="S164" s="5">
        <v>7418</v>
      </c>
      <c r="T164" s="6">
        <f t="shared" si="93"/>
        <v>4</v>
      </c>
      <c r="U164" s="5">
        <v>13079</v>
      </c>
      <c r="V164" s="6">
        <f t="shared" si="94"/>
        <v>123</v>
      </c>
      <c r="W164" s="5">
        <v>1247</v>
      </c>
      <c r="X164" s="6">
        <f t="shared" si="95"/>
        <v>2</v>
      </c>
      <c r="Y164" s="7">
        <f t="shared" si="96"/>
        <v>159</v>
      </c>
      <c r="Z164" s="7">
        <f t="shared" si="100"/>
        <v>174</v>
      </c>
      <c r="AA164" s="7">
        <f t="shared" si="97"/>
        <v>333</v>
      </c>
      <c r="AB164" s="17">
        <f t="shared" si="98"/>
        <v>307</v>
      </c>
      <c r="AC164" s="17">
        <f t="shared" si="102"/>
        <v>11</v>
      </c>
      <c r="AD164" s="17">
        <f t="shared" si="99"/>
        <v>318</v>
      </c>
    </row>
    <row r="165" spans="1:30" x14ac:dyDescent="0.3">
      <c r="A165" s="9" t="s">
        <v>71</v>
      </c>
      <c r="B165" s="33">
        <v>45991</v>
      </c>
      <c r="C165" s="5">
        <v>75615</v>
      </c>
      <c r="D165" s="6">
        <f t="shared" si="85"/>
        <v>5</v>
      </c>
      <c r="E165" s="5"/>
      <c r="F165" s="6" t="str">
        <f t="shared" si="86"/>
        <v/>
      </c>
      <c r="G165" s="5">
        <v>20273</v>
      </c>
      <c r="H165" s="6">
        <f t="shared" si="87"/>
        <v>1</v>
      </c>
      <c r="I165" s="5">
        <v>1791</v>
      </c>
      <c r="J165" s="6">
        <f t="shared" si="88"/>
        <v>0</v>
      </c>
      <c r="K165" s="5">
        <v>15697</v>
      </c>
      <c r="L165" s="6">
        <f t="shared" si="89"/>
        <v>4</v>
      </c>
      <c r="M165" s="5">
        <v>239</v>
      </c>
      <c r="N165" s="6">
        <f t="shared" si="90"/>
        <v>0</v>
      </c>
      <c r="O165" s="13">
        <v>29116</v>
      </c>
      <c r="P165" s="6">
        <f t="shared" si="91"/>
        <v>13</v>
      </c>
      <c r="Q165" s="5">
        <v>6009</v>
      </c>
      <c r="R165" s="6">
        <f t="shared" si="92"/>
        <v>4</v>
      </c>
      <c r="S165" s="5">
        <v>7422</v>
      </c>
      <c r="T165" s="6">
        <f t="shared" si="93"/>
        <v>0</v>
      </c>
      <c r="U165" s="5">
        <v>13202</v>
      </c>
      <c r="V165" s="6">
        <f t="shared" si="94"/>
        <v>1</v>
      </c>
      <c r="W165" s="5">
        <v>1249</v>
      </c>
      <c r="X165" s="6">
        <f t="shared" si="95"/>
        <v>0</v>
      </c>
      <c r="Y165" s="7">
        <f t="shared" si="96"/>
        <v>5</v>
      </c>
      <c r="Z165" s="7">
        <f t="shared" si="100"/>
        <v>5</v>
      </c>
      <c r="AA165" s="7">
        <f t="shared" si="97"/>
        <v>10</v>
      </c>
      <c r="AB165" s="17">
        <f t="shared" si="98"/>
        <v>0</v>
      </c>
      <c r="AC165" s="17">
        <f t="shared" si="102"/>
        <v>8</v>
      </c>
      <c r="AD165" s="17">
        <f t="shared" si="99"/>
        <v>8</v>
      </c>
    </row>
    <row r="166" spans="1:30" x14ac:dyDescent="0.3">
      <c r="A166" s="9" t="s">
        <v>72</v>
      </c>
      <c r="B166" s="33">
        <v>45992</v>
      </c>
      <c r="C166" s="5">
        <v>75620</v>
      </c>
      <c r="D166" s="6" t="str">
        <f t="shared" si="85"/>
        <v/>
      </c>
      <c r="E166" s="5"/>
      <c r="F166" s="6" t="str">
        <f t="shared" si="86"/>
        <v/>
      </c>
      <c r="G166" s="5">
        <v>20274</v>
      </c>
      <c r="H166" s="6" t="str">
        <f t="shared" si="87"/>
        <v/>
      </c>
      <c r="I166" s="5">
        <v>1791</v>
      </c>
      <c r="J166" s="6" t="str">
        <f t="shared" si="88"/>
        <v/>
      </c>
      <c r="K166" s="5">
        <v>15701</v>
      </c>
      <c r="L166" s="6" t="str">
        <f t="shared" si="89"/>
        <v/>
      </c>
      <c r="M166" s="5">
        <v>239</v>
      </c>
      <c r="N166" s="6" t="str">
        <f t="shared" si="90"/>
        <v/>
      </c>
      <c r="O166" s="13">
        <v>29129</v>
      </c>
      <c r="P166" s="6" t="str">
        <f t="shared" si="91"/>
        <v/>
      </c>
      <c r="Q166" s="5">
        <v>6013</v>
      </c>
      <c r="R166" s="6" t="str">
        <f t="shared" si="92"/>
        <v/>
      </c>
      <c r="S166" s="5">
        <v>7422</v>
      </c>
      <c r="T166" s="6" t="str">
        <f t="shared" si="93"/>
        <v/>
      </c>
      <c r="U166" s="5">
        <v>13203</v>
      </c>
      <c r="V166" s="6" t="str">
        <f t="shared" si="94"/>
        <v/>
      </c>
      <c r="W166" s="5">
        <v>1249</v>
      </c>
      <c r="X166" s="6" t="str">
        <f t="shared" si="95"/>
        <v/>
      </c>
      <c r="Y166" s="7">
        <f t="shared" si="96"/>
        <v>0</v>
      </c>
      <c r="Z166" s="7">
        <f t="shared" si="100"/>
        <v>0</v>
      </c>
      <c r="AA166" s="7">
        <f t="shared" si="97"/>
        <v>0</v>
      </c>
      <c r="AB166" s="17" t="e">
        <f t="shared" si="98"/>
        <v>#VALUE!</v>
      </c>
      <c r="AC166" s="17" t="e">
        <f t="shared" si="102"/>
        <v>#VALUE!</v>
      </c>
      <c r="AD166" s="17" t="e">
        <f t="shared" si="99"/>
        <v>#VALUE!</v>
      </c>
    </row>
    <row r="167" spans="1:30" x14ac:dyDescent="0.3">
      <c r="A167" s="9" t="s">
        <v>66</v>
      </c>
      <c r="B167" s="33">
        <v>45993</v>
      </c>
      <c r="C167" s="5"/>
      <c r="D167" s="6" t="str">
        <f t="shared" si="85"/>
        <v/>
      </c>
      <c r="E167" s="5"/>
      <c r="F167" s="6" t="str">
        <f t="shared" si="86"/>
        <v/>
      </c>
      <c r="G167" s="5"/>
      <c r="H167" s="6" t="str">
        <f t="shared" si="87"/>
        <v/>
      </c>
      <c r="I167" s="5"/>
      <c r="J167" s="6" t="str">
        <f t="shared" si="88"/>
        <v/>
      </c>
      <c r="K167" s="5"/>
      <c r="L167" s="6" t="str">
        <f t="shared" si="89"/>
        <v/>
      </c>
      <c r="M167" s="5"/>
      <c r="N167" s="6" t="str">
        <f t="shared" si="90"/>
        <v/>
      </c>
      <c r="O167" s="13"/>
      <c r="P167" s="6" t="str">
        <f t="shared" si="91"/>
        <v/>
      </c>
      <c r="Q167" s="5"/>
      <c r="R167" s="6" t="str">
        <f t="shared" si="92"/>
        <v/>
      </c>
      <c r="S167" s="5"/>
      <c r="T167" s="6" t="str">
        <f t="shared" si="93"/>
        <v/>
      </c>
      <c r="U167" s="5"/>
      <c r="V167" s="6" t="str">
        <f t="shared" si="94"/>
        <v/>
      </c>
      <c r="W167" s="5"/>
      <c r="X167" s="6" t="str">
        <f t="shared" si="95"/>
        <v/>
      </c>
      <c r="Y167" s="7">
        <f t="shared" si="96"/>
        <v>0</v>
      </c>
      <c r="Z167" s="7">
        <f t="shared" si="100"/>
        <v>0</v>
      </c>
      <c r="AA167" s="7">
        <f t="shared" si="97"/>
        <v>0</v>
      </c>
      <c r="AB167" s="17" t="e">
        <f t="shared" si="98"/>
        <v>#VALUE!</v>
      </c>
      <c r="AC167" s="17" t="e">
        <f t="shared" si="102"/>
        <v>#VALUE!</v>
      </c>
      <c r="AD167" s="17" t="e">
        <f t="shared" si="99"/>
        <v>#VALUE!</v>
      </c>
    </row>
    <row r="168" spans="1:30" ht="23.4" x14ac:dyDescent="0.3">
      <c r="A168" s="152" t="s">
        <v>73</v>
      </c>
      <c r="B168" s="153"/>
      <c r="C168" s="8"/>
      <c r="D168" s="11">
        <f>SUM(D136:D167)</f>
        <v>11518</v>
      </c>
      <c r="E168" s="8"/>
      <c r="F168" s="11">
        <f>SUM(F137:F167)</f>
        <v>0</v>
      </c>
      <c r="G168" s="8"/>
      <c r="H168" s="11">
        <f>SUM(H136:H167)</f>
        <v>605</v>
      </c>
      <c r="I168" s="8"/>
      <c r="J168" s="11">
        <f>SUM(J136:J167)</f>
        <v>23</v>
      </c>
      <c r="K168" s="8"/>
      <c r="L168" s="11">
        <f>SUM(L136:L167)</f>
        <v>3710</v>
      </c>
      <c r="M168" s="8"/>
      <c r="N168" s="11">
        <f>SUM(N136:N167)</f>
        <v>74</v>
      </c>
      <c r="O168" s="15"/>
      <c r="P168" s="11">
        <f>SUM(P136:P167)</f>
        <v>5754</v>
      </c>
      <c r="Q168" s="8"/>
      <c r="R168" s="11">
        <f>SUM(R136:R167)</f>
        <v>1959</v>
      </c>
      <c r="S168" s="8"/>
      <c r="T168" s="11">
        <f>SUM(T136:T167)</f>
        <v>206</v>
      </c>
      <c r="U168" s="8"/>
      <c r="V168" s="11">
        <f>SUM(V136:V167)</f>
        <v>3164</v>
      </c>
      <c r="W168" s="8"/>
      <c r="X168" s="11">
        <f>SUM(X136:X167)</f>
        <v>75</v>
      </c>
      <c r="Y168" s="7">
        <f>SUM(F168,H168,J168,L168,N168)</f>
        <v>4412</v>
      </c>
      <c r="Z168" s="7">
        <f>SUM(R168,T168,V168,X168)</f>
        <v>5404</v>
      </c>
      <c r="AA168" s="7">
        <f>SUM(F168,H168,J168,L168,N168,R168,T168,V168,X168)</f>
        <v>9816</v>
      </c>
      <c r="AB168" s="17">
        <f>D168-Y168</f>
        <v>7106</v>
      </c>
      <c r="AC168" s="17">
        <f>P168-Z168</f>
        <v>350</v>
      </c>
      <c r="AD168" s="17">
        <f>(D168+P168)-AA168</f>
        <v>7456</v>
      </c>
    </row>
  </sheetData>
  <mergeCells count="40">
    <mergeCell ref="A168:B168"/>
    <mergeCell ref="A37:B37"/>
    <mergeCell ref="M4:N4"/>
    <mergeCell ref="O4:P4"/>
    <mergeCell ref="C3:D3"/>
    <mergeCell ref="G3:H3"/>
    <mergeCell ref="I3:J3"/>
    <mergeCell ref="K3:L3"/>
    <mergeCell ref="A135:B135"/>
    <mergeCell ref="A102:B102"/>
    <mergeCell ref="A70:B70"/>
    <mergeCell ref="A1:AD1"/>
    <mergeCell ref="Y2:Y5"/>
    <mergeCell ref="Z2:Z5"/>
    <mergeCell ref="O2:P2"/>
    <mergeCell ref="Q2:X2"/>
    <mergeCell ref="AB2:AB5"/>
    <mergeCell ref="AC2:AC5"/>
    <mergeCell ref="U3:V3"/>
    <mergeCell ref="W3:X3"/>
    <mergeCell ref="U4:V4"/>
    <mergeCell ref="W4:X4"/>
    <mergeCell ref="Q4:R4"/>
    <mergeCell ref="S4:T4"/>
    <mergeCell ref="S3:T3"/>
    <mergeCell ref="M3:N3"/>
    <mergeCell ref="E3:F3"/>
    <mergeCell ref="AD2:AD5"/>
    <mergeCell ref="A2:A5"/>
    <mergeCell ref="B2:B5"/>
    <mergeCell ref="C2:D2"/>
    <mergeCell ref="AA2:AA5"/>
    <mergeCell ref="C4:D4"/>
    <mergeCell ref="E2:N2"/>
    <mergeCell ref="O3:P3"/>
    <mergeCell ref="Q3:R3"/>
    <mergeCell ref="E4:F4"/>
    <mergeCell ref="G4:H4"/>
    <mergeCell ref="I4:J4"/>
    <mergeCell ref="K4:L4"/>
  </mergeCells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68"/>
  <sheetViews>
    <sheetView showGridLines="0" topLeftCell="C1" zoomScale="77" zoomScaleNormal="77" workbookViewId="0">
      <pane ySplit="5" topLeftCell="A133" activePane="bottomLeft" state="frozen"/>
      <selection activeCell="J4" sqref="J4:K4"/>
      <selection pane="bottomLeft" activeCell="AD168" sqref="AD168"/>
    </sheetView>
  </sheetViews>
  <sheetFormatPr defaultRowHeight="14.4" x14ac:dyDescent="0.3"/>
  <cols>
    <col min="1" max="1" width="6.44140625" bestFit="1" customWidth="1"/>
    <col min="2" max="2" width="12.44140625" customWidth="1"/>
    <col min="3" max="3" width="12.44140625" style="3" bestFit="1" customWidth="1"/>
    <col min="4" max="4" width="10.109375" style="3" bestFit="1" customWidth="1"/>
    <col min="5" max="5" width="7.88671875" style="2" bestFit="1" customWidth="1"/>
    <col min="6" max="6" width="10.33203125" style="2" bestFit="1" customWidth="1"/>
    <col min="7" max="7" width="7.88671875" style="2" bestFit="1" customWidth="1"/>
    <col min="8" max="8" width="10.33203125" style="2" bestFit="1" customWidth="1"/>
    <col min="9" max="9" width="7.88671875" style="2" bestFit="1" customWidth="1"/>
    <col min="10" max="10" width="10.33203125" style="2" bestFit="1" customWidth="1"/>
    <col min="11" max="11" width="7.88671875" style="2" bestFit="1" customWidth="1"/>
    <col min="12" max="12" width="10.33203125" style="2" bestFit="1" customWidth="1"/>
    <col min="13" max="13" width="7.88671875" style="2" bestFit="1" customWidth="1"/>
    <col min="14" max="14" width="10.33203125" style="2" bestFit="1" customWidth="1"/>
    <col min="15" max="15" width="12.44140625" style="2" bestFit="1" customWidth="1"/>
    <col min="16" max="16" width="10.33203125" style="2" bestFit="1" customWidth="1"/>
    <col min="17" max="17" width="7.88671875" style="2" bestFit="1" customWidth="1"/>
    <col min="18" max="18" width="10.33203125" style="2" bestFit="1" customWidth="1"/>
    <col min="19" max="19" width="7.88671875" style="2" bestFit="1" customWidth="1"/>
    <col min="20" max="20" width="10.33203125" bestFit="1" customWidth="1"/>
    <col min="21" max="21" width="10.109375" style="2" bestFit="1" customWidth="1"/>
    <col min="22" max="22" width="10.33203125" style="2" bestFit="1" customWidth="1"/>
    <col min="23" max="23" width="7.88671875" style="2" bestFit="1" customWidth="1"/>
    <col min="24" max="24" width="13.44140625" bestFit="1" customWidth="1"/>
    <col min="25" max="25" width="8.33203125" bestFit="1" customWidth="1"/>
    <col min="26" max="26" width="8.33203125" customWidth="1"/>
    <col min="27" max="30" width="8.33203125" bestFit="1" customWidth="1"/>
  </cols>
  <sheetData>
    <row r="1" spans="1:30" ht="21" x14ac:dyDescent="0.3">
      <c r="A1" s="172" t="s">
        <v>50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4"/>
      <c r="AB1" s="4"/>
      <c r="AC1" s="4"/>
      <c r="AD1" s="4"/>
    </row>
    <row r="2" spans="1:30" s="1" customFormat="1" ht="15.6" customHeight="1" x14ac:dyDescent="0.3">
      <c r="A2" s="154" t="s">
        <v>74</v>
      </c>
      <c r="B2" s="160" t="s">
        <v>0</v>
      </c>
      <c r="C2" s="163" t="s">
        <v>41</v>
      </c>
      <c r="D2" s="164"/>
      <c r="E2" s="163" t="s">
        <v>48</v>
      </c>
      <c r="F2" s="165"/>
      <c r="G2" s="165"/>
      <c r="H2" s="165"/>
      <c r="I2" s="165"/>
      <c r="J2" s="165"/>
      <c r="K2" s="165"/>
      <c r="L2" s="165"/>
      <c r="M2" s="165"/>
      <c r="N2" s="164"/>
      <c r="O2" s="163" t="s">
        <v>41</v>
      </c>
      <c r="P2" s="164"/>
      <c r="Q2" s="163" t="s">
        <v>49</v>
      </c>
      <c r="R2" s="165"/>
      <c r="S2" s="165"/>
      <c r="T2" s="165"/>
      <c r="U2" s="165"/>
      <c r="V2" s="165"/>
      <c r="W2" s="165"/>
      <c r="X2" s="164"/>
      <c r="Y2" s="154" t="s">
        <v>45</v>
      </c>
      <c r="Z2" s="154" t="s">
        <v>46</v>
      </c>
      <c r="AA2" s="154" t="s">
        <v>42</v>
      </c>
      <c r="AB2" s="154" t="s">
        <v>76</v>
      </c>
      <c r="AC2" s="154" t="s">
        <v>77</v>
      </c>
      <c r="AD2" s="154" t="s">
        <v>78</v>
      </c>
    </row>
    <row r="3" spans="1:30" ht="15.6" customHeight="1" x14ac:dyDescent="0.3">
      <c r="A3" s="155"/>
      <c r="B3" s="161"/>
      <c r="C3" s="148">
        <v>0</v>
      </c>
      <c r="D3" s="175"/>
      <c r="E3" s="136">
        <v>1</v>
      </c>
      <c r="F3" s="136"/>
      <c r="G3" s="136">
        <v>2</v>
      </c>
      <c r="H3" s="136"/>
      <c r="I3" s="136">
        <v>3</v>
      </c>
      <c r="J3" s="136"/>
      <c r="K3" s="136">
        <v>4</v>
      </c>
      <c r="L3" s="136"/>
      <c r="M3" s="136">
        <v>5</v>
      </c>
      <c r="N3" s="136"/>
      <c r="O3" s="136">
        <v>0</v>
      </c>
      <c r="P3" s="136"/>
      <c r="Q3" s="136">
        <v>1</v>
      </c>
      <c r="R3" s="136"/>
      <c r="S3" s="136">
        <v>2</v>
      </c>
      <c r="T3" s="136"/>
      <c r="U3" s="136">
        <v>3</v>
      </c>
      <c r="V3" s="136"/>
      <c r="W3" s="136">
        <v>4</v>
      </c>
      <c r="X3" s="136"/>
      <c r="Y3" s="155"/>
      <c r="Z3" s="155"/>
      <c r="AA3" s="155"/>
      <c r="AB3" s="155"/>
      <c r="AC3" s="155"/>
      <c r="AD3" s="155"/>
    </row>
    <row r="4" spans="1:30" ht="15.6" customHeight="1" x14ac:dyDescent="0.3">
      <c r="A4" s="155"/>
      <c r="B4" s="161"/>
      <c r="C4" s="138" t="s">
        <v>11</v>
      </c>
      <c r="D4" s="171"/>
      <c r="E4" s="136" t="s">
        <v>12</v>
      </c>
      <c r="F4" s="136"/>
      <c r="G4" s="136" t="s">
        <v>13</v>
      </c>
      <c r="H4" s="136"/>
      <c r="I4" s="136" t="s">
        <v>47</v>
      </c>
      <c r="J4" s="136"/>
      <c r="K4" s="136" t="s">
        <v>14</v>
      </c>
      <c r="L4" s="136"/>
      <c r="M4" s="136" t="s">
        <v>15</v>
      </c>
      <c r="N4" s="136"/>
      <c r="O4" s="136" t="s">
        <v>16</v>
      </c>
      <c r="P4" s="136"/>
      <c r="Q4" s="136" t="s">
        <v>17</v>
      </c>
      <c r="R4" s="136"/>
      <c r="S4" s="138" t="s">
        <v>18</v>
      </c>
      <c r="T4" s="168"/>
      <c r="U4" s="136" t="s">
        <v>19</v>
      </c>
      <c r="V4" s="136"/>
      <c r="W4" s="138" t="s">
        <v>20</v>
      </c>
      <c r="X4" s="168"/>
      <c r="Y4" s="155"/>
      <c r="Z4" s="155"/>
      <c r="AA4" s="155"/>
      <c r="AB4" s="155"/>
      <c r="AC4" s="155"/>
      <c r="AD4" s="155"/>
    </row>
    <row r="5" spans="1:30" ht="28.8" x14ac:dyDescent="0.3">
      <c r="A5" s="156"/>
      <c r="B5" s="162"/>
      <c r="C5" s="5" t="s">
        <v>37</v>
      </c>
      <c r="D5" s="6" t="s">
        <v>38</v>
      </c>
      <c r="E5" s="5" t="s">
        <v>37</v>
      </c>
      <c r="F5" s="6" t="s">
        <v>38</v>
      </c>
      <c r="G5" s="5" t="s">
        <v>37</v>
      </c>
      <c r="H5" s="6" t="s">
        <v>38</v>
      </c>
      <c r="I5" s="5" t="s">
        <v>37</v>
      </c>
      <c r="J5" s="6" t="s">
        <v>38</v>
      </c>
      <c r="K5" s="5" t="s">
        <v>37</v>
      </c>
      <c r="L5" s="6" t="s">
        <v>38</v>
      </c>
      <c r="M5" s="5" t="s">
        <v>39</v>
      </c>
      <c r="N5" s="12" t="s">
        <v>38</v>
      </c>
      <c r="O5" s="13" t="s">
        <v>37</v>
      </c>
      <c r="P5" s="6" t="s">
        <v>38</v>
      </c>
      <c r="Q5" s="5" t="s">
        <v>37</v>
      </c>
      <c r="R5" s="6" t="s">
        <v>38</v>
      </c>
      <c r="S5" s="5" t="s">
        <v>37</v>
      </c>
      <c r="T5" s="6" t="s">
        <v>38</v>
      </c>
      <c r="U5" s="5" t="s">
        <v>37</v>
      </c>
      <c r="V5" s="6" t="s">
        <v>38</v>
      </c>
      <c r="W5" s="5" t="s">
        <v>37</v>
      </c>
      <c r="X5" s="6" t="s">
        <v>38</v>
      </c>
      <c r="Y5" s="156"/>
      <c r="Z5" s="156"/>
      <c r="AA5" s="156"/>
      <c r="AB5" s="156"/>
      <c r="AC5" s="156"/>
      <c r="AD5" s="156"/>
    </row>
    <row r="6" spans="1:30" hidden="1" x14ac:dyDescent="0.3">
      <c r="A6" s="9" t="s">
        <v>66</v>
      </c>
      <c r="B6" s="10">
        <v>45839</v>
      </c>
      <c r="C6" s="5">
        <v>8769</v>
      </c>
      <c r="D6" s="6">
        <f>IF(C7&lt;&gt;"",C7-C6,"")</f>
        <v>355</v>
      </c>
      <c r="E6" s="5">
        <v>0</v>
      </c>
      <c r="F6" s="6">
        <f>IF(E7&lt;&gt;"",E7-E6,"")</f>
        <v>0</v>
      </c>
      <c r="G6" s="5">
        <v>23</v>
      </c>
      <c r="H6" s="6">
        <f t="shared" ref="H6:H14" si="0">IF(G7&lt;&gt;"",G7-G6,"")</f>
        <v>157</v>
      </c>
      <c r="I6" s="5">
        <v>2489</v>
      </c>
      <c r="J6" s="6">
        <f>IF(I7&lt;&gt;"",I7-I6,"")</f>
        <v>110</v>
      </c>
      <c r="K6" s="5">
        <v>15</v>
      </c>
      <c r="L6" s="6">
        <f>IF(K7&lt;&gt;"",K7-K6,"")</f>
        <v>15</v>
      </c>
      <c r="M6" s="5">
        <v>198</v>
      </c>
      <c r="N6" s="12">
        <f t="shared" ref="N6:N14" si="1">IF(M7&lt;&gt;"",M7-M6,"")</f>
        <v>23</v>
      </c>
      <c r="O6" s="13">
        <v>3498</v>
      </c>
      <c r="P6" s="6">
        <f t="shared" ref="P6:P14" si="2">IF(O7&lt;&gt;"",O7-O6,"")</f>
        <v>130</v>
      </c>
      <c r="Q6" s="5">
        <v>0</v>
      </c>
      <c r="R6" s="6">
        <f t="shared" ref="R6:R35" si="3">IF(Q7&lt;&gt;"",Q7-Q6,"")</f>
        <v>0</v>
      </c>
      <c r="S6" s="5">
        <v>2145</v>
      </c>
      <c r="T6" s="6">
        <f t="shared" ref="T6:T14" si="4">IF(S7&lt;&gt;"",S7-S6,"")</f>
        <v>100</v>
      </c>
      <c r="U6" s="5">
        <v>587</v>
      </c>
      <c r="V6" s="6">
        <f t="shared" ref="V6:V35" si="5">IF(U7&lt;&gt;"",U7-U6,"")</f>
        <v>110</v>
      </c>
      <c r="W6" s="5">
        <v>125</v>
      </c>
      <c r="X6" s="6">
        <f t="shared" ref="X6:X14" si="6">IF(W7&lt;&gt;"",W7-W6,"")</f>
        <v>2</v>
      </c>
      <c r="Y6" s="7">
        <f>SUM(F6,H6,J6,L6,N6)</f>
        <v>305</v>
      </c>
      <c r="Z6" s="7">
        <f t="shared" ref="Z6:Z36" si="7">SUM(R6,T6,V6,X6)</f>
        <v>212</v>
      </c>
      <c r="AA6" s="7">
        <f t="shared" ref="AA6:AA36" si="8">SUM(F6,H6,J6,L6,N6,R6,T6,V6,X6)</f>
        <v>517</v>
      </c>
      <c r="AB6" s="17">
        <f>Y6-D6</f>
        <v>-50</v>
      </c>
      <c r="AC6" s="17">
        <f>Z6-P6</f>
        <v>82</v>
      </c>
      <c r="AD6" s="17">
        <f>AA6-(D6+P6)</f>
        <v>32</v>
      </c>
    </row>
    <row r="7" spans="1:30" hidden="1" x14ac:dyDescent="0.3">
      <c r="A7" s="9" t="s">
        <v>67</v>
      </c>
      <c r="B7" s="10">
        <v>45840</v>
      </c>
      <c r="C7" s="5">
        <v>9124</v>
      </c>
      <c r="D7" s="6">
        <f>IF(C8&lt;&gt;"",C8-C7,"")</f>
        <v>348</v>
      </c>
      <c r="E7" s="5">
        <v>0</v>
      </c>
      <c r="F7" s="6">
        <f>IF(E8&lt;&gt;"",E8-E7,"")</f>
        <v>0</v>
      </c>
      <c r="G7" s="5">
        <v>180</v>
      </c>
      <c r="H7" s="6">
        <f t="shared" si="0"/>
        <v>237</v>
      </c>
      <c r="I7" s="5">
        <v>2599</v>
      </c>
      <c r="J7" s="6">
        <f>IF(I8&lt;&gt;"",I8-I7,"")</f>
        <v>84</v>
      </c>
      <c r="K7" s="5">
        <v>30</v>
      </c>
      <c r="L7" s="6">
        <f>IF(K8&lt;&gt;"",K8-K7,"")</f>
        <v>7</v>
      </c>
      <c r="M7" s="5">
        <v>221</v>
      </c>
      <c r="N7" s="12">
        <f t="shared" si="1"/>
        <v>8</v>
      </c>
      <c r="O7" s="13">
        <v>3628</v>
      </c>
      <c r="P7" s="6">
        <f t="shared" si="2"/>
        <v>120</v>
      </c>
      <c r="Q7" s="5">
        <v>0</v>
      </c>
      <c r="R7" s="6">
        <f t="shared" si="3"/>
        <v>5</v>
      </c>
      <c r="S7" s="5">
        <v>2245</v>
      </c>
      <c r="T7" s="6">
        <f t="shared" si="4"/>
        <v>64</v>
      </c>
      <c r="U7" s="5">
        <v>697</v>
      </c>
      <c r="V7" s="6">
        <f t="shared" si="5"/>
        <v>47</v>
      </c>
      <c r="W7" s="5">
        <v>127</v>
      </c>
      <c r="X7" s="6">
        <f t="shared" si="6"/>
        <v>3</v>
      </c>
      <c r="Y7" s="7">
        <f t="shared" ref="Y7:Y36" si="9">SUM(F7,H7,J7,L7,N7)</f>
        <v>336</v>
      </c>
      <c r="Z7" s="7">
        <f t="shared" si="7"/>
        <v>119</v>
      </c>
      <c r="AA7" s="7">
        <f t="shared" si="8"/>
        <v>455</v>
      </c>
      <c r="AB7" s="17">
        <f t="shared" ref="AB7:AB36" si="10">Y7-D7</f>
        <v>-12</v>
      </c>
      <c r="AC7" s="17">
        <f t="shared" ref="AC7:AC37" si="11">Z7-P7</f>
        <v>-1</v>
      </c>
      <c r="AD7" s="17">
        <f t="shared" ref="AD7:AD36" si="12">AA7-(D7+P7)</f>
        <v>-13</v>
      </c>
    </row>
    <row r="8" spans="1:30" hidden="1" x14ac:dyDescent="0.3">
      <c r="A8" s="9" t="s">
        <v>68</v>
      </c>
      <c r="B8" s="10">
        <v>45841</v>
      </c>
      <c r="C8" s="5">
        <v>9472</v>
      </c>
      <c r="D8" s="6">
        <f t="shared" ref="D8:F12" si="13">IF(C9&lt;&gt;"",C9-C8,"")</f>
        <v>380</v>
      </c>
      <c r="E8" s="5">
        <v>0</v>
      </c>
      <c r="F8" s="6">
        <f t="shared" si="13"/>
        <v>0</v>
      </c>
      <c r="G8" s="5">
        <v>417</v>
      </c>
      <c r="H8" s="6">
        <f t="shared" si="0"/>
        <v>265</v>
      </c>
      <c r="I8" s="5">
        <v>2683</v>
      </c>
      <c r="J8" s="6">
        <f t="shared" ref="J8:L9" si="14">IF(I9&lt;&gt;"",I9-I8,"")</f>
        <v>85</v>
      </c>
      <c r="K8" s="5">
        <v>37</v>
      </c>
      <c r="L8" s="6">
        <f t="shared" si="14"/>
        <v>10</v>
      </c>
      <c r="M8" s="5">
        <v>229</v>
      </c>
      <c r="N8" s="12">
        <f t="shared" si="1"/>
        <v>10</v>
      </c>
      <c r="O8" s="13">
        <v>3748</v>
      </c>
      <c r="P8" s="6">
        <f t="shared" si="2"/>
        <v>144</v>
      </c>
      <c r="Q8" s="5">
        <v>5</v>
      </c>
      <c r="R8" s="6">
        <f t="shared" si="3"/>
        <v>6</v>
      </c>
      <c r="S8" s="5">
        <v>2309</v>
      </c>
      <c r="T8" s="6">
        <f t="shared" si="4"/>
        <v>77</v>
      </c>
      <c r="U8" s="5">
        <v>744</v>
      </c>
      <c r="V8" s="6">
        <f t="shared" si="5"/>
        <v>57</v>
      </c>
      <c r="W8" s="5">
        <v>130</v>
      </c>
      <c r="X8" s="6">
        <f t="shared" si="6"/>
        <v>2</v>
      </c>
      <c r="Y8" s="7">
        <f t="shared" si="9"/>
        <v>370</v>
      </c>
      <c r="Z8" s="7">
        <f>SUM(R8,T8,V8,X8)</f>
        <v>142</v>
      </c>
      <c r="AA8" s="7">
        <f t="shared" si="8"/>
        <v>512</v>
      </c>
      <c r="AB8" s="17">
        <f t="shared" si="10"/>
        <v>-10</v>
      </c>
      <c r="AC8" s="17">
        <f t="shared" si="11"/>
        <v>-2</v>
      </c>
      <c r="AD8" s="17">
        <f t="shared" si="12"/>
        <v>-12</v>
      </c>
    </row>
    <row r="9" spans="1:30" hidden="1" x14ac:dyDescent="0.3">
      <c r="A9" s="9" t="s">
        <v>69</v>
      </c>
      <c r="B9" s="10">
        <v>45842</v>
      </c>
      <c r="C9" s="5">
        <v>9852</v>
      </c>
      <c r="D9" s="6">
        <f t="shared" si="13"/>
        <v>149</v>
      </c>
      <c r="E9" s="5">
        <v>0</v>
      </c>
      <c r="F9" s="6">
        <f t="shared" si="13"/>
        <v>0</v>
      </c>
      <c r="G9" s="5">
        <v>682</v>
      </c>
      <c r="H9" s="6">
        <f t="shared" si="0"/>
        <v>100</v>
      </c>
      <c r="I9" s="5">
        <v>2768</v>
      </c>
      <c r="J9" s="6">
        <f t="shared" si="14"/>
        <v>34</v>
      </c>
      <c r="K9" s="5">
        <v>47</v>
      </c>
      <c r="L9" s="6">
        <f t="shared" si="14"/>
        <v>10</v>
      </c>
      <c r="M9" s="5">
        <v>239</v>
      </c>
      <c r="N9" s="12">
        <f t="shared" si="1"/>
        <v>10</v>
      </c>
      <c r="O9" s="13">
        <v>3892</v>
      </c>
      <c r="P9" s="6">
        <f t="shared" si="2"/>
        <v>97</v>
      </c>
      <c r="Q9" s="5">
        <v>11</v>
      </c>
      <c r="R9" s="6">
        <f t="shared" si="3"/>
        <v>4</v>
      </c>
      <c r="S9" s="5">
        <v>2386</v>
      </c>
      <c r="T9" s="6">
        <f t="shared" si="4"/>
        <v>34</v>
      </c>
      <c r="U9" s="5">
        <v>801</v>
      </c>
      <c r="V9" s="6">
        <f t="shared" si="5"/>
        <v>29</v>
      </c>
      <c r="W9" s="5">
        <v>132</v>
      </c>
      <c r="X9" s="6">
        <f t="shared" si="6"/>
        <v>3</v>
      </c>
      <c r="Y9" s="7">
        <f t="shared" si="9"/>
        <v>154</v>
      </c>
      <c r="Z9" s="7">
        <f t="shared" si="7"/>
        <v>70</v>
      </c>
      <c r="AA9" s="7">
        <f t="shared" si="8"/>
        <v>224</v>
      </c>
      <c r="AB9" s="17">
        <f t="shared" si="10"/>
        <v>5</v>
      </c>
      <c r="AC9" s="17">
        <f>Z9-P9</f>
        <v>-27</v>
      </c>
      <c r="AD9" s="17">
        <f t="shared" si="12"/>
        <v>-22</v>
      </c>
    </row>
    <row r="10" spans="1:30" hidden="1" x14ac:dyDescent="0.3">
      <c r="A10" s="9" t="s">
        <v>70</v>
      </c>
      <c r="B10" s="10">
        <v>45843</v>
      </c>
      <c r="C10" s="5">
        <v>10001</v>
      </c>
      <c r="D10" s="6">
        <f>IF(C11&lt;&gt;"",C11-C10,"")</f>
        <v>282</v>
      </c>
      <c r="E10" s="5">
        <v>0</v>
      </c>
      <c r="F10" s="6">
        <f>IF(E11&lt;&gt;"",E11-E10,"")</f>
        <v>15</v>
      </c>
      <c r="G10" s="5">
        <v>782</v>
      </c>
      <c r="H10" s="6">
        <f t="shared" si="0"/>
        <v>170</v>
      </c>
      <c r="I10" s="5">
        <v>2802</v>
      </c>
      <c r="J10" s="6">
        <f>IF(I11&lt;&gt;"",I11-I10,"")</f>
        <v>72</v>
      </c>
      <c r="K10" s="5">
        <v>57</v>
      </c>
      <c r="L10" s="6">
        <f>IF(K11&lt;&gt;"",K11-K10,"")</f>
        <v>10</v>
      </c>
      <c r="M10" s="5">
        <v>249</v>
      </c>
      <c r="N10" s="12">
        <f t="shared" si="1"/>
        <v>8</v>
      </c>
      <c r="O10" s="13">
        <v>3989</v>
      </c>
      <c r="P10" s="6">
        <f t="shared" si="2"/>
        <v>59</v>
      </c>
      <c r="Q10" s="5">
        <v>15</v>
      </c>
      <c r="R10" s="6">
        <f t="shared" si="3"/>
        <v>2</v>
      </c>
      <c r="S10" s="5">
        <v>2420</v>
      </c>
      <c r="T10" s="6">
        <f t="shared" si="4"/>
        <v>50</v>
      </c>
      <c r="U10" s="5">
        <v>830</v>
      </c>
      <c r="V10" s="6">
        <f t="shared" si="5"/>
        <v>29</v>
      </c>
      <c r="W10" s="5">
        <v>135</v>
      </c>
      <c r="X10" s="6">
        <f t="shared" si="6"/>
        <v>4</v>
      </c>
      <c r="Y10" s="7">
        <f t="shared" si="9"/>
        <v>275</v>
      </c>
      <c r="Z10" s="7">
        <f t="shared" si="7"/>
        <v>85</v>
      </c>
      <c r="AA10" s="7">
        <f t="shared" si="8"/>
        <v>360</v>
      </c>
      <c r="AB10" s="17">
        <f t="shared" si="10"/>
        <v>-7</v>
      </c>
      <c r="AC10" s="17">
        <f t="shared" si="11"/>
        <v>26</v>
      </c>
      <c r="AD10" s="17">
        <f t="shared" si="12"/>
        <v>19</v>
      </c>
    </row>
    <row r="11" spans="1:30" hidden="1" x14ac:dyDescent="0.3">
      <c r="A11" s="9" t="s">
        <v>71</v>
      </c>
      <c r="B11" s="10">
        <v>45844</v>
      </c>
      <c r="C11" s="5">
        <v>10283</v>
      </c>
      <c r="D11" s="6">
        <f t="shared" si="13"/>
        <v>0</v>
      </c>
      <c r="E11" s="5">
        <v>15</v>
      </c>
      <c r="F11" s="6">
        <f t="shared" si="13"/>
        <v>0</v>
      </c>
      <c r="G11" s="5">
        <v>952</v>
      </c>
      <c r="H11" s="6">
        <f t="shared" si="0"/>
        <v>0</v>
      </c>
      <c r="I11" s="5">
        <v>2874</v>
      </c>
      <c r="J11" s="6">
        <f t="shared" ref="J11:L12" si="15">IF(I12&lt;&gt;"",I12-I11,"")</f>
        <v>0</v>
      </c>
      <c r="K11" s="5">
        <v>67</v>
      </c>
      <c r="L11" s="6">
        <f t="shared" si="15"/>
        <v>0</v>
      </c>
      <c r="M11" s="5">
        <v>257</v>
      </c>
      <c r="N11" s="12">
        <f t="shared" si="1"/>
        <v>0</v>
      </c>
      <c r="O11" s="13">
        <v>4048</v>
      </c>
      <c r="P11" s="6">
        <f t="shared" si="2"/>
        <v>0</v>
      </c>
      <c r="Q11" s="5">
        <v>17</v>
      </c>
      <c r="R11" s="6">
        <f t="shared" si="3"/>
        <v>0</v>
      </c>
      <c r="S11" s="5">
        <v>2470</v>
      </c>
      <c r="T11" s="6">
        <f t="shared" si="4"/>
        <v>0</v>
      </c>
      <c r="U11" s="5">
        <v>859</v>
      </c>
      <c r="V11" s="6">
        <f t="shared" si="5"/>
        <v>0</v>
      </c>
      <c r="W11" s="5">
        <v>139</v>
      </c>
      <c r="X11" s="6">
        <f t="shared" si="6"/>
        <v>0</v>
      </c>
      <c r="Y11" s="7">
        <f t="shared" si="9"/>
        <v>0</v>
      </c>
      <c r="Z11" s="7">
        <f t="shared" si="7"/>
        <v>0</v>
      </c>
      <c r="AA11" s="7">
        <f>SUM(F11,H11,J11,L11,N11,R11,T11,V11,X11)</f>
        <v>0</v>
      </c>
      <c r="AB11" s="17">
        <f t="shared" si="10"/>
        <v>0</v>
      </c>
      <c r="AC11" s="17">
        <f t="shared" si="11"/>
        <v>0</v>
      </c>
      <c r="AD11" s="17">
        <f t="shared" si="12"/>
        <v>0</v>
      </c>
    </row>
    <row r="12" spans="1:30" hidden="1" x14ac:dyDescent="0.3">
      <c r="A12" s="9" t="s">
        <v>72</v>
      </c>
      <c r="B12" s="10">
        <v>45845</v>
      </c>
      <c r="C12" s="5">
        <v>10283</v>
      </c>
      <c r="D12" s="6">
        <f t="shared" si="13"/>
        <v>403</v>
      </c>
      <c r="E12" s="5">
        <v>15</v>
      </c>
      <c r="F12" s="6">
        <f t="shared" si="13"/>
        <v>16</v>
      </c>
      <c r="G12" s="5">
        <v>952</v>
      </c>
      <c r="H12" s="6">
        <f t="shared" si="0"/>
        <v>266</v>
      </c>
      <c r="I12" s="5">
        <v>2874</v>
      </c>
      <c r="J12" s="6">
        <f t="shared" si="15"/>
        <v>101</v>
      </c>
      <c r="K12" s="5">
        <v>67</v>
      </c>
      <c r="L12" s="6">
        <f t="shared" si="15"/>
        <v>12</v>
      </c>
      <c r="M12" s="5">
        <v>257</v>
      </c>
      <c r="N12" s="12">
        <f t="shared" si="1"/>
        <v>9</v>
      </c>
      <c r="O12" s="13">
        <v>4048</v>
      </c>
      <c r="P12" s="6">
        <f t="shared" si="2"/>
        <v>137</v>
      </c>
      <c r="Q12" s="5">
        <v>17</v>
      </c>
      <c r="R12" s="6">
        <f t="shared" si="3"/>
        <v>7</v>
      </c>
      <c r="S12" s="5">
        <v>2470</v>
      </c>
      <c r="T12" s="6">
        <f t="shared" si="4"/>
        <v>68</v>
      </c>
      <c r="U12" s="5">
        <v>859</v>
      </c>
      <c r="V12" s="6">
        <f t="shared" si="5"/>
        <v>58</v>
      </c>
      <c r="W12" s="5">
        <v>139</v>
      </c>
      <c r="X12" s="6">
        <f t="shared" si="6"/>
        <v>3</v>
      </c>
      <c r="Y12" s="7">
        <f t="shared" si="9"/>
        <v>404</v>
      </c>
      <c r="Z12" s="7">
        <f t="shared" si="7"/>
        <v>136</v>
      </c>
      <c r="AA12" s="7">
        <f t="shared" si="8"/>
        <v>540</v>
      </c>
      <c r="AB12" s="17">
        <f t="shared" si="10"/>
        <v>1</v>
      </c>
      <c r="AC12" s="17">
        <f t="shared" si="11"/>
        <v>-1</v>
      </c>
      <c r="AD12" s="17">
        <f t="shared" si="12"/>
        <v>0</v>
      </c>
    </row>
    <row r="13" spans="1:30" hidden="1" x14ac:dyDescent="0.3">
      <c r="A13" s="9" t="s">
        <v>66</v>
      </c>
      <c r="B13" s="10">
        <v>45846</v>
      </c>
      <c r="C13" s="5">
        <v>10686</v>
      </c>
      <c r="D13" s="6">
        <f>IF(C14&lt;&gt;"",C14-C13,"")</f>
        <v>394</v>
      </c>
      <c r="E13" s="5">
        <v>31</v>
      </c>
      <c r="F13" s="6">
        <f>IF(E14&lt;&gt;"",E14-E13,"")</f>
        <v>21</v>
      </c>
      <c r="G13" s="5">
        <v>1218</v>
      </c>
      <c r="H13" s="6">
        <f t="shared" si="0"/>
        <v>248</v>
      </c>
      <c r="I13" s="5">
        <v>2975</v>
      </c>
      <c r="J13" s="6">
        <f>IF(I14&lt;&gt;"",I14-I13,"")</f>
        <v>104</v>
      </c>
      <c r="K13" s="5">
        <v>79</v>
      </c>
      <c r="L13" s="6">
        <f>IF(K14&lt;&gt;"",K14-K13,"")</f>
        <v>11</v>
      </c>
      <c r="M13" s="5">
        <v>266</v>
      </c>
      <c r="N13" s="12">
        <f t="shared" si="1"/>
        <v>10</v>
      </c>
      <c r="O13" s="13">
        <v>4185</v>
      </c>
      <c r="P13" s="6">
        <f t="shared" si="2"/>
        <v>125</v>
      </c>
      <c r="Q13" s="5">
        <v>24</v>
      </c>
      <c r="R13" s="6">
        <f t="shared" si="3"/>
        <v>6</v>
      </c>
      <c r="S13" s="5">
        <v>2538</v>
      </c>
      <c r="T13" s="6">
        <f t="shared" si="4"/>
        <v>60</v>
      </c>
      <c r="U13" s="5">
        <v>917</v>
      </c>
      <c r="V13" s="6">
        <f t="shared" si="5"/>
        <v>55</v>
      </c>
      <c r="W13" s="5">
        <v>142</v>
      </c>
      <c r="X13" s="6">
        <f t="shared" si="6"/>
        <v>2</v>
      </c>
      <c r="Y13" s="7">
        <f t="shared" si="9"/>
        <v>394</v>
      </c>
      <c r="Z13" s="7">
        <f t="shared" si="7"/>
        <v>123</v>
      </c>
      <c r="AA13" s="7">
        <f t="shared" si="8"/>
        <v>517</v>
      </c>
      <c r="AB13" s="17">
        <f t="shared" si="10"/>
        <v>0</v>
      </c>
      <c r="AC13" s="17">
        <f t="shared" si="11"/>
        <v>-2</v>
      </c>
      <c r="AD13" s="17">
        <f t="shared" si="12"/>
        <v>-2</v>
      </c>
    </row>
    <row r="14" spans="1:30" hidden="1" x14ac:dyDescent="0.3">
      <c r="A14" s="9" t="s">
        <v>67</v>
      </c>
      <c r="B14" s="10">
        <v>45847</v>
      </c>
      <c r="C14" s="5">
        <v>11080</v>
      </c>
      <c r="D14" s="6">
        <f>IF(C15&lt;&gt;"",C15-C14,"")</f>
        <v>378</v>
      </c>
      <c r="E14" s="5">
        <v>52</v>
      </c>
      <c r="F14" s="6">
        <f>IF(E15&lt;&gt;"",E15-E14,"")</f>
        <v>31</v>
      </c>
      <c r="G14" s="5">
        <v>1466</v>
      </c>
      <c r="H14" s="6">
        <f t="shared" si="0"/>
        <v>260</v>
      </c>
      <c r="I14" s="5">
        <v>3079</v>
      </c>
      <c r="J14" s="6">
        <f>IF(I15&lt;&gt;"",I15-I14,"")</f>
        <v>64</v>
      </c>
      <c r="K14" s="5">
        <v>90</v>
      </c>
      <c r="L14" s="6">
        <f>IF(K15&lt;&gt;"",K15-K14,"")</f>
        <v>14</v>
      </c>
      <c r="M14" s="5">
        <v>276</v>
      </c>
      <c r="N14" s="12">
        <f t="shared" si="1"/>
        <v>11</v>
      </c>
      <c r="O14" s="13">
        <v>4310</v>
      </c>
      <c r="P14" s="6">
        <f t="shared" si="2"/>
        <v>154</v>
      </c>
      <c r="Q14" s="5">
        <v>30</v>
      </c>
      <c r="R14" s="6">
        <f t="shared" si="3"/>
        <v>7</v>
      </c>
      <c r="S14" s="5">
        <v>2598</v>
      </c>
      <c r="T14" s="6">
        <f t="shared" si="4"/>
        <v>62</v>
      </c>
      <c r="U14" s="5">
        <v>972</v>
      </c>
      <c r="V14" s="6">
        <f t="shared" si="5"/>
        <v>82</v>
      </c>
      <c r="W14" s="5">
        <v>144</v>
      </c>
      <c r="X14" s="6">
        <f t="shared" si="6"/>
        <v>3</v>
      </c>
      <c r="Y14" s="7">
        <f t="shared" si="9"/>
        <v>380</v>
      </c>
      <c r="Z14" s="7">
        <f t="shared" si="7"/>
        <v>154</v>
      </c>
      <c r="AA14" s="7">
        <f t="shared" si="8"/>
        <v>534</v>
      </c>
      <c r="AB14" s="17">
        <f t="shared" si="10"/>
        <v>2</v>
      </c>
      <c r="AC14" s="17">
        <f t="shared" si="11"/>
        <v>0</v>
      </c>
      <c r="AD14" s="17">
        <f t="shared" si="12"/>
        <v>2</v>
      </c>
    </row>
    <row r="15" spans="1:30" hidden="1" x14ac:dyDescent="0.3">
      <c r="A15" s="9" t="s">
        <v>68</v>
      </c>
      <c r="B15" s="10">
        <v>45848</v>
      </c>
      <c r="C15" s="5">
        <v>11458</v>
      </c>
      <c r="D15" s="6">
        <f t="shared" ref="D15:F30" si="16">IF(C16&lt;&gt;"",C16-C15,"")</f>
        <v>287</v>
      </c>
      <c r="E15" s="5">
        <v>83</v>
      </c>
      <c r="F15" s="6">
        <f t="shared" si="16"/>
        <v>14</v>
      </c>
      <c r="G15" s="5">
        <v>1726</v>
      </c>
      <c r="H15" s="6">
        <f t="shared" ref="H15:H35" si="17">IF(G16&lt;&gt;"",G16-G15,"")</f>
        <v>216</v>
      </c>
      <c r="I15" s="5">
        <v>3143</v>
      </c>
      <c r="J15" s="6">
        <f t="shared" ref="J15:L30" si="18">IF(I16&lt;&gt;"",I16-I15,"")</f>
        <v>39</v>
      </c>
      <c r="K15" s="5">
        <v>104</v>
      </c>
      <c r="L15" s="6">
        <f t="shared" si="18"/>
        <v>10</v>
      </c>
      <c r="M15" s="5">
        <v>287</v>
      </c>
      <c r="N15" s="12">
        <f t="shared" ref="N15:N35" si="19">IF(M16&lt;&gt;"",M16-M15,"")</f>
        <v>8</v>
      </c>
      <c r="O15" s="13">
        <v>4464</v>
      </c>
      <c r="P15" s="6">
        <f t="shared" ref="P15:P35" si="20">IF(O16&lt;&gt;"",O16-O15,"")</f>
        <v>97</v>
      </c>
      <c r="Q15" s="5">
        <v>37</v>
      </c>
      <c r="R15" s="6">
        <f t="shared" si="3"/>
        <v>7</v>
      </c>
      <c r="S15" s="5">
        <v>2660</v>
      </c>
      <c r="T15" s="6">
        <f t="shared" ref="T15:T35" si="21">IF(S16&lt;&gt;"",S16-S15,"")</f>
        <v>42</v>
      </c>
      <c r="U15" s="5">
        <v>1054</v>
      </c>
      <c r="V15" s="6">
        <f t="shared" si="5"/>
        <v>45</v>
      </c>
      <c r="W15" s="5">
        <v>147</v>
      </c>
      <c r="X15" s="6">
        <f t="shared" ref="X15:X35" si="22">IF(W16&lt;&gt;"",W16-W15,"")</f>
        <v>2</v>
      </c>
      <c r="Y15" s="7">
        <f t="shared" si="9"/>
        <v>287</v>
      </c>
      <c r="Z15" s="7">
        <f t="shared" si="7"/>
        <v>96</v>
      </c>
      <c r="AA15" s="7">
        <f t="shared" si="8"/>
        <v>383</v>
      </c>
      <c r="AB15" s="17">
        <f t="shared" si="10"/>
        <v>0</v>
      </c>
      <c r="AC15" s="17">
        <f t="shared" si="11"/>
        <v>-1</v>
      </c>
      <c r="AD15" s="17">
        <f t="shared" si="12"/>
        <v>-1</v>
      </c>
    </row>
    <row r="16" spans="1:30" hidden="1" x14ac:dyDescent="0.3">
      <c r="A16" s="9" t="s">
        <v>69</v>
      </c>
      <c r="B16" s="10">
        <v>45849</v>
      </c>
      <c r="C16" s="5">
        <v>11745</v>
      </c>
      <c r="D16" s="6">
        <f t="shared" si="16"/>
        <v>354</v>
      </c>
      <c r="E16" s="5">
        <v>97</v>
      </c>
      <c r="F16" s="6">
        <f t="shared" si="16"/>
        <v>23</v>
      </c>
      <c r="G16" s="5">
        <v>1942</v>
      </c>
      <c r="H16" s="6">
        <f t="shared" si="17"/>
        <v>252</v>
      </c>
      <c r="I16" s="5">
        <v>3182</v>
      </c>
      <c r="J16" s="6">
        <f t="shared" si="18"/>
        <v>57</v>
      </c>
      <c r="K16" s="5">
        <v>114</v>
      </c>
      <c r="L16" s="6">
        <f t="shared" si="18"/>
        <v>11</v>
      </c>
      <c r="M16" s="5">
        <v>295</v>
      </c>
      <c r="N16" s="12">
        <f t="shared" si="19"/>
        <v>11</v>
      </c>
      <c r="O16" s="13">
        <v>4561</v>
      </c>
      <c r="P16" s="6">
        <f t="shared" si="20"/>
        <v>146</v>
      </c>
      <c r="Q16" s="5">
        <v>44</v>
      </c>
      <c r="R16" s="6">
        <f t="shared" si="3"/>
        <v>9</v>
      </c>
      <c r="S16" s="5">
        <v>2702</v>
      </c>
      <c r="T16" s="6">
        <f t="shared" si="21"/>
        <v>63</v>
      </c>
      <c r="U16" s="5">
        <v>1099</v>
      </c>
      <c r="V16" s="6">
        <f t="shared" si="5"/>
        <v>71</v>
      </c>
      <c r="W16" s="5">
        <v>149</v>
      </c>
      <c r="X16" s="6">
        <f t="shared" si="22"/>
        <v>3</v>
      </c>
      <c r="Y16" s="7">
        <f t="shared" si="9"/>
        <v>354</v>
      </c>
      <c r="Z16" s="7">
        <f t="shared" si="7"/>
        <v>146</v>
      </c>
      <c r="AA16" s="7">
        <f t="shared" si="8"/>
        <v>500</v>
      </c>
      <c r="AB16" s="17">
        <f t="shared" si="10"/>
        <v>0</v>
      </c>
      <c r="AC16" s="17">
        <f t="shared" si="11"/>
        <v>0</v>
      </c>
      <c r="AD16" s="17">
        <f t="shared" si="12"/>
        <v>0</v>
      </c>
    </row>
    <row r="17" spans="1:30" hidden="1" x14ac:dyDescent="0.3">
      <c r="A17" s="9" t="s">
        <v>70</v>
      </c>
      <c r="B17" s="10">
        <v>45850</v>
      </c>
      <c r="C17" s="5">
        <v>12099</v>
      </c>
      <c r="D17" s="6">
        <f t="shared" si="16"/>
        <v>408</v>
      </c>
      <c r="E17" s="5">
        <v>120</v>
      </c>
      <c r="F17" s="6">
        <f t="shared" si="16"/>
        <v>28</v>
      </c>
      <c r="G17" s="5">
        <v>2194</v>
      </c>
      <c r="H17" s="6">
        <f t="shared" si="17"/>
        <v>300</v>
      </c>
      <c r="I17" s="5">
        <v>3239</v>
      </c>
      <c r="J17" s="6">
        <f t="shared" si="18"/>
        <v>57</v>
      </c>
      <c r="K17" s="5">
        <v>125</v>
      </c>
      <c r="L17" s="6">
        <f t="shared" si="18"/>
        <v>13</v>
      </c>
      <c r="M17" s="5">
        <v>306</v>
      </c>
      <c r="N17" s="12">
        <f t="shared" si="19"/>
        <v>11</v>
      </c>
      <c r="O17" s="13">
        <v>4707</v>
      </c>
      <c r="P17" s="6">
        <f t="shared" si="20"/>
        <v>163</v>
      </c>
      <c r="Q17" s="5">
        <v>53</v>
      </c>
      <c r="R17" s="6">
        <f t="shared" si="3"/>
        <v>9</v>
      </c>
      <c r="S17" s="5">
        <v>2765</v>
      </c>
      <c r="T17" s="6">
        <f t="shared" si="21"/>
        <v>52</v>
      </c>
      <c r="U17" s="5">
        <v>1170</v>
      </c>
      <c r="V17" s="6">
        <f t="shared" si="5"/>
        <v>96</v>
      </c>
      <c r="W17" s="5">
        <v>152</v>
      </c>
      <c r="X17" s="6">
        <f>IF(W18&lt;&gt;"",W18-W17,"")</f>
        <v>3</v>
      </c>
      <c r="Y17" s="7">
        <f t="shared" si="9"/>
        <v>409</v>
      </c>
      <c r="Z17" s="7">
        <f t="shared" si="7"/>
        <v>160</v>
      </c>
      <c r="AA17" s="7">
        <f t="shared" si="8"/>
        <v>569</v>
      </c>
      <c r="AB17" s="17">
        <f t="shared" si="10"/>
        <v>1</v>
      </c>
      <c r="AC17" s="17">
        <f t="shared" si="11"/>
        <v>-3</v>
      </c>
      <c r="AD17" s="17">
        <f t="shared" si="12"/>
        <v>-2</v>
      </c>
    </row>
    <row r="18" spans="1:30" hidden="1" x14ac:dyDescent="0.3">
      <c r="A18" s="9" t="s">
        <v>71</v>
      </c>
      <c r="B18" s="10">
        <v>45851</v>
      </c>
      <c r="C18" s="5">
        <v>12507</v>
      </c>
      <c r="D18" s="6">
        <f t="shared" si="16"/>
        <v>0</v>
      </c>
      <c r="E18" s="5">
        <v>148</v>
      </c>
      <c r="F18" s="6">
        <f t="shared" si="16"/>
        <v>0</v>
      </c>
      <c r="G18" s="5">
        <v>2494</v>
      </c>
      <c r="H18" s="6">
        <f t="shared" si="17"/>
        <v>0</v>
      </c>
      <c r="I18" s="5">
        <v>3296</v>
      </c>
      <c r="J18" s="6">
        <f t="shared" si="18"/>
        <v>0</v>
      </c>
      <c r="K18" s="5">
        <v>138</v>
      </c>
      <c r="L18" s="6">
        <f t="shared" si="18"/>
        <v>0</v>
      </c>
      <c r="M18" s="5">
        <v>317</v>
      </c>
      <c r="N18" s="12">
        <f t="shared" si="19"/>
        <v>0</v>
      </c>
      <c r="O18" s="13">
        <v>4870</v>
      </c>
      <c r="P18" s="6">
        <f t="shared" si="20"/>
        <v>0</v>
      </c>
      <c r="Q18" s="5">
        <v>62</v>
      </c>
      <c r="R18" s="6">
        <f t="shared" si="3"/>
        <v>0</v>
      </c>
      <c r="S18" s="5">
        <v>2817</v>
      </c>
      <c r="T18" s="6">
        <f t="shared" si="21"/>
        <v>0</v>
      </c>
      <c r="U18" s="5">
        <v>1266</v>
      </c>
      <c r="V18" s="6">
        <f t="shared" si="5"/>
        <v>0</v>
      </c>
      <c r="W18" s="5">
        <v>155</v>
      </c>
      <c r="X18" s="6">
        <f t="shared" si="22"/>
        <v>0</v>
      </c>
      <c r="Y18" s="7">
        <f t="shared" si="9"/>
        <v>0</v>
      </c>
      <c r="Z18" s="7">
        <f t="shared" si="7"/>
        <v>0</v>
      </c>
      <c r="AA18" s="7">
        <f t="shared" si="8"/>
        <v>0</v>
      </c>
      <c r="AB18" s="17">
        <f t="shared" si="10"/>
        <v>0</v>
      </c>
      <c r="AC18" s="17">
        <f t="shared" si="11"/>
        <v>0</v>
      </c>
      <c r="AD18" s="17">
        <f t="shared" si="12"/>
        <v>0</v>
      </c>
    </row>
    <row r="19" spans="1:30" hidden="1" x14ac:dyDescent="0.3">
      <c r="A19" s="9" t="s">
        <v>72</v>
      </c>
      <c r="B19" s="10">
        <v>45852</v>
      </c>
      <c r="C19" s="5">
        <v>12507</v>
      </c>
      <c r="D19" s="6">
        <f t="shared" si="16"/>
        <v>326</v>
      </c>
      <c r="E19" s="5">
        <v>148</v>
      </c>
      <c r="F19" s="6">
        <f t="shared" si="16"/>
        <v>36</v>
      </c>
      <c r="G19" s="5">
        <v>2494</v>
      </c>
      <c r="H19" s="6">
        <f t="shared" si="17"/>
        <v>217</v>
      </c>
      <c r="I19" s="5">
        <v>3296</v>
      </c>
      <c r="J19" s="6">
        <f t="shared" si="18"/>
        <v>51</v>
      </c>
      <c r="K19" s="5">
        <v>138</v>
      </c>
      <c r="L19" s="6">
        <f t="shared" si="18"/>
        <v>9</v>
      </c>
      <c r="M19" s="5">
        <v>317</v>
      </c>
      <c r="N19" s="12">
        <f t="shared" si="19"/>
        <v>13</v>
      </c>
      <c r="O19" s="13">
        <v>4870</v>
      </c>
      <c r="P19" s="6">
        <f t="shared" si="20"/>
        <v>137</v>
      </c>
      <c r="Q19" s="5">
        <v>62</v>
      </c>
      <c r="R19" s="6">
        <f t="shared" si="3"/>
        <v>11</v>
      </c>
      <c r="S19" s="5">
        <v>2817</v>
      </c>
      <c r="T19" s="6">
        <f t="shared" si="21"/>
        <v>44</v>
      </c>
      <c r="U19" s="5">
        <v>1266</v>
      </c>
      <c r="V19" s="6">
        <f t="shared" si="5"/>
        <v>79</v>
      </c>
      <c r="W19" s="5">
        <v>155</v>
      </c>
      <c r="X19" s="6">
        <f t="shared" si="22"/>
        <v>3</v>
      </c>
      <c r="Y19" s="7">
        <f t="shared" si="9"/>
        <v>326</v>
      </c>
      <c r="Z19" s="7">
        <f t="shared" si="7"/>
        <v>137</v>
      </c>
      <c r="AA19" s="7">
        <f t="shared" si="8"/>
        <v>463</v>
      </c>
      <c r="AB19" s="17">
        <f t="shared" si="10"/>
        <v>0</v>
      </c>
      <c r="AC19" s="17">
        <f t="shared" si="11"/>
        <v>0</v>
      </c>
      <c r="AD19" s="17">
        <f t="shared" si="12"/>
        <v>0</v>
      </c>
    </row>
    <row r="20" spans="1:30" hidden="1" x14ac:dyDescent="0.3">
      <c r="A20" s="9" t="s">
        <v>66</v>
      </c>
      <c r="B20" s="10">
        <v>45853</v>
      </c>
      <c r="C20" s="5">
        <v>12833</v>
      </c>
      <c r="D20" s="6">
        <f t="shared" si="16"/>
        <v>381</v>
      </c>
      <c r="E20" s="5">
        <v>184</v>
      </c>
      <c r="F20" s="6">
        <f t="shared" si="16"/>
        <v>37</v>
      </c>
      <c r="G20" s="5">
        <v>2711</v>
      </c>
      <c r="H20" s="6">
        <f t="shared" si="17"/>
        <v>265</v>
      </c>
      <c r="I20" s="5">
        <v>3347</v>
      </c>
      <c r="J20" s="6">
        <f t="shared" si="18"/>
        <v>57</v>
      </c>
      <c r="K20" s="5">
        <v>147</v>
      </c>
      <c r="L20" s="6">
        <f t="shared" si="18"/>
        <v>11</v>
      </c>
      <c r="M20" s="5">
        <v>330</v>
      </c>
      <c r="N20" s="12">
        <f t="shared" si="19"/>
        <v>13</v>
      </c>
      <c r="O20" s="13">
        <v>5007</v>
      </c>
      <c r="P20" s="6">
        <f t="shared" si="20"/>
        <v>166</v>
      </c>
      <c r="Q20" s="5">
        <v>73</v>
      </c>
      <c r="R20" s="6">
        <f t="shared" si="3"/>
        <v>16</v>
      </c>
      <c r="S20" s="5">
        <v>2861</v>
      </c>
      <c r="T20" s="6">
        <f t="shared" si="21"/>
        <v>57</v>
      </c>
      <c r="U20" s="5">
        <v>1345</v>
      </c>
      <c r="V20" s="6">
        <f t="shared" si="5"/>
        <v>88</v>
      </c>
      <c r="W20" s="5">
        <v>158</v>
      </c>
      <c r="X20" s="6">
        <f t="shared" si="22"/>
        <v>4</v>
      </c>
      <c r="Y20" s="7">
        <f t="shared" si="9"/>
        <v>383</v>
      </c>
      <c r="Z20" s="7">
        <f t="shared" si="7"/>
        <v>165</v>
      </c>
      <c r="AA20" s="7">
        <f t="shared" si="8"/>
        <v>548</v>
      </c>
      <c r="AB20" s="17">
        <f t="shared" si="10"/>
        <v>2</v>
      </c>
      <c r="AC20" s="17">
        <f t="shared" si="11"/>
        <v>-1</v>
      </c>
      <c r="AD20" s="17">
        <f t="shared" si="12"/>
        <v>1</v>
      </c>
    </row>
    <row r="21" spans="1:30" hidden="1" x14ac:dyDescent="0.3">
      <c r="A21" s="9" t="s">
        <v>67</v>
      </c>
      <c r="B21" s="10">
        <v>45854</v>
      </c>
      <c r="C21" s="5">
        <v>13214</v>
      </c>
      <c r="D21" s="6">
        <f t="shared" si="16"/>
        <v>369</v>
      </c>
      <c r="E21" s="5">
        <v>221</v>
      </c>
      <c r="F21" s="6">
        <f t="shared" si="16"/>
        <v>39</v>
      </c>
      <c r="G21" s="5">
        <v>2976</v>
      </c>
      <c r="H21" s="6">
        <f t="shared" si="17"/>
        <v>260</v>
      </c>
      <c r="I21" s="5">
        <v>3404</v>
      </c>
      <c r="J21" s="6">
        <f t="shared" si="18"/>
        <v>48</v>
      </c>
      <c r="K21" s="5">
        <v>158</v>
      </c>
      <c r="L21" s="6">
        <f t="shared" si="18"/>
        <v>10</v>
      </c>
      <c r="M21" s="5">
        <v>343</v>
      </c>
      <c r="N21" s="12">
        <f t="shared" si="19"/>
        <v>12</v>
      </c>
      <c r="O21" s="13">
        <v>5173</v>
      </c>
      <c r="P21" s="6">
        <f t="shared" si="20"/>
        <v>159</v>
      </c>
      <c r="Q21" s="5">
        <v>89</v>
      </c>
      <c r="R21" s="6">
        <f t="shared" si="3"/>
        <v>20</v>
      </c>
      <c r="S21" s="5">
        <v>2918</v>
      </c>
      <c r="T21" s="6">
        <f t="shared" si="21"/>
        <v>53</v>
      </c>
      <c r="U21" s="5">
        <v>1433</v>
      </c>
      <c r="V21" s="6">
        <f t="shared" si="5"/>
        <v>82</v>
      </c>
      <c r="W21" s="5">
        <v>162</v>
      </c>
      <c r="X21" s="6">
        <f t="shared" si="22"/>
        <v>4</v>
      </c>
      <c r="Y21" s="7">
        <f>SUM(F21,H21,J21,L21,N21)</f>
        <v>369</v>
      </c>
      <c r="Z21" s="7">
        <f t="shared" si="7"/>
        <v>159</v>
      </c>
      <c r="AA21" s="7">
        <f t="shared" si="8"/>
        <v>528</v>
      </c>
      <c r="AB21" s="17">
        <f t="shared" si="10"/>
        <v>0</v>
      </c>
      <c r="AC21" s="17">
        <f t="shared" si="11"/>
        <v>0</v>
      </c>
      <c r="AD21" s="17">
        <f t="shared" si="12"/>
        <v>0</v>
      </c>
    </row>
    <row r="22" spans="1:30" hidden="1" x14ac:dyDescent="0.3">
      <c r="A22" s="9" t="s">
        <v>68</v>
      </c>
      <c r="B22" s="10">
        <v>45855</v>
      </c>
      <c r="C22" s="5">
        <v>13583</v>
      </c>
      <c r="D22" s="6">
        <f t="shared" si="16"/>
        <v>394</v>
      </c>
      <c r="E22" s="5">
        <v>260</v>
      </c>
      <c r="F22" s="6">
        <f t="shared" si="16"/>
        <v>44</v>
      </c>
      <c r="G22" s="5">
        <v>3236</v>
      </c>
      <c r="H22" s="6">
        <f t="shared" si="17"/>
        <v>257</v>
      </c>
      <c r="I22" s="5">
        <v>3452</v>
      </c>
      <c r="J22" s="6">
        <f t="shared" si="18"/>
        <v>66</v>
      </c>
      <c r="K22" s="5">
        <v>168</v>
      </c>
      <c r="L22" s="6">
        <f t="shared" si="18"/>
        <v>13</v>
      </c>
      <c r="M22" s="5">
        <v>355</v>
      </c>
      <c r="N22" s="12">
        <f t="shared" si="19"/>
        <v>15</v>
      </c>
      <c r="O22" s="13">
        <v>5332</v>
      </c>
      <c r="P22" s="6">
        <f t="shared" si="20"/>
        <v>217</v>
      </c>
      <c r="Q22" s="5">
        <v>109</v>
      </c>
      <c r="R22" s="6">
        <f t="shared" si="3"/>
        <v>22</v>
      </c>
      <c r="S22" s="5">
        <v>2971</v>
      </c>
      <c r="T22" s="6">
        <f t="shared" si="21"/>
        <v>69</v>
      </c>
      <c r="U22" s="5">
        <v>1515</v>
      </c>
      <c r="V22" s="6">
        <f t="shared" si="5"/>
        <v>120</v>
      </c>
      <c r="W22" s="5">
        <v>166</v>
      </c>
      <c r="X22" s="6">
        <f t="shared" si="22"/>
        <v>3</v>
      </c>
      <c r="Y22" s="7">
        <f t="shared" si="9"/>
        <v>395</v>
      </c>
      <c r="Z22" s="7">
        <f>SUM(R22,T22,V22,X22)</f>
        <v>214</v>
      </c>
      <c r="AA22" s="7">
        <f>SUM(F22,H22,J22,L22,N22,R22,T22,V22,X22)</f>
        <v>609</v>
      </c>
      <c r="AB22" s="17">
        <f t="shared" si="10"/>
        <v>1</v>
      </c>
      <c r="AC22" s="17">
        <f t="shared" si="11"/>
        <v>-3</v>
      </c>
      <c r="AD22" s="17">
        <f t="shared" si="12"/>
        <v>-2</v>
      </c>
    </row>
    <row r="23" spans="1:30" hidden="1" x14ac:dyDescent="0.3">
      <c r="A23" s="9" t="s">
        <v>69</v>
      </c>
      <c r="B23" s="10">
        <v>45856</v>
      </c>
      <c r="C23" s="5">
        <v>13977</v>
      </c>
      <c r="D23" s="6">
        <f t="shared" si="16"/>
        <v>458</v>
      </c>
      <c r="E23" s="5">
        <v>304</v>
      </c>
      <c r="F23" s="6">
        <f t="shared" si="16"/>
        <v>46</v>
      </c>
      <c r="G23" s="5">
        <v>3493</v>
      </c>
      <c r="H23" s="6">
        <f t="shared" si="17"/>
        <v>295</v>
      </c>
      <c r="I23" s="5">
        <v>3518</v>
      </c>
      <c r="J23" s="6">
        <f t="shared" si="18"/>
        <v>93</v>
      </c>
      <c r="K23" s="5">
        <v>181</v>
      </c>
      <c r="L23" s="6">
        <f t="shared" si="18"/>
        <v>10</v>
      </c>
      <c r="M23" s="5">
        <v>370</v>
      </c>
      <c r="N23" s="12">
        <f t="shared" si="19"/>
        <v>16</v>
      </c>
      <c r="O23" s="13">
        <v>5549</v>
      </c>
      <c r="P23" s="6">
        <f t="shared" si="20"/>
        <v>201</v>
      </c>
      <c r="Q23" s="5">
        <v>131</v>
      </c>
      <c r="R23" s="6">
        <f t="shared" si="3"/>
        <v>25</v>
      </c>
      <c r="S23" s="5">
        <v>3040</v>
      </c>
      <c r="T23" s="6">
        <f t="shared" si="21"/>
        <v>82</v>
      </c>
      <c r="U23" s="5">
        <v>1635</v>
      </c>
      <c r="V23" s="6">
        <f t="shared" si="5"/>
        <v>88</v>
      </c>
      <c r="W23" s="5">
        <v>169</v>
      </c>
      <c r="X23" s="6">
        <f t="shared" si="22"/>
        <v>3</v>
      </c>
      <c r="Y23" s="7">
        <f t="shared" si="9"/>
        <v>460</v>
      </c>
      <c r="Z23" s="7">
        <f t="shared" si="7"/>
        <v>198</v>
      </c>
      <c r="AA23" s="7">
        <f t="shared" si="8"/>
        <v>658</v>
      </c>
      <c r="AB23" s="17">
        <f t="shared" si="10"/>
        <v>2</v>
      </c>
      <c r="AC23" s="17">
        <f t="shared" si="11"/>
        <v>-3</v>
      </c>
      <c r="AD23" s="17">
        <f t="shared" si="12"/>
        <v>-1</v>
      </c>
    </row>
    <row r="24" spans="1:30" hidden="1" x14ac:dyDescent="0.3">
      <c r="A24" s="9" t="s">
        <v>70</v>
      </c>
      <c r="B24" s="10">
        <v>45857</v>
      </c>
      <c r="C24" s="5">
        <v>14435</v>
      </c>
      <c r="D24" s="6">
        <f t="shared" si="16"/>
        <v>456</v>
      </c>
      <c r="E24" s="5">
        <v>350</v>
      </c>
      <c r="F24" s="6">
        <f t="shared" si="16"/>
        <v>45</v>
      </c>
      <c r="G24" s="5">
        <v>3788</v>
      </c>
      <c r="H24" s="6">
        <f t="shared" si="17"/>
        <v>268</v>
      </c>
      <c r="I24" s="5">
        <v>3611</v>
      </c>
      <c r="J24" s="6">
        <f t="shared" si="18"/>
        <v>118</v>
      </c>
      <c r="K24" s="5">
        <v>191</v>
      </c>
      <c r="L24" s="6">
        <f t="shared" si="18"/>
        <v>12</v>
      </c>
      <c r="M24" s="5">
        <v>386</v>
      </c>
      <c r="N24" s="12">
        <f t="shared" si="19"/>
        <v>12</v>
      </c>
      <c r="O24" s="13">
        <v>5750</v>
      </c>
      <c r="P24" s="6">
        <f t="shared" si="20"/>
        <v>210</v>
      </c>
      <c r="Q24" s="5">
        <v>156</v>
      </c>
      <c r="R24" s="6">
        <f t="shared" si="3"/>
        <v>30</v>
      </c>
      <c r="S24" s="5">
        <v>3122</v>
      </c>
      <c r="T24" s="6">
        <f t="shared" si="21"/>
        <v>89</v>
      </c>
      <c r="U24" s="5">
        <v>1723</v>
      </c>
      <c r="V24" s="6">
        <f t="shared" si="5"/>
        <v>83</v>
      </c>
      <c r="W24" s="5">
        <v>172</v>
      </c>
      <c r="X24" s="6">
        <f t="shared" si="22"/>
        <v>8</v>
      </c>
      <c r="Y24" s="7">
        <f t="shared" si="9"/>
        <v>455</v>
      </c>
      <c r="Z24" s="7">
        <f t="shared" si="7"/>
        <v>210</v>
      </c>
      <c r="AA24" s="7">
        <f t="shared" si="8"/>
        <v>665</v>
      </c>
      <c r="AB24" s="17">
        <f t="shared" si="10"/>
        <v>-1</v>
      </c>
      <c r="AC24" s="17">
        <f t="shared" si="11"/>
        <v>0</v>
      </c>
      <c r="AD24" s="17">
        <f t="shared" si="12"/>
        <v>-1</v>
      </c>
    </row>
    <row r="25" spans="1:30" hidden="1" x14ac:dyDescent="0.3">
      <c r="A25" s="9" t="s">
        <v>71</v>
      </c>
      <c r="B25" s="10">
        <v>45858</v>
      </c>
      <c r="C25" s="5">
        <v>14891</v>
      </c>
      <c r="D25" s="6">
        <f t="shared" si="16"/>
        <v>0</v>
      </c>
      <c r="E25" s="5">
        <v>395</v>
      </c>
      <c r="F25" s="6">
        <f t="shared" si="16"/>
        <v>0</v>
      </c>
      <c r="G25" s="5">
        <v>4056</v>
      </c>
      <c r="H25" s="6">
        <f t="shared" si="17"/>
        <v>0</v>
      </c>
      <c r="I25" s="5">
        <v>3729</v>
      </c>
      <c r="J25" s="6">
        <f t="shared" si="18"/>
        <v>0</v>
      </c>
      <c r="K25" s="5">
        <v>203</v>
      </c>
      <c r="L25" s="6">
        <f t="shared" si="18"/>
        <v>0</v>
      </c>
      <c r="M25" s="5">
        <v>398</v>
      </c>
      <c r="N25" s="12">
        <f t="shared" si="19"/>
        <v>0</v>
      </c>
      <c r="O25" s="13">
        <v>5960</v>
      </c>
      <c r="P25" s="6">
        <f t="shared" si="20"/>
        <v>0</v>
      </c>
      <c r="Q25" s="5">
        <v>186</v>
      </c>
      <c r="R25" s="6">
        <f t="shared" si="3"/>
        <v>0</v>
      </c>
      <c r="S25" s="5">
        <v>3211</v>
      </c>
      <c r="T25" s="6">
        <f t="shared" si="21"/>
        <v>0</v>
      </c>
      <c r="U25" s="5">
        <v>1806</v>
      </c>
      <c r="V25" s="6">
        <f t="shared" si="5"/>
        <v>0</v>
      </c>
      <c r="W25" s="5">
        <v>180</v>
      </c>
      <c r="X25" s="6">
        <f t="shared" si="22"/>
        <v>0</v>
      </c>
      <c r="Y25" s="7">
        <f t="shared" si="9"/>
        <v>0</v>
      </c>
      <c r="Z25" s="7">
        <f t="shared" si="7"/>
        <v>0</v>
      </c>
      <c r="AA25" s="7">
        <f t="shared" si="8"/>
        <v>0</v>
      </c>
      <c r="AB25" s="17">
        <f t="shared" si="10"/>
        <v>0</v>
      </c>
      <c r="AC25" s="17">
        <f t="shared" si="11"/>
        <v>0</v>
      </c>
      <c r="AD25" s="17">
        <f t="shared" si="12"/>
        <v>0</v>
      </c>
    </row>
    <row r="26" spans="1:30" hidden="1" x14ac:dyDescent="0.3">
      <c r="A26" s="9" t="s">
        <v>72</v>
      </c>
      <c r="B26" s="10">
        <v>45859</v>
      </c>
      <c r="C26" s="5">
        <v>14891</v>
      </c>
      <c r="D26" s="6">
        <f t="shared" si="16"/>
        <v>463</v>
      </c>
      <c r="E26" s="5">
        <v>395</v>
      </c>
      <c r="F26" s="6">
        <f t="shared" si="16"/>
        <v>48</v>
      </c>
      <c r="G26" s="5">
        <v>4056</v>
      </c>
      <c r="H26" s="6">
        <f t="shared" si="17"/>
        <v>273</v>
      </c>
      <c r="I26" s="5">
        <v>3729</v>
      </c>
      <c r="J26" s="6">
        <f t="shared" si="18"/>
        <v>116</v>
      </c>
      <c r="K26" s="5">
        <v>203</v>
      </c>
      <c r="L26" s="6">
        <f t="shared" si="18"/>
        <v>10</v>
      </c>
      <c r="M26" s="5">
        <v>398</v>
      </c>
      <c r="N26" s="12">
        <f t="shared" si="19"/>
        <v>17</v>
      </c>
      <c r="O26" s="13">
        <v>5960</v>
      </c>
      <c r="P26" s="6">
        <f t="shared" si="20"/>
        <v>218</v>
      </c>
      <c r="Q26" s="5">
        <v>186</v>
      </c>
      <c r="R26" s="6">
        <f t="shared" si="3"/>
        <v>32</v>
      </c>
      <c r="S26" s="5">
        <v>3211</v>
      </c>
      <c r="T26" s="6">
        <f t="shared" si="21"/>
        <v>90</v>
      </c>
      <c r="U26" s="5">
        <v>1806</v>
      </c>
      <c r="V26" s="6">
        <f t="shared" si="5"/>
        <v>90</v>
      </c>
      <c r="W26" s="5">
        <v>180</v>
      </c>
      <c r="X26" s="6">
        <f t="shared" si="22"/>
        <v>5</v>
      </c>
      <c r="Y26" s="7">
        <f t="shared" si="9"/>
        <v>464</v>
      </c>
      <c r="Z26" s="7">
        <f t="shared" si="7"/>
        <v>217</v>
      </c>
      <c r="AA26" s="7">
        <f t="shared" si="8"/>
        <v>681</v>
      </c>
      <c r="AB26" s="17">
        <f t="shared" si="10"/>
        <v>1</v>
      </c>
      <c r="AC26" s="17">
        <f t="shared" si="11"/>
        <v>-1</v>
      </c>
      <c r="AD26" s="17">
        <f t="shared" si="12"/>
        <v>0</v>
      </c>
    </row>
    <row r="27" spans="1:30" hidden="1" x14ac:dyDescent="0.3">
      <c r="A27" s="9" t="s">
        <v>66</v>
      </c>
      <c r="B27" s="10">
        <v>45860</v>
      </c>
      <c r="C27" s="5">
        <v>15354</v>
      </c>
      <c r="D27" s="6">
        <f t="shared" si="16"/>
        <v>412</v>
      </c>
      <c r="E27" s="5">
        <v>443</v>
      </c>
      <c r="F27" s="6">
        <f t="shared" si="16"/>
        <v>52</v>
      </c>
      <c r="G27" s="5">
        <v>4329</v>
      </c>
      <c r="H27" s="6">
        <f t="shared" si="17"/>
        <v>247</v>
      </c>
      <c r="I27" s="5">
        <v>3845</v>
      </c>
      <c r="J27" s="6">
        <f t="shared" si="18"/>
        <v>90</v>
      </c>
      <c r="K27" s="5">
        <v>213</v>
      </c>
      <c r="L27" s="6">
        <f t="shared" si="18"/>
        <v>10</v>
      </c>
      <c r="M27" s="5">
        <v>415</v>
      </c>
      <c r="N27" s="12">
        <f t="shared" si="19"/>
        <v>15</v>
      </c>
      <c r="O27" s="13">
        <v>6178</v>
      </c>
      <c r="P27" s="6">
        <f t="shared" si="20"/>
        <v>207</v>
      </c>
      <c r="Q27" s="5">
        <v>218</v>
      </c>
      <c r="R27" s="6">
        <f t="shared" si="3"/>
        <v>35</v>
      </c>
      <c r="S27" s="5">
        <v>3301</v>
      </c>
      <c r="T27" s="6">
        <f t="shared" si="21"/>
        <v>78</v>
      </c>
      <c r="U27" s="5">
        <v>1896</v>
      </c>
      <c r="V27" s="6">
        <f t="shared" si="5"/>
        <v>87</v>
      </c>
      <c r="W27" s="5">
        <v>185</v>
      </c>
      <c r="X27" s="6">
        <f t="shared" si="22"/>
        <v>5</v>
      </c>
      <c r="Y27" s="7">
        <f t="shared" si="9"/>
        <v>414</v>
      </c>
      <c r="Z27" s="7">
        <f t="shared" si="7"/>
        <v>205</v>
      </c>
      <c r="AA27" s="7">
        <f t="shared" si="8"/>
        <v>619</v>
      </c>
      <c r="AB27" s="17">
        <f t="shared" si="10"/>
        <v>2</v>
      </c>
      <c r="AC27" s="17">
        <f t="shared" si="11"/>
        <v>-2</v>
      </c>
      <c r="AD27" s="17">
        <f t="shared" si="12"/>
        <v>0</v>
      </c>
    </row>
    <row r="28" spans="1:30" hidden="1" x14ac:dyDescent="0.3">
      <c r="A28" s="9" t="s">
        <v>67</v>
      </c>
      <c r="B28" s="10">
        <v>45861</v>
      </c>
      <c r="C28" s="5">
        <v>15766</v>
      </c>
      <c r="D28" s="6">
        <f t="shared" si="16"/>
        <v>422</v>
      </c>
      <c r="E28" s="5">
        <v>495</v>
      </c>
      <c r="F28" s="6">
        <f t="shared" si="16"/>
        <v>49</v>
      </c>
      <c r="G28" s="5">
        <v>4576</v>
      </c>
      <c r="H28" s="6">
        <f t="shared" si="17"/>
        <v>288</v>
      </c>
      <c r="I28" s="5">
        <v>3935</v>
      </c>
      <c r="J28" s="6">
        <f t="shared" si="18"/>
        <v>66</v>
      </c>
      <c r="K28" s="5">
        <v>223</v>
      </c>
      <c r="L28" s="6">
        <f t="shared" si="18"/>
        <v>10</v>
      </c>
      <c r="M28" s="5">
        <v>430</v>
      </c>
      <c r="N28" s="12">
        <f t="shared" si="19"/>
        <v>12</v>
      </c>
      <c r="O28" s="13">
        <v>6385</v>
      </c>
      <c r="P28" s="6">
        <f t="shared" si="20"/>
        <v>160</v>
      </c>
      <c r="Q28" s="5">
        <v>253</v>
      </c>
      <c r="R28" s="6">
        <f t="shared" si="3"/>
        <v>25</v>
      </c>
      <c r="S28" s="5">
        <v>3379</v>
      </c>
      <c r="T28" s="6">
        <f t="shared" si="21"/>
        <v>59</v>
      </c>
      <c r="U28" s="5">
        <v>1983</v>
      </c>
      <c r="V28" s="6">
        <f t="shared" si="5"/>
        <v>76</v>
      </c>
      <c r="W28" s="5">
        <v>190</v>
      </c>
      <c r="X28" s="6">
        <f t="shared" si="22"/>
        <v>2</v>
      </c>
      <c r="Y28" s="7">
        <f t="shared" si="9"/>
        <v>425</v>
      </c>
      <c r="Z28" s="7">
        <f t="shared" si="7"/>
        <v>162</v>
      </c>
      <c r="AA28" s="7">
        <f t="shared" si="8"/>
        <v>587</v>
      </c>
      <c r="AB28" s="17">
        <f t="shared" si="10"/>
        <v>3</v>
      </c>
      <c r="AC28" s="17">
        <f t="shared" si="11"/>
        <v>2</v>
      </c>
      <c r="AD28" s="17">
        <f t="shared" si="12"/>
        <v>5</v>
      </c>
    </row>
    <row r="29" spans="1:30" hidden="1" x14ac:dyDescent="0.3">
      <c r="A29" s="9" t="s">
        <v>68</v>
      </c>
      <c r="B29" s="10">
        <v>45862</v>
      </c>
      <c r="C29" s="5">
        <v>16188</v>
      </c>
      <c r="D29" s="6">
        <f t="shared" si="16"/>
        <v>392</v>
      </c>
      <c r="E29" s="5">
        <v>544</v>
      </c>
      <c r="F29" s="6">
        <f t="shared" si="16"/>
        <v>55</v>
      </c>
      <c r="G29" s="5">
        <v>4864</v>
      </c>
      <c r="H29" s="6">
        <f t="shared" si="17"/>
        <v>255</v>
      </c>
      <c r="I29" s="5">
        <v>4001</v>
      </c>
      <c r="J29" s="6">
        <f t="shared" si="18"/>
        <v>61</v>
      </c>
      <c r="K29" s="5">
        <v>233</v>
      </c>
      <c r="L29" s="6">
        <f t="shared" si="18"/>
        <v>5</v>
      </c>
      <c r="M29" s="5">
        <v>442</v>
      </c>
      <c r="N29" s="12">
        <f t="shared" si="19"/>
        <v>13</v>
      </c>
      <c r="O29" s="13">
        <v>6545</v>
      </c>
      <c r="P29" s="6">
        <f t="shared" si="20"/>
        <v>168</v>
      </c>
      <c r="Q29" s="5">
        <v>278</v>
      </c>
      <c r="R29" s="6">
        <f t="shared" si="3"/>
        <v>22</v>
      </c>
      <c r="S29" s="5">
        <v>3438</v>
      </c>
      <c r="T29" s="6">
        <f t="shared" si="21"/>
        <v>52</v>
      </c>
      <c r="U29" s="5">
        <v>2059</v>
      </c>
      <c r="V29" s="6">
        <f t="shared" si="5"/>
        <v>84</v>
      </c>
      <c r="W29" s="5">
        <v>192</v>
      </c>
      <c r="X29" s="6">
        <f t="shared" si="22"/>
        <v>5</v>
      </c>
      <c r="Y29" s="7">
        <f t="shared" si="9"/>
        <v>389</v>
      </c>
      <c r="Z29" s="7">
        <f t="shared" si="7"/>
        <v>163</v>
      </c>
      <c r="AA29" s="7">
        <f t="shared" si="8"/>
        <v>552</v>
      </c>
      <c r="AB29" s="17">
        <f t="shared" si="10"/>
        <v>-3</v>
      </c>
      <c r="AC29" s="17">
        <f t="shared" si="11"/>
        <v>-5</v>
      </c>
      <c r="AD29" s="17">
        <f t="shared" si="12"/>
        <v>-8</v>
      </c>
    </row>
    <row r="30" spans="1:30" hidden="1" x14ac:dyDescent="0.3">
      <c r="A30" s="9" t="s">
        <v>69</v>
      </c>
      <c r="B30" s="10">
        <v>45863</v>
      </c>
      <c r="C30" s="5">
        <v>16580</v>
      </c>
      <c r="D30" s="6">
        <f t="shared" si="16"/>
        <v>465</v>
      </c>
      <c r="E30" s="5">
        <v>599</v>
      </c>
      <c r="F30" s="6">
        <f t="shared" si="16"/>
        <v>63</v>
      </c>
      <c r="G30" s="5">
        <v>5119</v>
      </c>
      <c r="H30" s="6">
        <f t="shared" si="17"/>
        <v>316</v>
      </c>
      <c r="I30" s="5">
        <v>4062</v>
      </c>
      <c r="J30" s="6">
        <f t="shared" si="18"/>
        <v>65</v>
      </c>
      <c r="K30" s="5">
        <v>238</v>
      </c>
      <c r="L30" s="6">
        <f t="shared" si="18"/>
        <v>8</v>
      </c>
      <c r="M30" s="5">
        <v>455</v>
      </c>
      <c r="N30" s="12">
        <f t="shared" si="19"/>
        <v>15</v>
      </c>
      <c r="O30" s="13">
        <v>6713</v>
      </c>
      <c r="P30" s="6">
        <f t="shared" si="20"/>
        <v>224</v>
      </c>
      <c r="Q30" s="5">
        <v>300</v>
      </c>
      <c r="R30" s="6">
        <f t="shared" si="3"/>
        <v>28</v>
      </c>
      <c r="S30" s="5">
        <v>3490</v>
      </c>
      <c r="T30" s="6">
        <f t="shared" si="21"/>
        <v>62</v>
      </c>
      <c r="U30" s="5">
        <v>2143</v>
      </c>
      <c r="V30" s="6">
        <f t="shared" si="5"/>
        <v>131</v>
      </c>
      <c r="W30" s="5">
        <v>197</v>
      </c>
      <c r="X30" s="6">
        <f t="shared" si="22"/>
        <v>4</v>
      </c>
      <c r="Y30" s="7">
        <f t="shared" si="9"/>
        <v>467</v>
      </c>
      <c r="Z30" s="7">
        <f t="shared" si="7"/>
        <v>225</v>
      </c>
      <c r="AA30" s="7">
        <f t="shared" si="8"/>
        <v>692</v>
      </c>
      <c r="AB30" s="17">
        <f t="shared" si="10"/>
        <v>2</v>
      </c>
      <c r="AC30" s="17">
        <f t="shared" si="11"/>
        <v>1</v>
      </c>
      <c r="AD30" s="17">
        <f t="shared" si="12"/>
        <v>3</v>
      </c>
    </row>
    <row r="31" spans="1:30" hidden="1" x14ac:dyDescent="0.3">
      <c r="A31" s="9" t="s">
        <v>70</v>
      </c>
      <c r="B31" s="10">
        <v>45864</v>
      </c>
      <c r="C31" s="5">
        <v>17045</v>
      </c>
      <c r="D31" s="6">
        <f t="shared" ref="D31:F35" si="23">IF(C32&lt;&gt;"",C32-C31,"")</f>
        <v>480</v>
      </c>
      <c r="E31" s="5">
        <v>662</v>
      </c>
      <c r="F31" s="6">
        <f t="shared" si="23"/>
        <v>29</v>
      </c>
      <c r="G31" s="5">
        <v>5435</v>
      </c>
      <c r="H31" s="6">
        <f t="shared" si="17"/>
        <v>190</v>
      </c>
      <c r="I31" s="5">
        <v>4127</v>
      </c>
      <c r="J31" s="6">
        <f t="shared" ref="J31:L35" si="24">IF(I32&lt;&gt;"",I32-I31,"")</f>
        <v>62</v>
      </c>
      <c r="K31" s="5">
        <v>246</v>
      </c>
      <c r="L31" s="6">
        <f t="shared" si="24"/>
        <v>5</v>
      </c>
      <c r="M31" s="5">
        <v>470</v>
      </c>
      <c r="N31" s="12">
        <f t="shared" si="19"/>
        <v>10</v>
      </c>
      <c r="O31" s="13">
        <v>6937</v>
      </c>
      <c r="P31" s="6">
        <f t="shared" si="20"/>
        <v>188</v>
      </c>
      <c r="Q31" s="5">
        <v>328</v>
      </c>
      <c r="R31" s="6">
        <f t="shared" si="3"/>
        <v>17</v>
      </c>
      <c r="S31" s="5">
        <v>3552</v>
      </c>
      <c r="T31" s="6">
        <f t="shared" si="21"/>
        <v>47</v>
      </c>
      <c r="U31" s="5">
        <v>2274</v>
      </c>
      <c r="V31" s="6">
        <f t="shared" si="5"/>
        <v>50</v>
      </c>
      <c r="W31" s="5">
        <v>201</v>
      </c>
      <c r="X31" s="6">
        <f t="shared" si="22"/>
        <v>4</v>
      </c>
      <c r="Y31" s="7">
        <f t="shared" si="9"/>
        <v>296</v>
      </c>
      <c r="Z31" s="7">
        <f t="shared" si="7"/>
        <v>118</v>
      </c>
      <c r="AA31" s="7">
        <f t="shared" si="8"/>
        <v>414</v>
      </c>
      <c r="AB31" s="17">
        <f t="shared" si="10"/>
        <v>-184</v>
      </c>
      <c r="AC31" s="17">
        <f t="shared" si="11"/>
        <v>-70</v>
      </c>
      <c r="AD31" s="17">
        <f t="shared" si="12"/>
        <v>-254</v>
      </c>
    </row>
    <row r="32" spans="1:30" hidden="1" x14ac:dyDescent="0.3">
      <c r="A32" s="9" t="s">
        <v>71</v>
      </c>
      <c r="B32" s="10">
        <v>45865</v>
      </c>
      <c r="C32" s="5">
        <v>17525</v>
      </c>
      <c r="D32" s="6">
        <f t="shared" si="23"/>
        <v>0</v>
      </c>
      <c r="E32" s="5">
        <v>691</v>
      </c>
      <c r="F32" s="6">
        <f t="shared" si="23"/>
        <v>0</v>
      </c>
      <c r="G32" s="5">
        <v>5625</v>
      </c>
      <c r="H32" s="6">
        <f t="shared" si="17"/>
        <v>0</v>
      </c>
      <c r="I32" s="5">
        <v>4189</v>
      </c>
      <c r="J32" s="6">
        <f t="shared" si="24"/>
        <v>0</v>
      </c>
      <c r="K32" s="5">
        <v>251</v>
      </c>
      <c r="L32" s="6">
        <f t="shared" si="24"/>
        <v>0</v>
      </c>
      <c r="M32" s="5">
        <v>480</v>
      </c>
      <c r="N32" s="12">
        <f t="shared" si="19"/>
        <v>0</v>
      </c>
      <c r="O32" s="13">
        <v>7125</v>
      </c>
      <c r="P32" s="6">
        <f t="shared" si="20"/>
        <v>0</v>
      </c>
      <c r="Q32" s="5">
        <v>345</v>
      </c>
      <c r="R32" s="6">
        <f t="shared" si="3"/>
        <v>0</v>
      </c>
      <c r="S32" s="5">
        <v>3599</v>
      </c>
      <c r="T32" s="6">
        <f t="shared" si="21"/>
        <v>0</v>
      </c>
      <c r="U32" s="5">
        <v>2324</v>
      </c>
      <c r="V32" s="6">
        <f t="shared" si="5"/>
        <v>0</v>
      </c>
      <c r="W32" s="5">
        <v>205</v>
      </c>
      <c r="X32" s="6">
        <f t="shared" si="22"/>
        <v>0</v>
      </c>
      <c r="Y32" s="7">
        <f t="shared" si="9"/>
        <v>0</v>
      </c>
      <c r="Z32" s="7">
        <f t="shared" si="7"/>
        <v>0</v>
      </c>
      <c r="AA32" s="7">
        <f t="shared" si="8"/>
        <v>0</v>
      </c>
      <c r="AB32" s="17">
        <f t="shared" si="10"/>
        <v>0</v>
      </c>
      <c r="AC32" s="17">
        <f t="shared" si="11"/>
        <v>0</v>
      </c>
      <c r="AD32" s="17">
        <f t="shared" si="12"/>
        <v>0</v>
      </c>
    </row>
    <row r="33" spans="1:30" hidden="1" x14ac:dyDescent="0.3">
      <c r="A33" s="9" t="s">
        <v>72</v>
      </c>
      <c r="B33" s="10">
        <v>45866</v>
      </c>
      <c r="C33" s="5">
        <v>17525</v>
      </c>
      <c r="D33" s="6">
        <f t="shared" si="23"/>
        <v>348</v>
      </c>
      <c r="E33" s="5">
        <v>691</v>
      </c>
      <c r="F33" s="6">
        <f t="shared" si="23"/>
        <v>106</v>
      </c>
      <c r="G33" s="5">
        <v>5625</v>
      </c>
      <c r="H33" s="6">
        <f t="shared" si="17"/>
        <v>319</v>
      </c>
      <c r="I33" s="5">
        <v>4189</v>
      </c>
      <c r="J33" s="6">
        <f t="shared" si="24"/>
        <v>80</v>
      </c>
      <c r="K33" s="5">
        <v>251</v>
      </c>
      <c r="L33" s="6">
        <f t="shared" si="24"/>
        <v>10</v>
      </c>
      <c r="M33" s="5">
        <v>480</v>
      </c>
      <c r="N33" s="12">
        <f t="shared" si="19"/>
        <v>18</v>
      </c>
      <c r="O33" s="13">
        <v>7125</v>
      </c>
      <c r="P33" s="6">
        <f t="shared" si="20"/>
        <v>148</v>
      </c>
      <c r="Q33" s="5">
        <v>345</v>
      </c>
      <c r="R33" s="6">
        <f t="shared" si="3"/>
        <v>20</v>
      </c>
      <c r="S33" s="5">
        <v>3599</v>
      </c>
      <c r="T33" s="6">
        <f t="shared" si="21"/>
        <v>77</v>
      </c>
      <c r="U33" s="5">
        <v>2324</v>
      </c>
      <c r="V33" s="6">
        <f t="shared" si="5"/>
        <v>112</v>
      </c>
      <c r="W33" s="5">
        <v>205</v>
      </c>
      <c r="X33" s="6">
        <f t="shared" si="22"/>
        <v>6</v>
      </c>
      <c r="Y33" s="7">
        <f t="shared" si="9"/>
        <v>533</v>
      </c>
      <c r="Z33" s="7">
        <f t="shared" si="7"/>
        <v>215</v>
      </c>
      <c r="AA33" s="7">
        <f t="shared" si="8"/>
        <v>748</v>
      </c>
      <c r="AB33" s="17">
        <f t="shared" si="10"/>
        <v>185</v>
      </c>
      <c r="AC33" s="17">
        <f t="shared" si="11"/>
        <v>67</v>
      </c>
      <c r="AD33" s="17">
        <f t="shared" si="12"/>
        <v>252</v>
      </c>
    </row>
    <row r="34" spans="1:30" hidden="1" x14ac:dyDescent="0.3">
      <c r="A34" s="9" t="s">
        <v>66</v>
      </c>
      <c r="B34" s="10">
        <v>45867</v>
      </c>
      <c r="C34" s="5">
        <v>17873</v>
      </c>
      <c r="D34" s="6">
        <f t="shared" si="23"/>
        <v>504</v>
      </c>
      <c r="E34" s="5">
        <v>797</v>
      </c>
      <c r="F34" s="6">
        <f t="shared" si="23"/>
        <v>86</v>
      </c>
      <c r="G34" s="5">
        <v>5944</v>
      </c>
      <c r="H34" s="6">
        <f t="shared" si="17"/>
        <v>303</v>
      </c>
      <c r="I34" s="5">
        <v>4269</v>
      </c>
      <c r="J34" s="6">
        <f t="shared" si="24"/>
        <v>92</v>
      </c>
      <c r="K34" s="5">
        <v>261</v>
      </c>
      <c r="L34" s="6">
        <f t="shared" si="24"/>
        <v>9</v>
      </c>
      <c r="M34" s="5">
        <v>498</v>
      </c>
      <c r="N34" s="12">
        <f t="shared" si="19"/>
        <v>17</v>
      </c>
      <c r="O34" s="13">
        <v>7273</v>
      </c>
      <c r="P34" s="6">
        <f t="shared" si="20"/>
        <v>215</v>
      </c>
      <c r="Q34" s="5">
        <v>365</v>
      </c>
      <c r="R34" s="6">
        <f t="shared" si="3"/>
        <v>30</v>
      </c>
      <c r="S34" s="5">
        <v>3676</v>
      </c>
      <c r="T34" s="6">
        <f t="shared" si="21"/>
        <v>87</v>
      </c>
      <c r="U34" s="5">
        <v>2436</v>
      </c>
      <c r="V34" s="6">
        <f t="shared" si="5"/>
        <v>93</v>
      </c>
      <c r="W34" s="5">
        <v>211</v>
      </c>
      <c r="X34" s="6">
        <f t="shared" si="22"/>
        <v>4</v>
      </c>
      <c r="Y34" s="7">
        <f t="shared" si="9"/>
        <v>507</v>
      </c>
      <c r="Z34" s="7">
        <f t="shared" si="7"/>
        <v>214</v>
      </c>
      <c r="AA34" s="7">
        <f t="shared" si="8"/>
        <v>721</v>
      </c>
      <c r="AB34" s="17">
        <f t="shared" si="10"/>
        <v>3</v>
      </c>
      <c r="AC34" s="17">
        <f t="shared" si="11"/>
        <v>-1</v>
      </c>
      <c r="AD34" s="17">
        <f t="shared" si="12"/>
        <v>2</v>
      </c>
    </row>
    <row r="35" spans="1:30" hidden="1" x14ac:dyDescent="0.3">
      <c r="A35" s="9" t="s">
        <v>67</v>
      </c>
      <c r="B35" s="10">
        <v>45868</v>
      </c>
      <c r="C35" s="5">
        <v>18377</v>
      </c>
      <c r="D35" s="6">
        <f t="shared" si="23"/>
        <v>432</v>
      </c>
      <c r="E35" s="5">
        <v>883</v>
      </c>
      <c r="F35" s="6">
        <f t="shared" si="23"/>
        <v>64</v>
      </c>
      <c r="G35" s="5">
        <v>6247</v>
      </c>
      <c r="H35" s="6">
        <f t="shared" si="17"/>
        <v>253</v>
      </c>
      <c r="I35" s="5">
        <v>4361</v>
      </c>
      <c r="J35" s="6">
        <f t="shared" si="24"/>
        <v>91</v>
      </c>
      <c r="K35" s="5">
        <v>270</v>
      </c>
      <c r="L35" s="6">
        <f t="shared" si="24"/>
        <v>8</v>
      </c>
      <c r="M35" s="5">
        <v>515</v>
      </c>
      <c r="N35" s="12">
        <f t="shared" si="19"/>
        <v>16</v>
      </c>
      <c r="O35" s="13">
        <v>7488</v>
      </c>
      <c r="P35" s="6">
        <f t="shared" si="20"/>
        <v>271</v>
      </c>
      <c r="Q35" s="5">
        <v>395</v>
      </c>
      <c r="R35" s="6">
        <f t="shared" si="3"/>
        <v>83</v>
      </c>
      <c r="S35" s="5">
        <v>3763</v>
      </c>
      <c r="T35" s="6">
        <f t="shared" si="21"/>
        <v>90</v>
      </c>
      <c r="U35" s="5">
        <v>2529</v>
      </c>
      <c r="V35" s="6">
        <f t="shared" si="5"/>
        <v>92</v>
      </c>
      <c r="W35" s="5">
        <v>215</v>
      </c>
      <c r="X35" s="6">
        <f t="shared" si="22"/>
        <v>4</v>
      </c>
      <c r="Y35" s="7">
        <f t="shared" si="9"/>
        <v>432</v>
      </c>
      <c r="Z35" s="7">
        <f t="shared" si="7"/>
        <v>269</v>
      </c>
      <c r="AA35" s="7">
        <f t="shared" si="8"/>
        <v>701</v>
      </c>
      <c r="AB35" s="17">
        <f t="shared" si="10"/>
        <v>0</v>
      </c>
      <c r="AC35" s="17">
        <f t="shared" si="11"/>
        <v>-2</v>
      </c>
      <c r="AD35" s="17">
        <f t="shared" si="12"/>
        <v>-2</v>
      </c>
    </row>
    <row r="36" spans="1:30" hidden="1" x14ac:dyDescent="0.3">
      <c r="A36" s="9" t="s">
        <v>68</v>
      </c>
      <c r="B36" s="10">
        <v>45869</v>
      </c>
      <c r="C36" s="5">
        <v>18809</v>
      </c>
      <c r="D36" s="6">
        <f>IF(C38&lt;&gt;"",C38-C36,"")</f>
        <v>450</v>
      </c>
      <c r="E36" s="5">
        <v>947</v>
      </c>
      <c r="F36" s="6">
        <f>IF(E38&lt;&gt;"",E38-E36,"")</f>
        <v>57</v>
      </c>
      <c r="G36" s="5">
        <v>6500</v>
      </c>
      <c r="H36" s="6">
        <f>IF(G38&lt;&gt;"",G38-G36,"")</f>
        <v>297</v>
      </c>
      <c r="I36" s="5">
        <v>4452</v>
      </c>
      <c r="J36" s="6">
        <f>IF(I38&lt;&gt;"",I38-I36,"")</f>
        <v>71</v>
      </c>
      <c r="K36" s="5">
        <v>278</v>
      </c>
      <c r="L36" s="6">
        <f>IF(K38&lt;&gt;"",K38-K36,"")</f>
        <v>10</v>
      </c>
      <c r="M36" s="5">
        <v>531</v>
      </c>
      <c r="N36" s="12">
        <f>IF(M38&lt;&gt;"",M38-M36,"")</f>
        <v>13</v>
      </c>
      <c r="O36" s="13">
        <v>7759</v>
      </c>
      <c r="P36" s="6">
        <f>IF(O38&lt;&gt;"",O38-O36,"")</f>
        <v>233</v>
      </c>
      <c r="Q36" s="5">
        <v>478</v>
      </c>
      <c r="R36" s="6">
        <f>IF(Q38&lt;&gt;"",Q38-Q36,"")</f>
        <v>74</v>
      </c>
      <c r="S36" s="5">
        <v>3853</v>
      </c>
      <c r="T36" s="6">
        <f>IF(S38&lt;&gt;"",S38-S36,"")</f>
        <v>62</v>
      </c>
      <c r="U36" s="5">
        <v>2621</v>
      </c>
      <c r="V36" s="6">
        <f>IF(U38&lt;&gt;"",U38-U36,"")</f>
        <v>91</v>
      </c>
      <c r="W36" s="5">
        <v>219</v>
      </c>
      <c r="X36" s="6">
        <f>IF(W38&lt;&gt;"",W38-W36,"")</f>
        <v>4</v>
      </c>
      <c r="Y36" s="7">
        <f t="shared" si="9"/>
        <v>448</v>
      </c>
      <c r="Z36" s="7">
        <f t="shared" si="7"/>
        <v>231</v>
      </c>
      <c r="AA36" s="7">
        <f t="shared" si="8"/>
        <v>679</v>
      </c>
      <c r="AB36" s="17">
        <f t="shared" si="10"/>
        <v>-2</v>
      </c>
      <c r="AC36" s="17">
        <f t="shared" si="11"/>
        <v>-2</v>
      </c>
      <c r="AD36" s="17">
        <f t="shared" si="12"/>
        <v>-4</v>
      </c>
    </row>
    <row r="37" spans="1:30" ht="38.4" hidden="1" customHeight="1" x14ac:dyDescent="0.3">
      <c r="A37" s="152" t="s">
        <v>73</v>
      </c>
      <c r="B37" s="153"/>
      <c r="C37" s="8"/>
      <c r="D37" s="11">
        <f>SUM(D4:D35)</f>
        <v>10040</v>
      </c>
      <c r="E37" s="8"/>
      <c r="F37" s="11">
        <f>SUM(F4:F35)</f>
        <v>947</v>
      </c>
      <c r="G37" s="8"/>
      <c r="H37" s="11">
        <f>SUM(H4:H35)</f>
        <v>6477</v>
      </c>
      <c r="I37" s="8"/>
      <c r="J37" s="11">
        <f>SUM(J4:J35)</f>
        <v>1963</v>
      </c>
      <c r="K37" s="8"/>
      <c r="L37" s="11">
        <f>SUM(L4:L35)</f>
        <v>263</v>
      </c>
      <c r="M37" s="8"/>
      <c r="N37" s="14">
        <f>SUM(N4:N35)</f>
        <v>333</v>
      </c>
      <c r="O37" s="15"/>
      <c r="P37" s="11">
        <f>SUM(P4:P35)</f>
        <v>4261</v>
      </c>
      <c r="Q37" s="8"/>
      <c r="R37" s="11">
        <f>SUM(R4:R35)</f>
        <v>478</v>
      </c>
      <c r="S37" s="8"/>
      <c r="T37" s="11">
        <f>SUM(T4:T35)</f>
        <v>1708</v>
      </c>
      <c r="U37" s="8"/>
      <c r="V37" s="11">
        <f>SUM(V4:V35)</f>
        <v>2034</v>
      </c>
      <c r="W37" s="8"/>
      <c r="X37" s="11">
        <f>SUM(X4:X35)</f>
        <v>94</v>
      </c>
      <c r="Y37" s="7">
        <f>SUM(F37,H37,J37,L37,N37)</f>
        <v>9983</v>
      </c>
      <c r="Z37" s="7">
        <f>SUM(R37,T37,V37,X37)</f>
        <v>4314</v>
      </c>
      <c r="AA37" s="7">
        <f>SUM(F37,H37,J37,L37,N37,R37,T37,V37,X37)</f>
        <v>14297</v>
      </c>
      <c r="AB37" s="17">
        <f>Y37-D37</f>
        <v>-57</v>
      </c>
      <c r="AC37" s="17">
        <f t="shared" si="11"/>
        <v>53</v>
      </c>
      <c r="AD37" s="17">
        <f>AA37-(D37+P37)</f>
        <v>-4</v>
      </c>
    </row>
    <row r="38" spans="1:30" hidden="1" x14ac:dyDescent="0.3">
      <c r="A38" s="9" t="s">
        <v>69</v>
      </c>
      <c r="B38" s="33">
        <v>45870</v>
      </c>
      <c r="C38" s="5">
        <v>19259</v>
      </c>
      <c r="D38" s="6">
        <f>IF(C39&lt;&gt;"",C39-C38,"")</f>
        <v>423</v>
      </c>
      <c r="E38" s="5">
        <v>1004</v>
      </c>
      <c r="F38" s="6">
        <f>IF(E39&lt;&gt;"",E39-E38,"")</f>
        <v>56</v>
      </c>
      <c r="G38" s="5">
        <v>6797</v>
      </c>
      <c r="H38" s="6">
        <f t="shared" ref="H38:H46" si="25">IF(G39&lt;&gt;"",G39-G38,"")</f>
        <v>287</v>
      </c>
      <c r="I38" s="5">
        <v>4523</v>
      </c>
      <c r="J38" s="6">
        <f>IF(I39&lt;&gt;"",I39-I38,"")</f>
        <v>56</v>
      </c>
      <c r="K38" s="5">
        <v>288</v>
      </c>
      <c r="L38" s="6">
        <f>IF(K39&lt;&gt;"",K39-K38,"")</f>
        <v>11</v>
      </c>
      <c r="M38" s="5">
        <v>544</v>
      </c>
      <c r="N38" s="12">
        <f t="shared" ref="N38:N46" si="26">IF(M39&lt;&gt;"",M39-M38,"")</f>
        <v>15</v>
      </c>
      <c r="O38" s="13">
        <v>7992</v>
      </c>
      <c r="P38" s="6">
        <f t="shared" ref="P38:P46" si="27">IF(O39&lt;&gt;"",O39-O38,"")</f>
        <v>199</v>
      </c>
      <c r="Q38" s="5">
        <v>552</v>
      </c>
      <c r="R38" s="6">
        <f t="shared" ref="R38:R68" si="28">IF(Q39&lt;&gt;"",Q39-Q38,"")</f>
        <v>60</v>
      </c>
      <c r="S38" s="5">
        <v>3915</v>
      </c>
      <c r="T38" s="6">
        <f t="shared" ref="T38:T46" si="29">IF(S39&lt;&gt;"",S39-S38,"")</f>
        <v>49</v>
      </c>
      <c r="U38" s="5">
        <v>2712</v>
      </c>
      <c r="V38" s="6">
        <f t="shared" ref="V38:V68" si="30">IF(U39&lt;&gt;"",U39-U38,"")</f>
        <v>83</v>
      </c>
      <c r="W38" s="5">
        <v>223</v>
      </c>
      <c r="X38" s="6">
        <f t="shared" ref="X38:X46" si="31">IF(W39&lt;&gt;"",W39-W38,"")</f>
        <v>5</v>
      </c>
      <c r="Y38" s="7">
        <f>SUM(F38,H38,J38,L38,N38)</f>
        <v>425</v>
      </c>
      <c r="Z38" s="7">
        <f t="shared" ref="Z38:Z69" si="32">SUM(R38,T38,V38,X38)</f>
        <v>197</v>
      </c>
      <c r="AA38" s="7">
        <f t="shared" ref="AA38:AA69" si="33">SUM(F38,H38,J38,L38,N38,R38,T38,V38,X38)</f>
        <v>622</v>
      </c>
      <c r="AB38" s="17">
        <f>D38-Y38</f>
        <v>-2</v>
      </c>
      <c r="AC38" s="17">
        <f>P38-Z38</f>
        <v>2</v>
      </c>
      <c r="AD38" s="17">
        <f>(D38+P38)-AA38</f>
        <v>0</v>
      </c>
    </row>
    <row r="39" spans="1:30" ht="15.9" hidden="1" customHeight="1" x14ac:dyDescent="0.3">
      <c r="A39" s="9" t="s">
        <v>70</v>
      </c>
      <c r="B39" s="33">
        <v>45871</v>
      </c>
      <c r="C39" s="5">
        <v>19682</v>
      </c>
      <c r="D39" s="6">
        <f>IF(C40&lt;&gt;"",C40-C39,"")</f>
        <v>365</v>
      </c>
      <c r="E39" s="5">
        <v>1060</v>
      </c>
      <c r="F39" s="6">
        <f>IF(E40&lt;&gt;"",E40-E39,"")</f>
        <v>49</v>
      </c>
      <c r="G39" s="5">
        <v>7084</v>
      </c>
      <c r="H39" s="6">
        <f t="shared" si="25"/>
        <v>253</v>
      </c>
      <c r="I39" s="5">
        <v>4579</v>
      </c>
      <c r="J39" s="6">
        <f>IF(I40&lt;&gt;"",I40-I39,"")</f>
        <v>43</v>
      </c>
      <c r="K39" s="5">
        <v>299</v>
      </c>
      <c r="L39" s="6">
        <f>IF(K40&lt;&gt;"",K40-K39,"")</f>
        <v>8</v>
      </c>
      <c r="M39" s="5">
        <v>559</v>
      </c>
      <c r="N39" s="12">
        <f t="shared" si="26"/>
        <v>13</v>
      </c>
      <c r="O39" s="13">
        <v>8191</v>
      </c>
      <c r="P39" s="6">
        <f t="shared" si="27"/>
        <v>197</v>
      </c>
      <c r="Q39" s="5">
        <v>612</v>
      </c>
      <c r="R39" s="6">
        <f t="shared" si="28"/>
        <v>50</v>
      </c>
      <c r="S39" s="5">
        <v>3964</v>
      </c>
      <c r="T39" s="6">
        <f t="shared" si="29"/>
        <v>98</v>
      </c>
      <c r="U39" s="5">
        <v>2795</v>
      </c>
      <c r="V39" s="6">
        <f t="shared" si="30"/>
        <v>76</v>
      </c>
      <c r="W39" s="5">
        <v>228</v>
      </c>
      <c r="X39" s="6">
        <f t="shared" si="31"/>
        <v>8</v>
      </c>
      <c r="Y39" s="7">
        <f t="shared" ref="Y39:Y69" si="34">SUM(F39,H39,J39,L39,N39)</f>
        <v>366</v>
      </c>
      <c r="Z39" s="7">
        <f t="shared" si="32"/>
        <v>232</v>
      </c>
      <c r="AA39" s="7">
        <f t="shared" si="33"/>
        <v>598</v>
      </c>
      <c r="AB39" s="17">
        <f t="shared" ref="AB39:AB69" si="35">D39-Y39</f>
        <v>-1</v>
      </c>
      <c r="AC39" s="17">
        <f>P39-Z39</f>
        <v>-35</v>
      </c>
      <c r="AD39" s="17">
        <f>(D39+P39)-AA39</f>
        <v>-36</v>
      </c>
    </row>
    <row r="40" spans="1:30" hidden="1" x14ac:dyDescent="0.3">
      <c r="A40" s="9" t="s">
        <v>71</v>
      </c>
      <c r="B40" s="33">
        <v>45872</v>
      </c>
      <c r="C40" s="5">
        <v>20047</v>
      </c>
      <c r="D40" s="6">
        <f t="shared" ref="D40:F44" si="36">IF(C41&lt;&gt;"",C41-C40,"")</f>
        <v>0</v>
      </c>
      <c r="E40" s="5">
        <v>1109</v>
      </c>
      <c r="F40" s="6">
        <f t="shared" si="36"/>
        <v>0</v>
      </c>
      <c r="G40" s="5">
        <v>7337</v>
      </c>
      <c r="H40" s="6">
        <f t="shared" si="25"/>
        <v>0</v>
      </c>
      <c r="I40" s="5">
        <v>4622</v>
      </c>
      <c r="J40" s="6">
        <f t="shared" ref="J40:L41" si="37">IF(I41&lt;&gt;"",I41-I40,"")</f>
        <v>0</v>
      </c>
      <c r="K40" s="5">
        <v>307</v>
      </c>
      <c r="L40" s="6">
        <f t="shared" si="37"/>
        <v>0</v>
      </c>
      <c r="M40" s="5">
        <v>572</v>
      </c>
      <c r="N40" s="12">
        <f t="shared" si="26"/>
        <v>0</v>
      </c>
      <c r="O40" s="13">
        <v>8388</v>
      </c>
      <c r="P40" s="6">
        <f t="shared" si="27"/>
        <v>0</v>
      </c>
      <c r="Q40" s="5">
        <v>662</v>
      </c>
      <c r="R40" s="6">
        <f t="shared" si="28"/>
        <v>0</v>
      </c>
      <c r="S40" s="5">
        <v>4062</v>
      </c>
      <c r="T40" s="6">
        <f t="shared" si="29"/>
        <v>0</v>
      </c>
      <c r="U40" s="5">
        <v>2871</v>
      </c>
      <c r="V40" s="6">
        <f t="shared" si="30"/>
        <v>0</v>
      </c>
      <c r="W40" s="5">
        <v>236</v>
      </c>
      <c r="X40" s="6">
        <f t="shared" si="31"/>
        <v>0</v>
      </c>
      <c r="Y40" s="7">
        <f t="shared" si="34"/>
        <v>0</v>
      </c>
      <c r="Z40" s="7">
        <f>SUM(R40,T40,V40,X40)</f>
        <v>0</v>
      </c>
      <c r="AA40" s="7">
        <f t="shared" si="33"/>
        <v>0</v>
      </c>
      <c r="AB40" s="17">
        <f t="shared" si="35"/>
        <v>0</v>
      </c>
      <c r="AC40" s="17">
        <f t="shared" ref="AC40:AC69" si="38">P40-Z40</f>
        <v>0</v>
      </c>
      <c r="AD40" s="17">
        <f t="shared" ref="AD40:AD69" si="39">(D40+P40)-AA40</f>
        <v>0</v>
      </c>
    </row>
    <row r="41" spans="1:30" hidden="1" x14ac:dyDescent="0.3">
      <c r="A41" s="9" t="s">
        <v>72</v>
      </c>
      <c r="B41" s="33">
        <v>45873</v>
      </c>
      <c r="C41" s="5">
        <v>20047</v>
      </c>
      <c r="D41" s="6">
        <f t="shared" si="36"/>
        <v>427</v>
      </c>
      <c r="E41" s="5">
        <v>1109</v>
      </c>
      <c r="F41" s="6">
        <f t="shared" si="36"/>
        <v>51</v>
      </c>
      <c r="G41" s="5">
        <v>7337</v>
      </c>
      <c r="H41" s="6">
        <f t="shared" si="25"/>
        <v>266</v>
      </c>
      <c r="I41" s="5">
        <v>4622</v>
      </c>
      <c r="J41" s="6">
        <f t="shared" si="37"/>
        <v>90</v>
      </c>
      <c r="K41" s="5">
        <v>307</v>
      </c>
      <c r="L41" s="6">
        <f t="shared" si="37"/>
        <v>8</v>
      </c>
      <c r="M41" s="5">
        <v>572</v>
      </c>
      <c r="N41" s="12">
        <f t="shared" si="26"/>
        <v>12</v>
      </c>
      <c r="O41" s="13">
        <v>8388</v>
      </c>
      <c r="P41" s="6">
        <f t="shared" si="27"/>
        <v>217</v>
      </c>
      <c r="Q41" s="5">
        <v>662</v>
      </c>
      <c r="R41" s="6">
        <f t="shared" si="28"/>
        <v>47</v>
      </c>
      <c r="S41" s="5">
        <v>4062</v>
      </c>
      <c r="T41" s="6">
        <f t="shared" si="29"/>
        <v>49</v>
      </c>
      <c r="U41" s="5">
        <v>2871</v>
      </c>
      <c r="V41" s="6">
        <f t="shared" si="30"/>
        <v>84</v>
      </c>
      <c r="W41" s="5">
        <v>236</v>
      </c>
      <c r="X41" s="6">
        <f t="shared" si="31"/>
        <v>5</v>
      </c>
      <c r="Y41" s="7">
        <f>SUM(F41,H41,J41,L41,N41)</f>
        <v>427</v>
      </c>
      <c r="Z41" s="7">
        <f t="shared" si="32"/>
        <v>185</v>
      </c>
      <c r="AA41" s="7">
        <f t="shared" si="33"/>
        <v>612</v>
      </c>
      <c r="AB41" s="17">
        <f>D41-Y41</f>
        <v>0</v>
      </c>
      <c r="AC41" s="17">
        <f t="shared" si="38"/>
        <v>32</v>
      </c>
      <c r="AD41" s="17">
        <f t="shared" si="39"/>
        <v>32</v>
      </c>
    </row>
    <row r="42" spans="1:30" hidden="1" x14ac:dyDescent="0.3">
      <c r="A42" s="9" t="s">
        <v>66</v>
      </c>
      <c r="B42" s="33">
        <v>45874</v>
      </c>
      <c r="C42" s="5">
        <v>20474</v>
      </c>
      <c r="D42" s="6">
        <f>IF(C43&lt;&gt;"",C43-C42,"")</f>
        <v>484</v>
      </c>
      <c r="E42" s="5">
        <v>1160</v>
      </c>
      <c r="F42" s="6">
        <f>IF(E43&lt;&gt;"",E43-E42,"")</f>
        <v>59</v>
      </c>
      <c r="G42" s="5">
        <v>7603</v>
      </c>
      <c r="H42" s="6">
        <f t="shared" si="25"/>
        <v>304</v>
      </c>
      <c r="I42" s="5">
        <v>4712</v>
      </c>
      <c r="J42" s="6">
        <f>IF(I43&lt;&gt;"",I43-I42,"")</f>
        <v>99</v>
      </c>
      <c r="K42" s="5">
        <v>315</v>
      </c>
      <c r="L42" s="6">
        <f>IF(K43&lt;&gt;"",K43-K42,"")</f>
        <v>8</v>
      </c>
      <c r="M42" s="5">
        <v>584</v>
      </c>
      <c r="N42" s="12">
        <f t="shared" si="26"/>
        <v>15</v>
      </c>
      <c r="O42" s="13">
        <v>8605</v>
      </c>
      <c r="P42" s="6">
        <f t="shared" si="27"/>
        <v>235</v>
      </c>
      <c r="Q42" s="5">
        <v>709</v>
      </c>
      <c r="R42" s="6">
        <f t="shared" si="28"/>
        <v>60</v>
      </c>
      <c r="S42" s="5">
        <v>4111</v>
      </c>
      <c r="T42" s="6">
        <f t="shared" si="29"/>
        <v>81</v>
      </c>
      <c r="U42" s="5">
        <v>2955</v>
      </c>
      <c r="V42" s="6">
        <f t="shared" si="30"/>
        <v>82</v>
      </c>
      <c r="W42" s="5">
        <v>241</v>
      </c>
      <c r="X42" s="6">
        <f t="shared" si="31"/>
        <v>5</v>
      </c>
      <c r="Y42" s="7">
        <f t="shared" si="34"/>
        <v>485</v>
      </c>
      <c r="Z42" s="7">
        <f t="shared" si="32"/>
        <v>228</v>
      </c>
      <c r="AA42" s="7">
        <f t="shared" si="33"/>
        <v>713</v>
      </c>
      <c r="AB42" s="17">
        <f t="shared" si="35"/>
        <v>-1</v>
      </c>
      <c r="AC42" s="17">
        <f>P42-Z42</f>
        <v>7</v>
      </c>
      <c r="AD42" s="17">
        <f t="shared" si="39"/>
        <v>6</v>
      </c>
    </row>
    <row r="43" spans="1:30" hidden="1" x14ac:dyDescent="0.3">
      <c r="A43" s="9" t="s">
        <v>67</v>
      </c>
      <c r="B43" s="33">
        <v>45875</v>
      </c>
      <c r="C43" s="5">
        <v>20958</v>
      </c>
      <c r="D43" s="6">
        <f t="shared" si="36"/>
        <v>449</v>
      </c>
      <c r="E43" s="5">
        <v>1219</v>
      </c>
      <c r="F43" s="6">
        <f t="shared" si="36"/>
        <v>50</v>
      </c>
      <c r="G43" s="5">
        <v>7907</v>
      </c>
      <c r="H43" s="6">
        <f t="shared" si="25"/>
        <v>279</v>
      </c>
      <c r="I43" s="5">
        <v>4811</v>
      </c>
      <c r="J43" s="6">
        <f t="shared" ref="J43:L44" si="40">IF(I44&lt;&gt;"",I44-I43,"")</f>
        <v>94</v>
      </c>
      <c r="K43" s="5">
        <v>323</v>
      </c>
      <c r="L43" s="6">
        <f t="shared" si="40"/>
        <v>9</v>
      </c>
      <c r="M43" s="5">
        <v>599</v>
      </c>
      <c r="N43" s="12">
        <f t="shared" si="26"/>
        <v>17</v>
      </c>
      <c r="O43" s="13">
        <v>8840</v>
      </c>
      <c r="P43" s="6">
        <f t="shared" si="27"/>
        <v>242</v>
      </c>
      <c r="Q43" s="5">
        <v>769</v>
      </c>
      <c r="R43" s="6">
        <f t="shared" si="28"/>
        <v>56</v>
      </c>
      <c r="S43" s="5">
        <v>4192</v>
      </c>
      <c r="T43" s="6">
        <f t="shared" si="29"/>
        <v>100</v>
      </c>
      <c r="U43" s="5">
        <v>3037</v>
      </c>
      <c r="V43" s="6">
        <f t="shared" si="30"/>
        <v>80</v>
      </c>
      <c r="W43" s="5">
        <v>246</v>
      </c>
      <c r="X43" s="6">
        <f t="shared" si="31"/>
        <v>4</v>
      </c>
      <c r="Y43" s="7">
        <f t="shared" si="34"/>
        <v>449</v>
      </c>
      <c r="Z43" s="7">
        <f t="shared" si="32"/>
        <v>240</v>
      </c>
      <c r="AA43" s="7">
        <f>SUM(F43,H43,J43,L43,N43,R43,T43,V43,X43)</f>
        <v>689</v>
      </c>
      <c r="AB43" s="17">
        <f t="shared" si="35"/>
        <v>0</v>
      </c>
      <c r="AC43" s="17">
        <f t="shared" si="38"/>
        <v>2</v>
      </c>
      <c r="AD43" s="17">
        <f t="shared" si="39"/>
        <v>2</v>
      </c>
    </row>
    <row r="44" spans="1:30" hidden="1" x14ac:dyDescent="0.3">
      <c r="A44" s="9" t="s">
        <v>68</v>
      </c>
      <c r="B44" s="33">
        <v>45876</v>
      </c>
      <c r="C44" s="5">
        <v>21407</v>
      </c>
      <c r="D44" s="6">
        <f t="shared" si="36"/>
        <v>510</v>
      </c>
      <c r="E44" s="5">
        <v>1269</v>
      </c>
      <c r="F44" s="6">
        <f t="shared" si="36"/>
        <v>62</v>
      </c>
      <c r="G44" s="5">
        <v>8186</v>
      </c>
      <c r="H44" s="6">
        <f t="shared" si="25"/>
        <v>311</v>
      </c>
      <c r="I44" s="5">
        <v>4905</v>
      </c>
      <c r="J44" s="6">
        <f t="shared" si="40"/>
        <v>111</v>
      </c>
      <c r="K44" s="5">
        <v>332</v>
      </c>
      <c r="L44" s="6">
        <f t="shared" si="40"/>
        <v>12</v>
      </c>
      <c r="M44" s="5">
        <v>616</v>
      </c>
      <c r="N44" s="12">
        <f t="shared" si="26"/>
        <v>18</v>
      </c>
      <c r="O44" s="13">
        <v>9082</v>
      </c>
      <c r="P44" s="6">
        <f t="shared" si="27"/>
        <v>266</v>
      </c>
      <c r="Q44" s="5">
        <v>825</v>
      </c>
      <c r="R44" s="6">
        <f t="shared" si="28"/>
        <v>68</v>
      </c>
      <c r="S44" s="5">
        <v>4292</v>
      </c>
      <c r="T44" s="6">
        <f t="shared" si="29"/>
        <v>99</v>
      </c>
      <c r="U44" s="5">
        <v>3117</v>
      </c>
      <c r="V44" s="6">
        <f t="shared" si="30"/>
        <v>92</v>
      </c>
      <c r="W44" s="5">
        <v>250</v>
      </c>
      <c r="X44" s="6">
        <f t="shared" si="31"/>
        <v>7</v>
      </c>
      <c r="Y44" s="7">
        <f t="shared" si="34"/>
        <v>514</v>
      </c>
      <c r="Z44" s="7">
        <f t="shared" si="32"/>
        <v>266</v>
      </c>
      <c r="AA44" s="7">
        <f t="shared" si="33"/>
        <v>780</v>
      </c>
      <c r="AB44" s="17">
        <f t="shared" si="35"/>
        <v>-4</v>
      </c>
      <c r="AC44" s="17">
        <f t="shared" si="38"/>
        <v>0</v>
      </c>
      <c r="AD44" s="17">
        <f t="shared" si="39"/>
        <v>-4</v>
      </c>
    </row>
    <row r="45" spans="1:30" hidden="1" x14ac:dyDescent="0.3">
      <c r="A45" s="9" t="s">
        <v>69</v>
      </c>
      <c r="B45" s="33">
        <v>45877</v>
      </c>
      <c r="C45" s="5">
        <v>21917</v>
      </c>
      <c r="D45" s="6">
        <f>IF(C46&lt;&gt;"",C46-C45,"")</f>
        <v>433</v>
      </c>
      <c r="E45" s="5">
        <v>1331</v>
      </c>
      <c r="F45" s="6">
        <f>IF(E46&lt;&gt;"",E46-E45,"")</f>
        <v>58</v>
      </c>
      <c r="G45" s="5">
        <v>8497</v>
      </c>
      <c r="H45" s="6">
        <f t="shared" si="25"/>
        <v>272</v>
      </c>
      <c r="I45" s="5">
        <v>5016</v>
      </c>
      <c r="J45" s="6">
        <f>IF(I46&lt;&gt;"",I46-I45,"")</f>
        <v>89</v>
      </c>
      <c r="K45" s="5">
        <v>344</v>
      </c>
      <c r="L45" s="6">
        <f>IF(K46&lt;&gt;"",K46-K45,"")</f>
        <v>8</v>
      </c>
      <c r="M45" s="5">
        <v>634</v>
      </c>
      <c r="N45" s="12">
        <f t="shared" si="26"/>
        <v>13</v>
      </c>
      <c r="O45" s="13">
        <v>9348</v>
      </c>
      <c r="P45" s="6">
        <f t="shared" si="27"/>
        <v>210</v>
      </c>
      <c r="Q45" s="5">
        <v>893</v>
      </c>
      <c r="R45" s="6">
        <f t="shared" si="28"/>
        <v>50</v>
      </c>
      <c r="S45" s="5">
        <v>4391</v>
      </c>
      <c r="T45" s="6">
        <f t="shared" si="29"/>
        <v>94</v>
      </c>
      <c r="U45" s="5">
        <v>3209</v>
      </c>
      <c r="V45" s="6">
        <f t="shared" si="30"/>
        <v>57</v>
      </c>
      <c r="W45" s="5">
        <v>257</v>
      </c>
      <c r="X45" s="6">
        <f t="shared" si="31"/>
        <v>5</v>
      </c>
      <c r="Y45" s="7">
        <f t="shared" si="34"/>
        <v>440</v>
      </c>
      <c r="Z45" s="7">
        <f t="shared" si="32"/>
        <v>206</v>
      </c>
      <c r="AA45" s="7">
        <f t="shared" si="33"/>
        <v>646</v>
      </c>
      <c r="AB45" s="17">
        <f t="shared" si="35"/>
        <v>-7</v>
      </c>
      <c r="AC45" s="17">
        <f t="shared" si="38"/>
        <v>4</v>
      </c>
      <c r="AD45" s="17">
        <f t="shared" si="39"/>
        <v>-3</v>
      </c>
    </row>
    <row r="46" spans="1:30" hidden="1" x14ac:dyDescent="0.3">
      <c r="A46" s="9" t="s">
        <v>70</v>
      </c>
      <c r="B46" s="33">
        <v>45878</v>
      </c>
      <c r="C46" s="5">
        <v>22350</v>
      </c>
      <c r="D46" s="6">
        <f>IF(C47&lt;&gt;"",C47-C46,"")</f>
        <v>390</v>
      </c>
      <c r="E46" s="5">
        <v>1389</v>
      </c>
      <c r="F46" s="6">
        <f>IF(E47&lt;&gt;"",E47-E46,"")</f>
        <v>49</v>
      </c>
      <c r="G46" s="5">
        <v>8769</v>
      </c>
      <c r="H46" s="6">
        <f t="shared" si="25"/>
        <v>266</v>
      </c>
      <c r="I46" s="5">
        <v>5105</v>
      </c>
      <c r="J46" s="6">
        <f>IF(I47&lt;&gt;"",I47-I46,"")</f>
        <v>52</v>
      </c>
      <c r="K46" s="5">
        <v>352</v>
      </c>
      <c r="L46" s="6">
        <f>IF(K47&lt;&gt;"",K47-K46,"")</f>
        <v>6</v>
      </c>
      <c r="M46" s="5">
        <v>647</v>
      </c>
      <c r="N46" s="12">
        <f t="shared" si="26"/>
        <v>11</v>
      </c>
      <c r="O46" s="13">
        <v>9558</v>
      </c>
      <c r="P46" s="6">
        <f t="shared" si="27"/>
        <v>167</v>
      </c>
      <c r="Q46" s="5">
        <v>943</v>
      </c>
      <c r="R46" s="6">
        <f t="shared" si="28"/>
        <v>52</v>
      </c>
      <c r="S46" s="5">
        <v>4485</v>
      </c>
      <c r="T46" s="6">
        <f t="shared" si="29"/>
        <v>52</v>
      </c>
      <c r="U46" s="5">
        <v>3266</v>
      </c>
      <c r="V46" s="6">
        <f t="shared" si="30"/>
        <v>59</v>
      </c>
      <c r="W46" s="5">
        <v>262</v>
      </c>
      <c r="X46" s="6">
        <f t="shared" si="31"/>
        <v>3</v>
      </c>
      <c r="Y46" s="7">
        <f t="shared" si="34"/>
        <v>384</v>
      </c>
      <c r="Z46" s="7">
        <f t="shared" si="32"/>
        <v>166</v>
      </c>
      <c r="AA46" s="7">
        <f t="shared" si="33"/>
        <v>550</v>
      </c>
      <c r="AB46" s="17">
        <f t="shared" si="35"/>
        <v>6</v>
      </c>
      <c r="AC46" s="17">
        <f t="shared" si="38"/>
        <v>1</v>
      </c>
      <c r="AD46" s="17">
        <f t="shared" si="39"/>
        <v>7</v>
      </c>
    </row>
    <row r="47" spans="1:30" hidden="1" x14ac:dyDescent="0.3">
      <c r="A47" s="9" t="s">
        <v>71</v>
      </c>
      <c r="B47" s="33">
        <v>45879</v>
      </c>
      <c r="C47" s="5">
        <v>22740</v>
      </c>
      <c r="D47" s="6">
        <f t="shared" ref="D47:F62" si="41">IF(C48&lt;&gt;"",C48-C47,"")</f>
        <v>16</v>
      </c>
      <c r="E47" s="5">
        <v>1438</v>
      </c>
      <c r="F47" s="6">
        <f t="shared" si="41"/>
        <v>0</v>
      </c>
      <c r="G47" s="5">
        <v>9035</v>
      </c>
      <c r="H47" s="6">
        <f t="shared" ref="H47:H68" si="42">IF(G48&lt;&gt;"",G48-G47,"")</f>
        <v>0</v>
      </c>
      <c r="I47" s="5">
        <v>5157</v>
      </c>
      <c r="J47" s="6">
        <f t="shared" ref="J47:L62" si="43">IF(I48&lt;&gt;"",I48-I47,"")</f>
        <v>8</v>
      </c>
      <c r="K47" s="5">
        <v>358</v>
      </c>
      <c r="L47" s="6">
        <f t="shared" si="43"/>
        <v>5</v>
      </c>
      <c r="M47" s="5">
        <v>658</v>
      </c>
      <c r="N47" s="12">
        <f t="shared" ref="N47:N68" si="44">IF(M48&lt;&gt;"",M48-M47,"")</f>
        <v>2</v>
      </c>
      <c r="O47" s="13">
        <v>9725</v>
      </c>
      <c r="P47" s="6">
        <f t="shared" ref="P47:P68" si="45">IF(O48&lt;&gt;"",O48-O47,"")</f>
        <v>10</v>
      </c>
      <c r="Q47" s="5">
        <v>995</v>
      </c>
      <c r="R47" s="6">
        <f t="shared" si="28"/>
        <v>0</v>
      </c>
      <c r="S47" s="5">
        <v>4537</v>
      </c>
      <c r="T47" s="6">
        <f t="shared" ref="T47:T68" si="46">IF(S48&lt;&gt;"",S48-S47,"")</f>
        <v>6</v>
      </c>
      <c r="U47" s="5">
        <v>3325</v>
      </c>
      <c r="V47" s="6">
        <f t="shared" si="30"/>
        <v>0</v>
      </c>
      <c r="W47" s="5">
        <v>265</v>
      </c>
      <c r="X47" s="6">
        <f t="shared" ref="X47:X68" si="47">IF(W48&lt;&gt;"",W48-W47,"")</f>
        <v>4</v>
      </c>
      <c r="Y47" s="7">
        <f t="shared" si="34"/>
        <v>15</v>
      </c>
      <c r="Z47" s="7">
        <f t="shared" si="32"/>
        <v>10</v>
      </c>
      <c r="AA47" s="7">
        <f t="shared" si="33"/>
        <v>25</v>
      </c>
      <c r="AB47" s="17">
        <f t="shared" si="35"/>
        <v>1</v>
      </c>
      <c r="AC47" s="17">
        <f t="shared" si="38"/>
        <v>0</v>
      </c>
      <c r="AD47" s="17">
        <f t="shared" si="39"/>
        <v>1</v>
      </c>
    </row>
    <row r="48" spans="1:30" hidden="1" x14ac:dyDescent="0.3">
      <c r="A48" s="9" t="s">
        <v>72</v>
      </c>
      <c r="B48" s="33">
        <v>45880</v>
      </c>
      <c r="C48" s="5">
        <v>22756</v>
      </c>
      <c r="D48" s="6">
        <f t="shared" si="41"/>
        <v>485</v>
      </c>
      <c r="E48" s="5">
        <v>1438</v>
      </c>
      <c r="F48" s="6">
        <f t="shared" si="41"/>
        <v>60</v>
      </c>
      <c r="G48" s="5">
        <v>9035</v>
      </c>
      <c r="H48" s="6">
        <f t="shared" si="42"/>
        <v>306</v>
      </c>
      <c r="I48" s="5">
        <v>5165</v>
      </c>
      <c r="J48" s="6">
        <f t="shared" si="43"/>
        <v>98</v>
      </c>
      <c r="K48" s="5">
        <v>363</v>
      </c>
      <c r="L48" s="6">
        <f t="shared" si="43"/>
        <v>9</v>
      </c>
      <c r="M48" s="5">
        <v>660</v>
      </c>
      <c r="N48" s="12">
        <f t="shared" si="44"/>
        <v>14</v>
      </c>
      <c r="O48" s="13">
        <v>9735</v>
      </c>
      <c r="P48" s="6">
        <f t="shared" si="45"/>
        <v>228</v>
      </c>
      <c r="Q48" s="5">
        <v>995</v>
      </c>
      <c r="R48" s="6">
        <f t="shared" si="28"/>
        <v>57</v>
      </c>
      <c r="S48" s="5">
        <v>4543</v>
      </c>
      <c r="T48" s="6">
        <f t="shared" si="46"/>
        <v>100</v>
      </c>
      <c r="U48" s="5">
        <v>3325</v>
      </c>
      <c r="V48" s="6">
        <f t="shared" si="30"/>
        <v>63</v>
      </c>
      <c r="W48" s="5">
        <v>269</v>
      </c>
      <c r="X48" s="6">
        <f t="shared" si="47"/>
        <v>6</v>
      </c>
      <c r="Y48" s="7">
        <f t="shared" si="34"/>
        <v>487</v>
      </c>
      <c r="Z48" s="7">
        <f t="shared" si="32"/>
        <v>226</v>
      </c>
      <c r="AA48" s="7">
        <f t="shared" si="33"/>
        <v>713</v>
      </c>
      <c r="AB48" s="17">
        <f t="shared" si="35"/>
        <v>-2</v>
      </c>
      <c r="AC48" s="17">
        <f t="shared" si="38"/>
        <v>2</v>
      </c>
      <c r="AD48" s="17">
        <f t="shared" si="39"/>
        <v>0</v>
      </c>
    </row>
    <row r="49" spans="1:30" hidden="1" x14ac:dyDescent="0.3">
      <c r="A49" s="9" t="s">
        <v>66</v>
      </c>
      <c r="B49" s="33">
        <v>45881</v>
      </c>
      <c r="C49" s="5">
        <v>23241</v>
      </c>
      <c r="D49" s="6">
        <f t="shared" si="41"/>
        <v>430</v>
      </c>
      <c r="E49" s="5">
        <v>1498</v>
      </c>
      <c r="F49" s="6">
        <f t="shared" si="41"/>
        <v>56</v>
      </c>
      <c r="G49" s="5">
        <v>9341</v>
      </c>
      <c r="H49" s="6">
        <f t="shared" si="42"/>
        <v>265</v>
      </c>
      <c r="I49" s="5">
        <v>5263</v>
      </c>
      <c r="J49" s="6">
        <f t="shared" si="43"/>
        <v>85</v>
      </c>
      <c r="K49" s="5">
        <v>372</v>
      </c>
      <c r="L49" s="6">
        <f t="shared" si="43"/>
        <v>9</v>
      </c>
      <c r="M49" s="5">
        <v>674</v>
      </c>
      <c r="N49" s="12">
        <f t="shared" si="44"/>
        <v>15</v>
      </c>
      <c r="O49" s="13">
        <v>9963</v>
      </c>
      <c r="P49" s="6">
        <f t="shared" si="45"/>
        <v>232</v>
      </c>
      <c r="Q49" s="5">
        <v>1052</v>
      </c>
      <c r="R49" s="6">
        <f t="shared" si="28"/>
        <v>55</v>
      </c>
      <c r="S49" s="5">
        <v>4643</v>
      </c>
      <c r="T49" s="6">
        <f t="shared" si="46"/>
        <v>76</v>
      </c>
      <c r="U49" s="5">
        <v>3388</v>
      </c>
      <c r="V49" s="6">
        <f t="shared" si="30"/>
        <v>81</v>
      </c>
      <c r="W49" s="5">
        <v>275</v>
      </c>
      <c r="X49" s="6">
        <f>IF(W50&lt;&gt;"",W50-W49,"")</f>
        <v>17</v>
      </c>
      <c r="Y49" s="7">
        <f t="shared" si="34"/>
        <v>430</v>
      </c>
      <c r="Z49" s="7">
        <f t="shared" si="32"/>
        <v>229</v>
      </c>
      <c r="AA49" s="7">
        <f t="shared" si="33"/>
        <v>659</v>
      </c>
      <c r="AB49" s="17">
        <f t="shared" si="35"/>
        <v>0</v>
      </c>
      <c r="AC49" s="17">
        <f t="shared" si="38"/>
        <v>3</v>
      </c>
      <c r="AD49" s="17">
        <f t="shared" si="39"/>
        <v>3</v>
      </c>
    </row>
    <row r="50" spans="1:30" hidden="1" x14ac:dyDescent="0.3">
      <c r="A50" s="9" t="s">
        <v>67</v>
      </c>
      <c r="B50" s="33">
        <v>45882</v>
      </c>
      <c r="C50" s="5">
        <v>23671</v>
      </c>
      <c r="D50" s="6">
        <f t="shared" si="41"/>
        <v>482</v>
      </c>
      <c r="E50" s="5">
        <v>1554</v>
      </c>
      <c r="F50" s="6">
        <f t="shared" si="41"/>
        <v>71</v>
      </c>
      <c r="G50" s="5">
        <v>9606</v>
      </c>
      <c r="H50" s="6">
        <f t="shared" si="42"/>
        <v>275</v>
      </c>
      <c r="I50" s="5">
        <v>5348</v>
      </c>
      <c r="J50" s="6">
        <f t="shared" si="43"/>
        <v>106</v>
      </c>
      <c r="K50" s="5">
        <v>381</v>
      </c>
      <c r="L50" s="6">
        <f t="shared" si="43"/>
        <v>10</v>
      </c>
      <c r="M50" s="5">
        <v>689</v>
      </c>
      <c r="N50" s="12">
        <f t="shared" si="44"/>
        <v>21</v>
      </c>
      <c r="O50" s="13">
        <v>10195</v>
      </c>
      <c r="P50" s="6">
        <f t="shared" si="45"/>
        <v>273</v>
      </c>
      <c r="Q50" s="5">
        <v>1107</v>
      </c>
      <c r="R50" s="6">
        <f t="shared" si="28"/>
        <v>60</v>
      </c>
      <c r="S50" s="5">
        <v>4719</v>
      </c>
      <c r="T50" s="6">
        <f t="shared" si="46"/>
        <v>90</v>
      </c>
      <c r="U50" s="5">
        <v>3469</v>
      </c>
      <c r="V50" s="6">
        <f t="shared" si="30"/>
        <v>87</v>
      </c>
      <c r="W50" s="5">
        <v>292</v>
      </c>
      <c r="X50" s="6">
        <f t="shared" si="47"/>
        <v>30</v>
      </c>
      <c r="Y50" s="7">
        <f t="shared" si="34"/>
        <v>483</v>
      </c>
      <c r="Z50" s="7">
        <f t="shared" si="32"/>
        <v>267</v>
      </c>
      <c r="AA50" s="7">
        <f t="shared" si="33"/>
        <v>750</v>
      </c>
      <c r="AB50" s="17">
        <f t="shared" si="35"/>
        <v>-1</v>
      </c>
      <c r="AC50" s="17">
        <f t="shared" si="38"/>
        <v>6</v>
      </c>
      <c r="AD50" s="17">
        <f t="shared" si="39"/>
        <v>5</v>
      </c>
    </row>
    <row r="51" spans="1:30" hidden="1" x14ac:dyDescent="0.3">
      <c r="A51" s="9" t="s">
        <v>68</v>
      </c>
      <c r="B51" s="33">
        <v>45883</v>
      </c>
      <c r="C51" s="5">
        <v>24153</v>
      </c>
      <c r="D51" s="6">
        <f t="shared" si="41"/>
        <v>0</v>
      </c>
      <c r="E51" s="5">
        <v>1625</v>
      </c>
      <c r="F51" s="6">
        <f t="shared" si="41"/>
        <v>0</v>
      </c>
      <c r="G51" s="5">
        <v>9881</v>
      </c>
      <c r="H51" s="6">
        <f t="shared" si="42"/>
        <v>0</v>
      </c>
      <c r="I51" s="5">
        <v>5454</v>
      </c>
      <c r="J51" s="6">
        <f t="shared" si="43"/>
        <v>0</v>
      </c>
      <c r="K51" s="5">
        <v>391</v>
      </c>
      <c r="L51" s="6">
        <f t="shared" si="43"/>
        <v>0</v>
      </c>
      <c r="M51" s="5">
        <v>710</v>
      </c>
      <c r="N51" s="12">
        <f t="shared" si="44"/>
        <v>0</v>
      </c>
      <c r="O51" s="13">
        <v>10468</v>
      </c>
      <c r="P51" s="6">
        <f t="shared" si="45"/>
        <v>0</v>
      </c>
      <c r="Q51" s="5">
        <v>1167</v>
      </c>
      <c r="R51" s="6">
        <f t="shared" si="28"/>
        <v>0</v>
      </c>
      <c r="S51" s="5">
        <v>4809</v>
      </c>
      <c r="T51" s="6">
        <f t="shared" si="46"/>
        <v>0</v>
      </c>
      <c r="U51" s="5">
        <v>3556</v>
      </c>
      <c r="V51" s="6">
        <f t="shared" si="30"/>
        <v>0</v>
      </c>
      <c r="W51" s="5">
        <v>322</v>
      </c>
      <c r="X51" s="6">
        <f t="shared" si="47"/>
        <v>0</v>
      </c>
      <c r="Y51" s="7">
        <f t="shared" si="34"/>
        <v>0</v>
      </c>
      <c r="Z51" s="7">
        <f t="shared" si="32"/>
        <v>0</v>
      </c>
      <c r="AA51" s="7">
        <f t="shared" si="33"/>
        <v>0</v>
      </c>
      <c r="AB51" s="17">
        <f t="shared" si="35"/>
        <v>0</v>
      </c>
      <c r="AC51" s="17">
        <f t="shared" si="38"/>
        <v>0</v>
      </c>
      <c r="AD51" s="17">
        <f t="shared" si="39"/>
        <v>0</v>
      </c>
    </row>
    <row r="52" spans="1:30" hidden="1" x14ac:dyDescent="0.3">
      <c r="A52" s="9" t="s">
        <v>69</v>
      </c>
      <c r="B52" s="33">
        <v>45884</v>
      </c>
      <c r="C52" s="5">
        <v>24153</v>
      </c>
      <c r="D52" s="6">
        <f t="shared" si="41"/>
        <v>537</v>
      </c>
      <c r="E52" s="5">
        <v>1625</v>
      </c>
      <c r="F52" s="6">
        <f t="shared" si="41"/>
        <v>89</v>
      </c>
      <c r="G52" s="5">
        <v>9881</v>
      </c>
      <c r="H52" s="6">
        <f t="shared" si="42"/>
        <v>318</v>
      </c>
      <c r="I52" s="5">
        <v>5454</v>
      </c>
      <c r="J52" s="6">
        <f t="shared" si="43"/>
        <v>97</v>
      </c>
      <c r="K52" s="5">
        <v>391</v>
      </c>
      <c r="L52" s="6">
        <f t="shared" si="43"/>
        <v>11</v>
      </c>
      <c r="M52" s="5">
        <v>710</v>
      </c>
      <c r="N52" s="12">
        <f t="shared" si="44"/>
        <v>19</v>
      </c>
      <c r="O52" s="13">
        <v>10468</v>
      </c>
      <c r="P52" s="6">
        <f t="shared" si="45"/>
        <v>293</v>
      </c>
      <c r="Q52" s="5">
        <v>1167</v>
      </c>
      <c r="R52" s="6">
        <f t="shared" si="28"/>
        <v>80</v>
      </c>
      <c r="S52" s="5">
        <v>4809</v>
      </c>
      <c r="T52" s="6">
        <f t="shared" si="46"/>
        <v>90</v>
      </c>
      <c r="U52" s="5">
        <v>3556</v>
      </c>
      <c r="V52" s="6">
        <f t="shared" si="30"/>
        <v>112</v>
      </c>
      <c r="W52" s="5">
        <v>322</v>
      </c>
      <c r="X52" s="6">
        <f t="shared" si="47"/>
        <v>9</v>
      </c>
      <c r="Y52" s="7">
        <f t="shared" si="34"/>
        <v>534</v>
      </c>
      <c r="Z52" s="7">
        <f t="shared" si="32"/>
        <v>291</v>
      </c>
      <c r="AA52" s="7">
        <f t="shared" si="33"/>
        <v>825</v>
      </c>
      <c r="AB52" s="17">
        <f t="shared" si="35"/>
        <v>3</v>
      </c>
      <c r="AC52" s="17">
        <f t="shared" si="38"/>
        <v>2</v>
      </c>
      <c r="AD52" s="17">
        <f t="shared" si="39"/>
        <v>5</v>
      </c>
    </row>
    <row r="53" spans="1:30" hidden="1" x14ac:dyDescent="0.3">
      <c r="A53" s="9" t="s">
        <v>70</v>
      </c>
      <c r="B53" s="33">
        <v>45885</v>
      </c>
      <c r="C53" s="5">
        <v>24690</v>
      </c>
      <c r="D53" s="6">
        <f t="shared" si="41"/>
        <v>357</v>
      </c>
      <c r="E53" s="5">
        <v>1714</v>
      </c>
      <c r="F53" s="6">
        <f t="shared" si="41"/>
        <v>60</v>
      </c>
      <c r="G53" s="5">
        <v>10199</v>
      </c>
      <c r="H53" s="6">
        <f t="shared" si="42"/>
        <v>199</v>
      </c>
      <c r="I53" s="5">
        <v>5551</v>
      </c>
      <c r="J53" s="6">
        <f t="shared" si="43"/>
        <v>81</v>
      </c>
      <c r="K53" s="5">
        <v>402</v>
      </c>
      <c r="L53" s="6">
        <f t="shared" si="43"/>
        <v>11</v>
      </c>
      <c r="M53" s="5">
        <v>729</v>
      </c>
      <c r="N53" s="12">
        <f t="shared" si="44"/>
        <v>12</v>
      </c>
      <c r="O53" s="13">
        <v>10761</v>
      </c>
      <c r="P53" s="6">
        <f t="shared" si="45"/>
        <v>223</v>
      </c>
      <c r="Q53" s="5">
        <v>1247</v>
      </c>
      <c r="R53" s="6">
        <f t="shared" si="28"/>
        <v>54</v>
      </c>
      <c r="S53" s="5">
        <v>4899</v>
      </c>
      <c r="T53" s="6">
        <f t="shared" si="46"/>
        <v>68</v>
      </c>
      <c r="U53" s="5">
        <v>3668</v>
      </c>
      <c r="V53" s="6">
        <f t="shared" si="30"/>
        <v>91</v>
      </c>
      <c r="W53" s="5">
        <v>331</v>
      </c>
      <c r="X53" s="6">
        <f t="shared" si="47"/>
        <v>7</v>
      </c>
      <c r="Y53" s="7">
        <f>SUM(F53,H53,J53,L53,N53)</f>
        <v>363</v>
      </c>
      <c r="Z53" s="7">
        <f t="shared" si="32"/>
        <v>220</v>
      </c>
      <c r="AA53" s="7">
        <f t="shared" si="33"/>
        <v>583</v>
      </c>
      <c r="AB53" s="17">
        <f t="shared" si="35"/>
        <v>-6</v>
      </c>
      <c r="AC53" s="17">
        <f t="shared" si="38"/>
        <v>3</v>
      </c>
      <c r="AD53" s="17">
        <f t="shared" si="39"/>
        <v>-3</v>
      </c>
    </row>
    <row r="54" spans="1:30" hidden="1" x14ac:dyDescent="0.3">
      <c r="A54" s="9" t="s">
        <v>71</v>
      </c>
      <c r="B54" s="33">
        <v>45886</v>
      </c>
      <c r="C54" s="5">
        <v>25047</v>
      </c>
      <c r="D54" s="6">
        <f t="shared" si="41"/>
        <v>0</v>
      </c>
      <c r="E54" s="5">
        <v>1774</v>
      </c>
      <c r="F54" s="6">
        <f t="shared" si="41"/>
        <v>0</v>
      </c>
      <c r="G54" s="5">
        <v>10398</v>
      </c>
      <c r="H54" s="6">
        <f t="shared" si="42"/>
        <v>0</v>
      </c>
      <c r="I54" s="5">
        <v>5632</v>
      </c>
      <c r="J54" s="6">
        <f t="shared" si="43"/>
        <v>0</v>
      </c>
      <c r="K54" s="5">
        <v>413</v>
      </c>
      <c r="L54" s="6">
        <f t="shared" si="43"/>
        <v>0</v>
      </c>
      <c r="M54" s="5">
        <v>741</v>
      </c>
      <c r="N54" s="12">
        <f t="shared" si="44"/>
        <v>0</v>
      </c>
      <c r="O54" s="13">
        <v>10984</v>
      </c>
      <c r="P54" s="6">
        <f t="shared" si="45"/>
        <v>0</v>
      </c>
      <c r="Q54" s="5">
        <v>1301</v>
      </c>
      <c r="R54" s="6">
        <f t="shared" si="28"/>
        <v>0</v>
      </c>
      <c r="S54" s="5">
        <v>4967</v>
      </c>
      <c r="T54" s="6">
        <f t="shared" si="46"/>
        <v>0</v>
      </c>
      <c r="U54" s="5">
        <v>3759</v>
      </c>
      <c r="V54" s="6">
        <f t="shared" si="30"/>
        <v>0</v>
      </c>
      <c r="W54" s="5">
        <v>338</v>
      </c>
      <c r="X54" s="6">
        <f t="shared" si="47"/>
        <v>0</v>
      </c>
      <c r="Y54" s="7">
        <f t="shared" si="34"/>
        <v>0</v>
      </c>
      <c r="Z54" s="7">
        <f>SUM(R54,T54,V54,X54)</f>
        <v>0</v>
      </c>
      <c r="AA54" s="7">
        <f>SUM(F54,H54,J54,L54,N54,R54,T54,V54,X54)</f>
        <v>0</v>
      </c>
      <c r="AB54" s="17">
        <f t="shared" si="35"/>
        <v>0</v>
      </c>
      <c r="AC54" s="17">
        <f t="shared" si="38"/>
        <v>0</v>
      </c>
      <c r="AD54" s="17">
        <f t="shared" si="39"/>
        <v>0</v>
      </c>
    </row>
    <row r="55" spans="1:30" hidden="1" x14ac:dyDescent="0.3">
      <c r="A55" s="9" t="s">
        <v>72</v>
      </c>
      <c r="B55" s="33">
        <v>45887</v>
      </c>
      <c r="C55" s="5">
        <v>25047</v>
      </c>
      <c r="D55" s="6">
        <f t="shared" si="41"/>
        <v>426</v>
      </c>
      <c r="E55" s="5">
        <v>1774</v>
      </c>
      <c r="F55" s="6">
        <f t="shared" si="41"/>
        <v>72</v>
      </c>
      <c r="G55" s="5">
        <v>10398</v>
      </c>
      <c r="H55" s="6">
        <f t="shared" si="42"/>
        <v>240</v>
      </c>
      <c r="I55" s="5">
        <v>5632</v>
      </c>
      <c r="J55" s="6">
        <f t="shared" si="43"/>
        <v>89</v>
      </c>
      <c r="K55" s="5">
        <v>413</v>
      </c>
      <c r="L55" s="6">
        <f t="shared" si="43"/>
        <v>11</v>
      </c>
      <c r="M55" s="5">
        <v>741</v>
      </c>
      <c r="N55" s="12">
        <f t="shared" si="44"/>
        <v>14</v>
      </c>
      <c r="O55" s="13">
        <v>10984</v>
      </c>
      <c r="P55" s="6">
        <f t="shared" si="45"/>
        <v>228</v>
      </c>
      <c r="Q55" s="5">
        <v>1301</v>
      </c>
      <c r="R55" s="6">
        <f t="shared" si="28"/>
        <v>56</v>
      </c>
      <c r="S55" s="5">
        <v>4967</v>
      </c>
      <c r="T55" s="6">
        <f t="shared" si="46"/>
        <v>81</v>
      </c>
      <c r="U55" s="5">
        <v>3759</v>
      </c>
      <c r="V55" s="6">
        <f t="shared" si="30"/>
        <v>84</v>
      </c>
      <c r="W55" s="5">
        <v>338</v>
      </c>
      <c r="X55" s="6">
        <f t="shared" si="47"/>
        <v>4</v>
      </c>
      <c r="Y55" s="7">
        <f t="shared" si="34"/>
        <v>426</v>
      </c>
      <c r="Z55" s="7">
        <f t="shared" si="32"/>
        <v>225</v>
      </c>
      <c r="AA55" s="7">
        <f t="shared" si="33"/>
        <v>651</v>
      </c>
      <c r="AB55" s="17">
        <f t="shared" si="35"/>
        <v>0</v>
      </c>
      <c r="AC55" s="17">
        <f t="shared" si="38"/>
        <v>3</v>
      </c>
      <c r="AD55" s="17">
        <f t="shared" si="39"/>
        <v>3</v>
      </c>
    </row>
    <row r="56" spans="1:30" hidden="1" x14ac:dyDescent="0.3">
      <c r="A56" s="9" t="s">
        <v>66</v>
      </c>
      <c r="B56" s="33">
        <v>45888</v>
      </c>
      <c r="C56" s="5">
        <v>25473</v>
      </c>
      <c r="D56" s="6">
        <f t="shared" si="41"/>
        <v>438</v>
      </c>
      <c r="E56" s="5">
        <v>1846</v>
      </c>
      <c r="F56" s="6">
        <f t="shared" si="41"/>
        <v>75</v>
      </c>
      <c r="G56" s="5">
        <v>10638</v>
      </c>
      <c r="H56" s="6">
        <f t="shared" si="42"/>
        <v>257</v>
      </c>
      <c r="I56" s="5">
        <v>5721</v>
      </c>
      <c r="J56" s="6">
        <f t="shared" si="43"/>
        <v>83</v>
      </c>
      <c r="K56" s="5">
        <v>424</v>
      </c>
      <c r="L56" s="6">
        <f t="shared" si="43"/>
        <v>11</v>
      </c>
      <c r="M56" s="5">
        <v>755</v>
      </c>
      <c r="N56" s="12">
        <f t="shared" si="44"/>
        <v>13</v>
      </c>
      <c r="O56" s="13">
        <v>11212</v>
      </c>
      <c r="P56" s="6">
        <f t="shared" si="45"/>
        <v>224</v>
      </c>
      <c r="Q56" s="5">
        <v>1357</v>
      </c>
      <c r="R56" s="6">
        <f t="shared" si="28"/>
        <v>54</v>
      </c>
      <c r="S56" s="5">
        <v>5048</v>
      </c>
      <c r="T56" s="6">
        <f t="shared" si="46"/>
        <v>83</v>
      </c>
      <c r="U56" s="5">
        <v>3843</v>
      </c>
      <c r="V56" s="6">
        <f t="shared" si="30"/>
        <v>82</v>
      </c>
      <c r="W56" s="5">
        <v>342</v>
      </c>
      <c r="X56" s="6">
        <f t="shared" si="47"/>
        <v>5</v>
      </c>
      <c r="Y56" s="7">
        <f t="shared" si="34"/>
        <v>439</v>
      </c>
      <c r="Z56" s="7">
        <f t="shared" si="32"/>
        <v>224</v>
      </c>
      <c r="AA56" s="7">
        <f t="shared" si="33"/>
        <v>663</v>
      </c>
      <c r="AB56" s="17">
        <f t="shared" si="35"/>
        <v>-1</v>
      </c>
      <c r="AC56" s="17">
        <f t="shared" si="38"/>
        <v>0</v>
      </c>
      <c r="AD56" s="17">
        <f t="shared" si="39"/>
        <v>-1</v>
      </c>
    </row>
    <row r="57" spans="1:30" hidden="1" x14ac:dyDescent="0.3">
      <c r="A57" s="9" t="s">
        <v>67</v>
      </c>
      <c r="B57" s="33">
        <v>45889</v>
      </c>
      <c r="C57" s="5">
        <v>25911</v>
      </c>
      <c r="D57" s="6">
        <f t="shared" si="41"/>
        <v>436</v>
      </c>
      <c r="E57" s="5">
        <v>1921</v>
      </c>
      <c r="F57" s="6">
        <f t="shared" si="41"/>
        <v>74</v>
      </c>
      <c r="G57" s="5">
        <v>10895</v>
      </c>
      <c r="H57" s="6">
        <f t="shared" si="42"/>
        <v>274</v>
      </c>
      <c r="I57" s="5">
        <v>5804</v>
      </c>
      <c r="J57" s="6">
        <f t="shared" si="43"/>
        <v>64</v>
      </c>
      <c r="K57" s="5">
        <v>435</v>
      </c>
      <c r="L57" s="6">
        <f t="shared" si="43"/>
        <v>11</v>
      </c>
      <c r="M57" s="5">
        <v>768</v>
      </c>
      <c r="N57" s="12">
        <f t="shared" si="44"/>
        <v>13</v>
      </c>
      <c r="O57" s="13">
        <v>11436</v>
      </c>
      <c r="P57" s="6">
        <f t="shared" si="45"/>
        <v>215</v>
      </c>
      <c r="Q57" s="5">
        <v>1411</v>
      </c>
      <c r="R57" s="6">
        <f t="shared" si="28"/>
        <v>62</v>
      </c>
      <c r="S57" s="5">
        <v>5131</v>
      </c>
      <c r="T57" s="6">
        <f t="shared" si="46"/>
        <v>62</v>
      </c>
      <c r="U57" s="5">
        <v>3925</v>
      </c>
      <c r="V57" s="6">
        <f t="shared" si="30"/>
        <v>84</v>
      </c>
      <c r="W57" s="5">
        <v>347</v>
      </c>
      <c r="X57" s="6">
        <f t="shared" si="47"/>
        <v>6</v>
      </c>
      <c r="Y57" s="7">
        <f t="shared" si="34"/>
        <v>436</v>
      </c>
      <c r="Z57" s="7">
        <f t="shared" si="32"/>
        <v>214</v>
      </c>
      <c r="AA57" s="7">
        <f t="shared" si="33"/>
        <v>650</v>
      </c>
      <c r="AB57" s="17">
        <f t="shared" si="35"/>
        <v>0</v>
      </c>
      <c r="AC57" s="17">
        <f t="shared" si="38"/>
        <v>1</v>
      </c>
      <c r="AD57" s="17">
        <f t="shared" si="39"/>
        <v>1</v>
      </c>
    </row>
    <row r="58" spans="1:30" hidden="1" x14ac:dyDescent="0.3">
      <c r="A58" s="9" t="s">
        <v>68</v>
      </c>
      <c r="B58" s="33">
        <v>45890</v>
      </c>
      <c r="C58" s="5">
        <v>26347</v>
      </c>
      <c r="D58" s="6">
        <f t="shared" si="41"/>
        <v>473</v>
      </c>
      <c r="E58" s="5">
        <v>1995</v>
      </c>
      <c r="F58" s="6">
        <f t="shared" si="41"/>
        <v>76</v>
      </c>
      <c r="G58" s="5">
        <v>11169</v>
      </c>
      <c r="H58" s="6">
        <f t="shared" si="42"/>
        <v>286</v>
      </c>
      <c r="I58" s="5">
        <v>5868</v>
      </c>
      <c r="J58" s="6">
        <f t="shared" si="43"/>
        <v>93</v>
      </c>
      <c r="K58" s="5">
        <v>446</v>
      </c>
      <c r="L58" s="6">
        <f t="shared" si="43"/>
        <v>10</v>
      </c>
      <c r="M58" s="5">
        <v>781</v>
      </c>
      <c r="N58" s="12">
        <f t="shared" si="44"/>
        <v>16</v>
      </c>
      <c r="O58" s="13">
        <v>11651</v>
      </c>
      <c r="P58" s="6">
        <f t="shared" si="45"/>
        <v>254</v>
      </c>
      <c r="Q58" s="5">
        <v>1473</v>
      </c>
      <c r="R58" s="6">
        <f t="shared" si="28"/>
        <v>64</v>
      </c>
      <c r="S58" s="5">
        <v>5193</v>
      </c>
      <c r="T58" s="6">
        <f t="shared" si="46"/>
        <v>82</v>
      </c>
      <c r="U58" s="5">
        <v>4009</v>
      </c>
      <c r="V58" s="6">
        <f t="shared" si="30"/>
        <v>91</v>
      </c>
      <c r="W58" s="5">
        <v>353</v>
      </c>
      <c r="X58" s="6">
        <f t="shared" si="47"/>
        <v>13</v>
      </c>
      <c r="Y58" s="7">
        <f t="shared" si="34"/>
        <v>481</v>
      </c>
      <c r="Z58" s="7">
        <f t="shared" si="32"/>
        <v>250</v>
      </c>
      <c r="AA58" s="7">
        <f t="shared" si="33"/>
        <v>731</v>
      </c>
      <c r="AB58" s="17">
        <f t="shared" si="35"/>
        <v>-8</v>
      </c>
      <c r="AC58" s="17">
        <f t="shared" si="38"/>
        <v>4</v>
      </c>
      <c r="AD58" s="17">
        <f t="shared" si="39"/>
        <v>-4</v>
      </c>
    </row>
    <row r="59" spans="1:30" hidden="1" x14ac:dyDescent="0.3">
      <c r="A59" s="9" t="s">
        <v>69</v>
      </c>
      <c r="B59" s="33">
        <v>45891</v>
      </c>
      <c r="C59" s="5">
        <v>26820</v>
      </c>
      <c r="D59" s="6">
        <f t="shared" si="41"/>
        <v>465</v>
      </c>
      <c r="E59" s="5">
        <v>2071</v>
      </c>
      <c r="F59" s="6">
        <f t="shared" si="41"/>
        <v>73</v>
      </c>
      <c r="G59" s="5">
        <v>11455</v>
      </c>
      <c r="H59" s="6">
        <f t="shared" si="42"/>
        <v>269</v>
      </c>
      <c r="I59" s="5">
        <v>5961</v>
      </c>
      <c r="J59" s="6">
        <f t="shared" si="43"/>
        <v>93</v>
      </c>
      <c r="K59" s="5">
        <v>456</v>
      </c>
      <c r="L59" s="6">
        <f t="shared" si="43"/>
        <v>13</v>
      </c>
      <c r="M59" s="5">
        <v>797</v>
      </c>
      <c r="N59" s="12">
        <f t="shared" si="44"/>
        <v>13</v>
      </c>
      <c r="O59" s="13">
        <v>11905</v>
      </c>
      <c r="P59" s="6">
        <f t="shared" si="45"/>
        <v>262</v>
      </c>
      <c r="Q59" s="5">
        <v>1537</v>
      </c>
      <c r="R59" s="6">
        <f t="shared" si="28"/>
        <v>66</v>
      </c>
      <c r="S59" s="5">
        <v>5275</v>
      </c>
      <c r="T59" s="6">
        <f t="shared" si="46"/>
        <v>99</v>
      </c>
      <c r="U59" s="5">
        <v>4100</v>
      </c>
      <c r="V59" s="6">
        <f t="shared" si="30"/>
        <v>80</v>
      </c>
      <c r="W59" s="5">
        <v>366</v>
      </c>
      <c r="X59" s="6">
        <f t="shared" si="47"/>
        <v>16</v>
      </c>
      <c r="Y59" s="7">
        <f t="shared" si="34"/>
        <v>461</v>
      </c>
      <c r="Z59" s="7">
        <f t="shared" si="32"/>
        <v>261</v>
      </c>
      <c r="AA59" s="7">
        <f t="shared" si="33"/>
        <v>722</v>
      </c>
      <c r="AB59" s="17">
        <f t="shared" si="35"/>
        <v>4</v>
      </c>
      <c r="AC59" s="17">
        <f t="shared" si="38"/>
        <v>1</v>
      </c>
      <c r="AD59" s="17">
        <f t="shared" si="39"/>
        <v>5</v>
      </c>
    </row>
    <row r="60" spans="1:30" hidden="1" x14ac:dyDescent="0.3">
      <c r="A60" s="9" t="s">
        <v>70</v>
      </c>
      <c r="B60" s="33">
        <v>45892</v>
      </c>
      <c r="C60" s="5">
        <v>27285</v>
      </c>
      <c r="D60" s="6">
        <f t="shared" si="41"/>
        <v>401</v>
      </c>
      <c r="E60" s="5">
        <v>2144</v>
      </c>
      <c r="F60" s="6">
        <f t="shared" si="41"/>
        <v>67</v>
      </c>
      <c r="G60" s="5">
        <v>11724</v>
      </c>
      <c r="H60" s="6">
        <f t="shared" si="42"/>
        <v>251</v>
      </c>
      <c r="I60" s="5">
        <v>6054</v>
      </c>
      <c r="J60" s="6">
        <f t="shared" si="43"/>
        <v>65</v>
      </c>
      <c r="K60" s="5">
        <v>469</v>
      </c>
      <c r="L60" s="6">
        <f t="shared" si="43"/>
        <v>7</v>
      </c>
      <c r="M60" s="5">
        <v>810</v>
      </c>
      <c r="N60" s="12">
        <f t="shared" si="44"/>
        <v>11</v>
      </c>
      <c r="O60" s="13">
        <v>12167</v>
      </c>
      <c r="P60" s="6">
        <f t="shared" si="45"/>
        <v>200</v>
      </c>
      <c r="Q60" s="5">
        <v>1603</v>
      </c>
      <c r="R60" s="6">
        <f t="shared" si="28"/>
        <v>59</v>
      </c>
      <c r="S60" s="5">
        <v>5374</v>
      </c>
      <c r="T60" s="6">
        <f t="shared" si="46"/>
        <v>60</v>
      </c>
      <c r="U60" s="5">
        <v>4180</v>
      </c>
      <c r="V60" s="6">
        <f t="shared" si="30"/>
        <v>67</v>
      </c>
      <c r="W60" s="5">
        <v>382</v>
      </c>
      <c r="X60" s="6">
        <f t="shared" si="47"/>
        <v>11</v>
      </c>
      <c r="Y60" s="7">
        <f t="shared" si="34"/>
        <v>401</v>
      </c>
      <c r="Z60" s="7">
        <f t="shared" si="32"/>
        <v>197</v>
      </c>
      <c r="AA60" s="7">
        <f t="shared" si="33"/>
        <v>598</v>
      </c>
      <c r="AB60" s="17">
        <f t="shared" si="35"/>
        <v>0</v>
      </c>
      <c r="AC60" s="17">
        <f t="shared" si="38"/>
        <v>3</v>
      </c>
      <c r="AD60" s="17">
        <f t="shared" si="39"/>
        <v>3</v>
      </c>
    </row>
    <row r="61" spans="1:30" hidden="1" x14ac:dyDescent="0.3">
      <c r="A61" s="9" t="s">
        <v>71</v>
      </c>
      <c r="B61" s="33">
        <v>45893</v>
      </c>
      <c r="C61" s="5">
        <v>27686</v>
      </c>
      <c r="D61" s="6">
        <f t="shared" si="41"/>
        <v>29</v>
      </c>
      <c r="E61" s="5">
        <v>2211</v>
      </c>
      <c r="F61" s="6">
        <f t="shared" si="41"/>
        <v>1</v>
      </c>
      <c r="G61" s="5">
        <v>11975</v>
      </c>
      <c r="H61" s="6">
        <f t="shared" si="42"/>
        <v>0</v>
      </c>
      <c r="I61" s="5">
        <v>6119</v>
      </c>
      <c r="J61" s="6">
        <f t="shared" si="43"/>
        <v>23</v>
      </c>
      <c r="K61" s="5">
        <v>476</v>
      </c>
      <c r="L61" s="6">
        <f t="shared" si="43"/>
        <v>1</v>
      </c>
      <c r="M61" s="5">
        <v>821</v>
      </c>
      <c r="N61" s="12">
        <f t="shared" si="44"/>
        <v>7</v>
      </c>
      <c r="O61" s="13">
        <v>12367</v>
      </c>
      <c r="P61" s="6">
        <f t="shared" si="45"/>
        <v>45</v>
      </c>
      <c r="Q61" s="5">
        <v>1662</v>
      </c>
      <c r="R61" s="6">
        <f t="shared" si="28"/>
        <v>0</v>
      </c>
      <c r="S61" s="5">
        <v>5434</v>
      </c>
      <c r="T61" s="6">
        <f t="shared" si="46"/>
        <v>24</v>
      </c>
      <c r="U61" s="5">
        <v>4247</v>
      </c>
      <c r="V61" s="6">
        <f t="shared" si="30"/>
        <v>1</v>
      </c>
      <c r="W61" s="5">
        <v>393</v>
      </c>
      <c r="X61" s="6">
        <f t="shared" si="47"/>
        <v>16</v>
      </c>
      <c r="Y61" s="7">
        <f t="shared" si="34"/>
        <v>32</v>
      </c>
      <c r="Z61" s="7">
        <f t="shared" si="32"/>
        <v>41</v>
      </c>
      <c r="AA61" s="7">
        <f t="shared" si="33"/>
        <v>73</v>
      </c>
      <c r="AB61" s="17">
        <f t="shared" si="35"/>
        <v>-3</v>
      </c>
      <c r="AC61" s="17">
        <f t="shared" si="38"/>
        <v>4</v>
      </c>
      <c r="AD61" s="17">
        <f t="shared" si="39"/>
        <v>1</v>
      </c>
    </row>
    <row r="62" spans="1:30" hidden="1" x14ac:dyDescent="0.3">
      <c r="A62" s="9" t="s">
        <v>72</v>
      </c>
      <c r="B62" s="33">
        <v>45894</v>
      </c>
      <c r="C62" s="5">
        <v>27715</v>
      </c>
      <c r="D62" s="6">
        <f t="shared" si="41"/>
        <v>439</v>
      </c>
      <c r="E62" s="5">
        <v>2212</v>
      </c>
      <c r="F62" s="6">
        <f t="shared" si="41"/>
        <v>76</v>
      </c>
      <c r="G62" s="5">
        <v>11975</v>
      </c>
      <c r="H62" s="6">
        <f t="shared" si="42"/>
        <v>296</v>
      </c>
      <c r="I62" s="5">
        <v>6142</v>
      </c>
      <c r="J62" s="6">
        <f t="shared" si="43"/>
        <v>42</v>
      </c>
      <c r="K62" s="5">
        <v>477</v>
      </c>
      <c r="L62" s="6">
        <f t="shared" si="43"/>
        <v>13</v>
      </c>
      <c r="M62" s="5">
        <v>828</v>
      </c>
      <c r="N62" s="12">
        <f t="shared" si="44"/>
        <v>10</v>
      </c>
      <c r="O62" s="13">
        <v>12412</v>
      </c>
      <c r="P62" s="6">
        <f t="shared" si="45"/>
        <v>238</v>
      </c>
      <c r="Q62" s="5">
        <v>1662</v>
      </c>
      <c r="R62" s="6">
        <f t="shared" si="28"/>
        <v>74</v>
      </c>
      <c r="S62" s="5">
        <v>5458</v>
      </c>
      <c r="T62" s="6">
        <f t="shared" si="46"/>
        <v>55</v>
      </c>
      <c r="U62" s="5">
        <v>4248</v>
      </c>
      <c r="V62" s="6">
        <f t="shared" si="30"/>
        <v>92</v>
      </c>
      <c r="W62" s="5">
        <v>409</v>
      </c>
      <c r="X62" s="6">
        <f t="shared" si="47"/>
        <v>15</v>
      </c>
      <c r="Y62" s="7">
        <f t="shared" si="34"/>
        <v>437</v>
      </c>
      <c r="Z62" s="7">
        <f t="shared" si="32"/>
        <v>236</v>
      </c>
      <c r="AA62" s="7">
        <f t="shared" si="33"/>
        <v>673</v>
      </c>
      <c r="AB62" s="17">
        <f t="shared" si="35"/>
        <v>2</v>
      </c>
      <c r="AC62" s="17">
        <f t="shared" si="38"/>
        <v>2</v>
      </c>
      <c r="AD62" s="17">
        <f t="shared" si="39"/>
        <v>4</v>
      </c>
    </row>
    <row r="63" spans="1:30" hidden="1" x14ac:dyDescent="0.3">
      <c r="A63" s="9" t="s">
        <v>66</v>
      </c>
      <c r="B63" s="33">
        <v>45895</v>
      </c>
      <c r="C63" s="5">
        <v>28154</v>
      </c>
      <c r="D63" s="6">
        <f t="shared" ref="D63:F67" si="48">IF(C64&lt;&gt;"",C64-C63,"")</f>
        <v>419</v>
      </c>
      <c r="E63" s="5">
        <v>2288</v>
      </c>
      <c r="F63" s="6">
        <f t="shared" si="48"/>
        <v>93</v>
      </c>
      <c r="G63" s="5">
        <v>12271</v>
      </c>
      <c r="H63" s="6">
        <f t="shared" si="42"/>
        <v>264</v>
      </c>
      <c r="I63" s="5">
        <v>6184</v>
      </c>
      <c r="J63" s="6">
        <f t="shared" ref="J63:L68" si="49">IF(I64&lt;&gt;"",I64-I63,"")</f>
        <v>40</v>
      </c>
      <c r="K63" s="5">
        <v>490</v>
      </c>
      <c r="L63" s="6">
        <f t="shared" si="49"/>
        <v>10</v>
      </c>
      <c r="M63" s="5">
        <v>838</v>
      </c>
      <c r="N63" s="12">
        <f t="shared" si="44"/>
        <v>12</v>
      </c>
      <c r="O63" s="13">
        <v>12650</v>
      </c>
      <c r="P63" s="6">
        <f t="shared" si="45"/>
        <v>197</v>
      </c>
      <c r="Q63" s="5">
        <v>1736</v>
      </c>
      <c r="R63" s="6">
        <f t="shared" si="28"/>
        <v>69</v>
      </c>
      <c r="S63" s="5">
        <v>5513</v>
      </c>
      <c r="T63" s="6">
        <f t="shared" si="46"/>
        <v>69</v>
      </c>
      <c r="U63" s="5">
        <v>4340</v>
      </c>
      <c r="V63" s="6">
        <f t="shared" si="30"/>
        <v>61</v>
      </c>
      <c r="W63" s="5">
        <v>424</v>
      </c>
      <c r="X63" s="6">
        <f t="shared" si="47"/>
        <v>14</v>
      </c>
      <c r="Y63" s="7">
        <f t="shared" si="34"/>
        <v>419</v>
      </c>
      <c r="Z63" s="7">
        <f t="shared" si="32"/>
        <v>213</v>
      </c>
      <c r="AA63" s="7">
        <f t="shared" si="33"/>
        <v>632</v>
      </c>
      <c r="AB63" s="17">
        <f t="shared" si="35"/>
        <v>0</v>
      </c>
      <c r="AC63" s="17">
        <f t="shared" si="38"/>
        <v>-16</v>
      </c>
      <c r="AD63" s="17">
        <f t="shared" si="39"/>
        <v>-16</v>
      </c>
    </row>
    <row r="64" spans="1:30" hidden="1" x14ac:dyDescent="0.3">
      <c r="A64" s="9" t="s">
        <v>67</v>
      </c>
      <c r="B64" s="33">
        <v>45896</v>
      </c>
      <c r="C64" s="5">
        <v>28573</v>
      </c>
      <c r="D64" s="6">
        <f t="shared" si="48"/>
        <v>437</v>
      </c>
      <c r="E64" s="5">
        <v>2381</v>
      </c>
      <c r="F64" s="6">
        <f t="shared" si="48"/>
        <v>96</v>
      </c>
      <c r="G64" s="5">
        <v>12535</v>
      </c>
      <c r="H64" s="6">
        <f t="shared" si="42"/>
        <v>268</v>
      </c>
      <c r="I64" s="5">
        <v>6224</v>
      </c>
      <c r="J64" s="6">
        <f t="shared" si="49"/>
        <v>51</v>
      </c>
      <c r="K64" s="5">
        <v>500</v>
      </c>
      <c r="L64" s="6">
        <f t="shared" si="49"/>
        <v>10</v>
      </c>
      <c r="M64" s="5">
        <v>850</v>
      </c>
      <c r="N64" s="12">
        <f t="shared" si="44"/>
        <v>14</v>
      </c>
      <c r="O64" s="13">
        <v>12847</v>
      </c>
      <c r="P64" s="6">
        <f t="shared" si="45"/>
        <v>210</v>
      </c>
      <c r="Q64" s="5">
        <v>1805</v>
      </c>
      <c r="R64" s="6">
        <f t="shared" si="28"/>
        <v>55</v>
      </c>
      <c r="S64" s="5">
        <v>5582</v>
      </c>
      <c r="T64" s="6">
        <f t="shared" si="46"/>
        <v>51</v>
      </c>
      <c r="U64" s="5">
        <v>4401</v>
      </c>
      <c r="V64" s="6">
        <f t="shared" si="30"/>
        <v>65</v>
      </c>
      <c r="W64" s="5">
        <v>438</v>
      </c>
      <c r="X64" s="6">
        <f t="shared" si="47"/>
        <v>5</v>
      </c>
      <c r="Y64" s="7">
        <f t="shared" si="34"/>
        <v>439</v>
      </c>
      <c r="Z64" s="7">
        <f t="shared" si="32"/>
        <v>176</v>
      </c>
      <c r="AA64" s="7">
        <f t="shared" si="33"/>
        <v>615</v>
      </c>
      <c r="AB64" s="17">
        <f t="shared" si="35"/>
        <v>-2</v>
      </c>
      <c r="AC64" s="17">
        <f t="shared" si="38"/>
        <v>34</v>
      </c>
      <c r="AD64" s="17">
        <f t="shared" si="39"/>
        <v>32</v>
      </c>
    </row>
    <row r="65" spans="1:30" hidden="1" x14ac:dyDescent="0.3">
      <c r="A65" s="9" t="s">
        <v>68</v>
      </c>
      <c r="B65" s="33">
        <v>45897</v>
      </c>
      <c r="C65" s="5">
        <v>29010</v>
      </c>
      <c r="D65" s="6">
        <f t="shared" si="48"/>
        <v>464</v>
      </c>
      <c r="E65" s="5">
        <v>2477</v>
      </c>
      <c r="F65" s="6">
        <f t="shared" si="48"/>
        <v>83</v>
      </c>
      <c r="G65" s="5">
        <v>12803</v>
      </c>
      <c r="H65" s="6">
        <f t="shared" si="42"/>
        <v>278</v>
      </c>
      <c r="I65" s="5">
        <v>6275</v>
      </c>
      <c r="J65" s="6">
        <f t="shared" si="49"/>
        <v>79</v>
      </c>
      <c r="K65" s="5">
        <v>510</v>
      </c>
      <c r="L65" s="6">
        <f t="shared" si="49"/>
        <v>11</v>
      </c>
      <c r="M65" s="5">
        <v>864</v>
      </c>
      <c r="N65" s="12">
        <f t="shared" si="44"/>
        <v>13</v>
      </c>
      <c r="O65" s="13">
        <v>13057</v>
      </c>
      <c r="P65" s="6">
        <f t="shared" si="45"/>
        <v>182</v>
      </c>
      <c r="Q65" s="5">
        <v>1860</v>
      </c>
      <c r="R65" s="6">
        <f t="shared" si="28"/>
        <v>62</v>
      </c>
      <c r="S65" s="5">
        <v>5633</v>
      </c>
      <c r="T65" s="6">
        <f t="shared" si="46"/>
        <v>64</v>
      </c>
      <c r="U65" s="5">
        <v>4466</v>
      </c>
      <c r="V65" s="6">
        <f t="shared" si="30"/>
        <v>61</v>
      </c>
      <c r="W65" s="5">
        <v>443</v>
      </c>
      <c r="X65" s="6">
        <f t="shared" si="47"/>
        <v>6</v>
      </c>
      <c r="Y65" s="7">
        <f t="shared" si="34"/>
        <v>464</v>
      </c>
      <c r="Z65" s="7">
        <f t="shared" si="32"/>
        <v>193</v>
      </c>
      <c r="AA65" s="7">
        <f t="shared" si="33"/>
        <v>657</v>
      </c>
      <c r="AB65" s="17">
        <f t="shared" si="35"/>
        <v>0</v>
      </c>
      <c r="AC65" s="17">
        <f t="shared" si="38"/>
        <v>-11</v>
      </c>
      <c r="AD65" s="17">
        <f t="shared" si="39"/>
        <v>-11</v>
      </c>
    </row>
    <row r="66" spans="1:30" hidden="1" x14ac:dyDescent="0.3">
      <c r="A66" s="9" t="s">
        <v>69</v>
      </c>
      <c r="B66" s="33">
        <v>45898</v>
      </c>
      <c r="C66" s="5">
        <v>29474</v>
      </c>
      <c r="D66" s="6">
        <f t="shared" si="48"/>
        <v>438</v>
      </c>
      <c r="E66" s="5">
        <v>2560</v>
      </c>
      <c r="F66" s="6">
        <f t="shared" si="48"/>
        <v>71</v>
      </c>
      <c r="G66" s="5">
        <v>13081</v>
      </c>
      <c r="H66" s="6">
        <f t="shared" si="42"/>
        <v>272</v>
      </c>
      <c r="I66" s="5">
        <v>6354</v>
      </c>
      <c r="J66" s="6">
        <f t="shared" si="49"/>
        <v>70</v>
      </c>
      <c r="K66" s="5">
        <v>521</v>
      </c>
      <c r="L66" s="6">
        <f t="shared" si="49"/>
        <v>11</v>
      </c>
      <c r="M66" s="5">
        <v>877</v>
      </c>
      <c r="N66" s="12">
        <f t="shared" si="44"/>
        <v>15</v>
      </c>
      <c r="O66" s="13">
        <v>13239</v>
      </c>
      <c r="P66" s="6">
        <f t="shared" si="45"/>
        <v>198</v>
      </c>
      <c r="Q66" s="5">
        <v>1922</v>
      </c>
      <c r="R66" s="6">
        <f t="shared" si="28"/>
        <v>59</v>
      </c>
      <c r="S66" s="5">
        <v>5697</v>
      </c>
      <c r="T66" s="6">
        <f t="shared" si="46"/>
        <v>63</v>
      </c>
      <c r="U66" s="5">
        <v>4527</v>
      </c>
      <c r="V66" s="6">
        <f t="shared" si="30"/>
        <v>68</v>
      </c>
      <c r="W66" s="5">
        <v>449</v>
      </c>
      <c r="X66" s="6">
        <f t="shared" si="47"/>
        <v>6</v>
      </c>
      <c r="Y66" s="7">
        <f t="shared" si="34"/>
        <v>439</v>
      </c>
      <c r="Z66" s="7">
        <f t="shared" si="32"/>
        <v>196</v>
      </c>
      <c r="AA66" s="7">
        <f t="shared" si="33"/>
        <v>635</v>
      </c>
      <c r="AB66" s="17">
        <f t="shared" si="35"/>
        <v>-1</v>
      </c>
      <c r="AC66" s="17">
        <f t="shared" si="38"/>
        <v>2</v>
      </c>
      <c r="AD66" s="17">
        <f t="shared" si="39"/>
        <v>1</v>
      </c>
    </row>
    <row r="67" spans="1:30" hidden="1" x14ac:dyDescent="0.3">
      <c r="A67" s="9" t="s">
        <v>70</v>
      </c>
      <c r="B67" s="33">
        <v>45899</v>
      </c>
      <c r="C67" s="5">
        <v>29912</v>
      </c>
      <c r="D67" s="6">
        <f t="shared" si="48"/>
        <v>421</v>
      </c>
      <c r="E67" s="5">
        <v>2631</v>
      </c>
      <c r="F67" s="6">
        <f t="shared" si="48"/>
        <v>102</v>
      </c>
      <c r="G67" s="5">
        <v>13353</v>
      </c>
      <c r="H67" s="6">
        <f t="shared" si="42"/>
        <v>262</v>
      </c>
      <c r="I67" s="5">
        <v>6424</v>
      </c>
      <c r="J67" s="6">
        <f t="shared" si="49"/>
        <v>37</v>
      </c>
      <c r="K67" s="5">
        <v>532</v>
      </c>
      <c r="L67" s="6">
        <f t="shared" si="49"/>
        <v>9</v>
      </c>
      <c r="M67" s="5">
        <v>892</v>
      </c>
      <c r="N67" s="12">
        <f t="shared" si="44"/>
        <v>12</v>
      </c>
      <c r="O67" s="13">
        <v>13437</v>
      </c>
      <c r="P67" s="6">
        <f t="shared" si="45"/>
        <v>160</v>
      </c>
      <c r="Q67" s="5">
        <v>1981</v>
      </c>
      <c r="R67" s="6">
        <f t="shared" si="28"/>
        <v>58</v>
      </c>
      <c r="S67" s="5">
        <v>5760</v>
      </c>
      <c r="T67" s="6">
        <f t="shared" si="46"/>
        <v>34</v>
      </c>
      <c r="U67" s="5">
        <v>4595</v>
      </c>
      <c r="V67" s="6">
        <f t="shared" si="30"/>
        <v>63</v>
      </c>
      <c r="W67" s="5">
        <v>455</v>
      </c>
      <c r="X67" s="6">
        <f t="shared" si="47"/>
        <v>4</v>
      </c>
      <c r="Y67" s="7">
        <f t="shared" si="34"/>
        <v>422</v>
      </c>
      <c r="Z67" s="7">
        <f t="shared" si="32"/>
        <v>159</v>
      </c>
      <c r="AA67" s="7">
        <f t="shared" si="33"/>
        <v>581</v>
      </c>
      <c r="AB67" s="17">
        <f t="shared" si="35"/>
        <v>-1</v>
      </c>
      <c r="AC67" s="17">
        <f t="shared" si="38"/>
        <v>1</v>
      </c>
      <c r="AD67" s="17">
        <f t="shared" si="39"/>
        <v>0</v>
      </c>
    </row>
    <row r="68" spans="1:30" hidden="1" x14ac:dyDescent="0.3">
      <c r="A68" s="9" t="s">
        <v>71</v>
      </c>
      <c r="B68" s="33">
        <v>45900</v>
      </c>
      <c r="C68" s="5">
        <v>30333</v>
      </c>
      <c r="D68" s="6">
        <f>IF(C69&lt;&gt;"",C69-C68,"")</f>
        <v>34</v>
      </c>
      <c r="E68" s="5">
        <v>2733</v>
      </c>
      <c r="F68" s="6">
        <f>IF(E69&lt;&gt;"",E69-E68,"")</f>
        <v>1</v>
      </c>
      <c r="G68" s="5">
        <v>13615</v>
      </c>
      <c r="H68" s="6">
        <f t="shared" si="42"/>
        <v>9</v>
      </c>
      <c r="I68" s="5">
        <v>6461</v>
      </c>
      <c r="J68" s="6">
        <f t="shared" si="49"/>
        <v>16</v>
      </c>
      <c r="K68" s="5">
        <v>541</v>
      </c>
      <c r="L68" s="6">
        <f t="shared" si="49"/>
        <v>4</v>
      </c>
      <c r="M68" s="5">
        <v>904</v>
      </c>
      <c r="N68" s="12">
        <f t="shared" si="44"/>
        <v>2</v>
      </c>
      <c r="O68" s="13">
        <v>13597</v>
      </c>
      <c r="P68" s="6">
        <f t="shared" si="45"/>
        <v>83</v>
      </c>
      <c r="Q68" s="5">
        <v>2039</v>
      </c>
      <c r="R68" s="6">
        <f t="shared" si="28"/>
        <v>1</v>
      </c>
      <c r="S68" s="5">
        <v>5794</v>
      </c>
      <c r="T68" s="6">
        <f t="shared" si="46"/>
        <v>16</v>
      </c>
      <c r="U68" s="5">
        <v>4658</v>
      </c>
      <c r="V68" s="6">
        <f t="shared" si="30"/>
        <v>1</v>
      </c>
      <c r="W68" s="5">
        <v>459</v>
      </c>
      <c r="X68" s="6">
        <f t="shared" si="47"/>
        <v>3</v>
      </c>
      <c r="Y68" s="7">
        <f t="shared" si="34"/>
        <v>32</v>
      </c>
      <c r="Z68" s="7">
        <f t="shared" si="32"/>
        <v>21</v>
      </c>
      <c r="AA68" s="7">
        <f t="shared" si="33"/>
        <v>53</v>
      </c>
      <c r="AB68" s="17">
        <f t="shared" si="35"/>
        <v>2</v>
      </c>
      <c r="AC68" s="17">
        <f t="shared" si="38"/>
        <v>62</v>
      </c>
      <c r="AD68" s="17">
        <f t="shared" si="39"/>
        <v>64</v>
      </c>
    </row>
    <row r="69" spans="1:30" hidden="1" x14ac:dyDescent="0.3">
      <c r="A69" s="9" t="s">
        <v>72</v>
      </c>
      <c r="B69" s="33">
        <v>45901</v>
      </c>
      <c r="C69" s="5">
        <v>30367</v>
      </c>
      <c r="D69" s="6"/>
      <c r="E69" s="5">
        <v>2734</v>
      </c>
      <c r="F69" s="6"/>
      <c r="G69" s="5">
        <v>13624</v>
      </c>
      <c r="H69" s="6"/>
      <c r="I69" s="5">
        <v>6477</v>
      </c>
      <c r="J69" s="6"/>
      <c r="K69" s="5">
        <v>545</v>
      </c>
      <c r="L69" s="6"/>
      <c r="M69" s="5">
        <v>906</v>
      </c>
      <c r="N69" s="12"/>
      <c r="O69" s="13">
        <v>13680</v>
      </c>
      <c r="P69" s="6"/>
      <c r="Q69" s="5">
        <v>2040</v>
      </c>
      <c r="R69" s="6"/>
      <c r="S69" s="5">
        <v>5810</v>
      </c>
      <c r="T69" s="6"/>
      <c r="U69" s="5">
        <v>4659</v>
      </c>
      <c r="V69" s="6"/>
      <c r="W69" s="5">
        <v>462</v>
      </c>
      <c r="X69" s="6"/>
      <c r="Y69" s="7">
        <f t="shared" si="34"/>
        <v>0</v>
      </c>
      <c r="Z69" s="7">
        <f t="shared" si="32"/>
        <v>0</v>
      </c>
      <c r="AA69" s="7">
        <f t="shared" si="33"/>
        <v>0</v>
      </c>
      <c r="AB69" s="17">
        <f t="shared" si="35"/>
        <v>0</v>
      </c>
      <c r="AC69" s="17">
        <f t="shared" si="38"/>
        <v>0</v>
      </c>
      <c r="AD69" s="17">
        <f t="shared" si="39"/>
        <v>0</v>
      </c>
    </row>
    <row r="70" spans="1:30" ht="23.4" hidden="1" x14ac:dyDescent="0.3">
      <c r="A70" s="152" t="s">
        <v>73</v>
      </c>
      <c r="B70" s="153"/>
      <c r="C70" s="8"/>
      <c r="D70" s="11">
        <f>SUM(D38:D68)</f>
        <v>11108</v>
      </c>
      <c r="E70" s="8"/>
      <c r="F70" s="11">
        <f>SUM(F38:F68)</f>
        <v>1730</v>
      </c>
      <c r="G70" s="8"/>
      <c r="H70" s="11">
        <f>SUM(H38:H68)</f>
        <v>6827</v>
      </c>
      <c r="I70" s="8"/>
      <c r="J70" s="11">
        <f>SUM(J38:J68)</f>
        <v>1954</v>
      </c>
      <c r="K70" s="8"/>
      <c r="L70" s="11">
        <f>SUM(L38:L68)</f>
        <v>257</v>
      </c>
      <c r="M70" s="8"/>
      <c r="N70" s="14">
        <f>SUM(N38:N68)</f>
        <v>362</v>
      </c>
      <c r="O70" s="15"/>
      <c r="P70" s="11">
        <f>SUM(P38:P68)</f>
        <v>5688</v>
      </c>
      <c r="Q70" s="8"/>
      <c r="R70" s="11">
        <f>SUM(R38:R68)</f>
        <v>1488</v>
      </c>
      <c r="S70" s="8"/>
      <c r="T70" s="11">
        <f>SUM(T38:T68)</f>
        <v>1895</v>
      </c>
      <c r="U70" s="8"/>
      <c r="V70" s="11">
        <f>SUM(V38:V68)</f>
        <v>1947</v>
      </c>
      <c r="W70" s="8"/>
      <c r="X70" s="11">
        <f>SUM(X38:X68)</f>
        <v>239</v>
      </c>
      <c r="Y70" s="7">
        <f>SUM(F70,H70,J70,L70,N70)</f>
        <v>11130</v>
      </c>
      <c r="Z70" s="7">
        <f>SUM(R70,T70,V70,X70)</f>
        <v>5569</v>
      </c>
      <c r="AA70" s="7">
        <f>SUM(F70,H70,J70,L70,N70,R70,T70,V70,X70)</f>
        <v>16699</v>
      </c>
      <c r="AB70" s="17">
        <f>Y70-D70</f>
        <v>22</v>
      </c>
      <c r="AC70" s="17">
        <f>P70-Z70</f>
        <v>119</v>
      </c>
      <c r="AD70" s="17">
        <f>(D70+P70)-AA70</f>
        <v>97</v>
      </c>
    </row>
    <row r="71" spans="1:30" hidden="1" x14ac:dyDescent="0.3">
      <c r="A71" s="9" t="s">
        <v>72</v>
      </c>
      <c r="B71" s="33">
        <v>45901</v>
      </c>
      <c r="C71" s="5">
        <v>30367</v>
      </c>
      <c r="D71" s="6">
        <f>IF(C72&lt;&gt;"",C72-C71,"")</f>
        <v>414</v>
      </c>
      <c r="E71" s="5">
        <v>2734</v>
      </c>
      <c r="F71" s="6">
        <f>IF(E72&lt;&gt;"",E72-E71,"")</f>
        <v>98</v>
      </c>
      <c r="G71" s="5">
        <v>13624</v>
      </c>
      <c r="H71" s="6">
        <f>IF(G72&lt;&gt;"",G72-G71,"")</f>
        <v>258</v>
      </c>
      <c r="I71" s="5">
        <v>6477</v>
      </c>
      <c r="J71" s="6">
        <f>IF(I72&lt;&gt;"",I72-I71,"")</f>
        <v>39</v>
      </c>
      <c r="K71" s="5">
        <v>545</v>
      </c>
      <c r="L71" s="6">
        <f>IF(K72&lt;&gt;"",K72-K71,"")</f>
        <v>12</v>
      </c>
      <c r="M71" s="5">
        <v>906</v>
      </c>
      <c r="N71" s="6">
        <f>IF(M72&lt;&gt;"",M72-M71,"")</f>
        <v>10</v>
      </c>
      <c r="O71" s="13">
        <v>13680</v>
      </c>
      <c r="P71" s="6">
        <f>IF(O72&lt;&gt;"",O72-O71,"")</f>
        <v>103</v>
      </c>
      <c r="Q71" s="5">
        <v>2040</v>
      </c>
      <c r="R71" s="6">
        <f>IF(Q72&lt;&gt;"",Q72-Q71,"")</f>
        <v>58</v>
      </c>
      <c r="S71" s="5">
        <v>5810</v>
      </c>
      <c r="T71" s="6">
        <f>IF(S72&lt;&gt;"",S72-S71,"")</f>
        <v>41</v>
      </c>
      <c r="U71" s="5">
        <v>4659</v>
      </c>
      <c r="V71" s="6">
        <f>IF(U72&lt;&gt;"",U72-U71,"")</f>
        <v>58</v>
      </c>
      <c r="W71" s="5">
        <v>462</v>
      </c>
      <c r="X71" s="6">
        <f>IF(W72&lt;&gt;"",W72-W71,"")</f>
        <v>5</v>
      </c>
      <c r="Y71" s="7">
        <f>SUM(F71,H71,J71,L71,N71)</f>
        <v>417</v>
      </c>
      <c r="Z71" s="7">
        <f>SUM(R71,T71,V71,X71)</f>
        <v>162</v>
      </c>
      <c r="AA71" s="7">
        <f>SUM(F71,H71,J71,L71,N71,R71,T71,V71,X71)</f>
        <v>579</v>
      </c>
      <c r="AB71" s="17">
        <f>D71-Y71</f>
        <v>-3</v>
      </c>
      <c r="AC71" s="17">
        <f>P71-Z71</f>
        <v>-59</v>
      </c>
      <c r="AD71" s="17">
        <f>(D71+P71)-AA71</f>
        <v>-62</v>
      </c>
    </row>
    <row r="72" spans="1:30" hidden="1" x14ac:dyDescent="0.3">
      <c r="A72" s="9" t="s">
        <v>66</v>
      </c>
      <c r="B72" s="33">
        <v>45902</v>
      </c>
      <c r="C72" s="5">
        <v>30781</v>
      </c>
      <c r="D72" s="6">
        <f t="shared" ref="D72:D101" si="50">IF(C73&lt;&gt;"",C73-C72,"")</f>
        <v>424</v>
      </c>
      <c r="E72" s="5">
        <v>2832</v>
      </c>
      <c r="F72" s="6">
        <f t="shared" ref="F72:F101" si="51">IF(E73&lt;&gt;"",E73-E72,"")</f>
        <v>101</v>
      </c>
      <c r="G72" s="5">
        <v>13882</v>
      </c>
      <c r="H72" s="6">
        <f t="shared" ref="H72:H101" si="52">IF(G73&lt;&gt;"",G73-G72,"")</f>
        <v>272</v>
      </c>
      <c r="I72" s="5">
        <v>6516</v>
      </c>
      <c r="J72" s="6">
        <f t="shared" ref="J72:J101" si="53">IF(I73&lt;&gt;"",I73-I72,"")</f>
        <v>28</v>
      </c>
      <c r="K72" s="5">
        <v>557</v>
      </c>
      <c r="L72" s="6">
        <f t="shared" ref="L72:L101" si="54">IF(K73&lt;&gt;"",K73-K72,"")</f>
        <v>10</v>
      </c>
      <c r="M72" s="5">
        <v>916</v>
      </c>
      <c r="N72" s="6">
        <f t="shared" ref="N72:N101" si="55">IF(M73&lt;&gt;"",M73-M72,"")</f>
        <v>12</v>
      </c>
      <c r="O72" s="13">
        <v>13783</v>
      </c>
      <c r="P72" s="6">
        <f t="shared" ref="P72:P101" si="56">IF(O73&lt;&gt;"",O73-O72,"")</f>
        <v>160</v>
      </c>
      <c r="Q72" s="5">
        <v>2098</v>
      </c>
      <c r="R72" s="6">
        <f t="shared" ref="R72:R101" si="57">IF(Q73&lt;&gt;"",Q73-Q72,"")</f>
        <v>60</v>
      </c>
      <c r="S72" s="5">
        <v>5851</v>
      </c>
      <c r="T72" s="6">
        <f t="shared" ref="T72:T101" si="58">IF(S73&lt;&gt;"",S73-S72,"")</f>
        <v>34</v>
      </c>
      <c r="U72" s="5">
        <v>4717</v>
      </c>
      <c r="V72" s="6">
        <f t="shared" ref="V72:V101" si="59">IF(U73&lt;&gt;"",U73-U72,"")</f>
        <v>58</v>
      </c>
      <c r="W72" s="5">
        <v>467</v>
      </c>
      <c r="X72" s="6">
        <f t="shared" ref="X72:X101" si="60">IF(W73&lt;&gt;"",W73-W72,"")</f>
        <v>7</v>
      </c>
      <c r="Y72" s="7">
        <f>SUM(F72,H72,J72,L72,N72)</f>
        <v>423</v>
      </c>
      <c r="Z72" s="7">
        <f>SUM(R72,T72,V72,X72)</f>
        <v>159</v>
      </c>
      <c r="AA72" s="7">
        <f>SUM(F72,H72,J72,L72,N72,R72,T72,V72,X72)</f>
        <v>582</v>
      </c>
      <c r="AB72" s="17">
        <f>D72-Y72</f>
        <v>1</v>
      </c>
      <c r="AC72" s="17">
        <f>P72-Z72</f>
        <v>1</v>
      </c>
      <c r="AD72" s="17">
        <f>(D72+P72)-AA72</f>
        <v>2</v>
      </c>
    </row>
    <row r="73" spans="1:30" hidden="1" x14ac:dyDescent="0.3">
      <c r="A73" s="9" t="s">
        <v>67</v>
      </c>
      <c r="B73" s="33">
        <v>45903</v>
      </c>
      <c r="C73" s="5">
        <v>31205</v>
      </c>
      <c r="D73" s="6">
        <f t="shared" si="50"/>
        <v>372</v>
      </c>
      <c r="E73" s="5">
        <v>2933</v>
      </c>
      <c r="F73" s="6">
        <f t="shared" si="51"/>
        <v>77</v>
      </c>
      <c r="G73" s="5">
        <v>14154</v>
      </c>
      <c r="H73" s="6">
        <f t="shared" si="52"/>
        <v>245</v>
      </c>
      <c r="I73" s="5">
        <v>6544</v>
      </c>
      <c r="J73" s="6">
        <f t="shared" si="53"/>
        <v>29</v>
      </c>
      <c r="K73" s="5">
        <v>567</v>
      </c>
      <c r="L73" s="6">
        <f t="shared" si="54"/>
        <v>10</v>
      </c>
      <c r="M73" s="5">
        <v>928</v>
      </c>
      <c r="N73" s="6">
        <f t="shared" si="55"/>
        <v>12</v>
      </c>
      <c r="O73" s="13">
        <v>13943</v>
      </c>
      <c r="P73" s="6">
        <f t="shared" si="56"/>
        <v>161</v>
      </c>
      <c r="Q73" s="5">
        <v>2158</v>
      </c>
      <c r="R73" s="6">
        <f t="shared" si="57"/>
        <v>62</v>
      </c>
      <c r="S73" s="5">
        <v>5885</v>
      </c>
      <c r="T73" s="6">
        <f t="shared" si="58"/>
        <v>30</v>
      </c>
      <c r="U73" s="5">
        <v>4775</v>
      </c>
      <c r="V73" s="6">
        <f t="shared" si="59"/>
        <v>62</v>
      </c>
      <c r="W73" s="5">
        <v>474</v>
      </c>
      <c r="X73" s="6">
        <f t="shared" si="60"/>
        <v>4</v>
      </c>
      <c r="Y73" s="7">
        <f t="shared" ref="Y73:Y101" si="61">SUM(F73,H73,J73,L73,N73)</f>
        <v>373</v>
      </c>
      <c r="Z73" s="7">
        <f t="shared" ref="Z73:Z101" si="62">SUM(R73,T73,V73,X73)</f>
        <v>158</v>
      </c>
      <c r="AA73" s="7">
        <f t="shared" ref="AA73:AA101" si="63">SUM(F73,H73,J73,L73,N73,R73,T73,V73,X73)</f>
        <v>531</v>
      </c>
      <c r="AB73" s="17">
        <f t="shared" ref="AB73:AB101" si="64">D73-Y73</f>
        <v>-1</v>
      </c>
      <c r="AC73" s="17">
        <f t="shared" ref="AC73:AC101" si="65">P73-Z73</f>
        <v>3</v>
      </c>
      <c r="AD73" s="17">
        <f t="shared" ref="AD73:AD101" si="66">(D73+P73)-AA73</f>
        <v>2</v>
      </c>
    </row>
    <row r="74" spans="1:30" hidden="1" x14ac:dyDescent="0.3">
      <c r="A74" s="9" t="s">
        <v>68</v>
      </c>
      <c r="B74" s="33">
        <v>45904</v>
      </c>
      <c r="C74" s="5">
        <v>31577</v>
      </c>
      <c r="D74" s="6">
        <f t="shared" si="50"/>
        <v>402</v>
      </c>
      <c r="E74" s="5">
        <v>3010</v>
      </c>
      <c r="F74" s="6">
        <f t="shared" si="51"/>
        <v>77</v>
      </c>
      <c r="G74" s="5">
        <v>14399</v>
      </c>
      <c r="H74" s="6">
        <f t="shared" si="52"/>
        <v>254</v>
      </c>
      <c r="I74" s="5">
        <v>6573</v>
      </c>
      <c r="J74" s="6">
        <f t="shared" si="53"/>
        <v>52</v>
      </c>
      <c r="K74" s="5">
        <v>577</v>
      </c>
      <c r="L74" s="6">
        <f t="shared" si="54"/>
        <v>11</v>
      </c>
      <c r="M74" s="5">
        <v>940</v>
      </c>
      <c r="N74" s="6">
        <f t="shared" si="55"/>
        <v>9</v>
      </c>
      <c r="O74" s="13">
        <v>14104</v>
      </c>
      <c r="P74" s="6">
        <f t="shared" si="56"/>
        <v>183</v>
      </c>
      <c r="Q74" s="5">
        <v>2220</v>
      </c>
      <c r="R74" s="6">
        <f t="shared" si="57"/>
        <v>62</v>
      </c>
      <c r="S74" s="5">
        <v>5915</v>
      </c>
      <c r="T74" s="6">
        <f t="shared" si="58"/>
        <v>43</v>
      </c>
      <c r="U74" s="5">
        <v>4837</v>
      </c>
      <c r="V74" s="6">
        <f t="shared" si="59"/>
        <v>63</v>
      </c>
      <c r="W74" s="5">
        <v>478</v>
      </c>
      <c r="X74" s="6">
        <f t="shared" si="60"/>
        <v>5</v>
      </c>
      <c r="Y74" s="7">
        <f t="shared" si="61"/>
        <v>403</v>
      </c>
      <c r="Z74" s="7">
        <f t="shared" si="62"/>
        <v>173</v>
      </c>
      <c r="AA74" s="7">
        <f t="shared" si="63"/>
        <v>576</v>
      </c>
      <c r="AB74" s="17">
        <f t="shared" si="64"/>
        <v>-1</v>
      </c>
      <c r="AC74" s="17">
        <f t="shared" si="65"/>
        <v>10</v>
      </c>
      <c r="AD74" s="17">
        <f t="shared" si="66"/>
        <v>9</v>
      </c>
    </row>
    <row r="75" spans="1:30" hidden="1" x14ac:dyDescent="0.3">
      <c r="A75" s="9" t="s">
        <v>69</v>
      </c>
      <c r="B75" s="33">
        <v>45905</v>
      </c>
      <c r="C75" s="5">
        <v>31979</v>
      </c>
      <c r="D75" s="6">
        <f t="shared" si="50"/>
        <v>488</v>
      </c>
      <c r="E75" s="5">
        <v>3087</v>
      </c>
      <c r="F75" s="6">
        <f t="shared" si="51"/>
        <v>59</v>
      </c>
      <c r="G75" s="5">
        <v>14653</v>
      </c>
      <c r="H75" s="6">
        <f t="shared" si="52"/>
        <v>351</v>
      </c>
      <c r="I75" s="5">
        <v>6625</v>
      </c>
      <c r="J75" s="6">
        <f t="shared" si="53"/>
        <v>54</v>
      </c>
      <c r="K75" s="5">
        <v>588</v>
      </c>
      <c r="L75" s="6">
        <f t="shared" si="54"/>
        <v>9</v>
      </c>
      <c r="M75" s="5">
        <v>949</v>
      </c>
      <c r="N75" s="6">
        <f t="shared" si="55"/>
        <v>11</v>
      </c>
      <c r="O75" s="13">
        <v>14287</v>
      </c>
      <c r="P75" s="6">
        <f t="shared" si="56"/>
        <v>205</v>
      </c>
      <c r="Q75" s="5">
        <v>2282</v>
      </c>
      <c r="R75" s="6">
        <f t="shared" si="57"/>
        <v>67</v>
      </c>
      <c r="S75" s="5">
        <v>5958</v>
      </c>
      <c r="T75" s="6">
        <f t="shared" si="58"/>
        <v>66</v>
      </c>
      <c r="U75" s="5">
        <v>4900</v>
      </c>
      <c r="V75" s="6">
        <f t="shared" si="59"/>
        <v>74</v>
      </c>
      <c r="W75" s="5">
        <v>483</v>
      </c>
      <c r="X75" s="6">
        <f t="shared" si="60"/>
        <v>5</v>
      </c>
      <c r="Y75" s="7">
        <f t="shared" si="61"/>
        <v>484</v>
      </c>
      <c r="Z75" s="7">
        <f t="shared" si="62"/>
        <v>212</v>
      </c>
      <c r="AA75" s="7">
        <f t="shared" si="63"/>
        <v>696</v>
      </c>
      <c r="AB75" s="17">
        <f t="shared" si="64"/>
        <v>4</v>
      </c>
      <c r="AC75" s="17">
        <f t="shared" si="65"/>
        <v>-7</v>
      </c>
      <c r="AD75" s="17">
        <f t="shared" si="66"/>
        <v>-3</v>
      </c>
    </row>
    <row r="76" spans="1:30" hidden="1" x14ac:dyDescent="0.3">
      <c r="A76" s="9" t="s">
        <v>70</v>
      </c>
      <c r="B76" s="33">
        <v>45906</v>
      </c>
      <c r="C76" s="5">
        <v>32467</v>
      </c>
      <c r="D76" s="6">
        <f t="shared" si="50"/>
        <v>14</v>
      </c>
      <c r="E76" s="5">
        <v>3146</v>
      </c>
      <c r="F76" s="6">
        <f t="shared" si="51"/>
        <v>0</v>
      </c>
      <c r="G76" s="5">
        <v>15004</v>
      </c>
      <c r="H76" s="6">
        <f t="shared" si="52"/>
        <v>0</v>
      </c>
      <c r="I76" s="5">
        <v>6679</v>
      </c>
      <c r="J76" s="6">
        <f t="shared" si="53"/>
        <v>17</v>
      </c>
      <c r="K76" s="5">
        <v>597</v>
      </c>
      <c r="L76" s="6">
        <f t="shared" si="54"/>
        <v>0</v>
      </c>
      <c r="M76" s="5">
        <v>960</v>
      </c>
      <c r="N76" s="6">
        <f t="shared" si="55"/>
        <v>2</v>
      </c>
      <c r="O76" s="13">
        <v>14492</v>
      </c>
      <c r="P76" s="6">
        <f t="shared" si="56"/>
        <v>20</v>
      </c>
      <c r="Q76" s="5">
        <v>2349</v>
      </c>
      <c r="R76" s="6">
        <f t="shared" si="57"/>
        <v>0</v>
      </c>
      <c r="S76" s="5">
        <v>6024</v>
      </c>
      <c r="T76" s="6">
        <f t="shared" si="58"/>
        <v>17</v>
      </c>
      <c r="U76" s="5">
        <v>4974</v>
      </c>
      <c r="V76" s="6">
        <f t="shared" si="59"/>
        <v>0</v>
      </c>
      <c r="W76" s="5">
        <v>488</v>
      </c>
      <c r="X76" s="6">
        <f t="shared" si="60"/>
        <v>2</v>
      </c>
      <c r="Y76" s="7">
        <f t="shared" si="61"/>
        <v>19</v>
      </c>
      <c r="Z76" s="7">
        <f t="shared" si="62"/>
        <v>19</v>
      </c>
      <c r="AA76" s="7">
        <f t="shared" si="63"/>
        <v>38</v>
      </c>
      <c r="AB76" s="17">
        <f t="shared" si="64"/>
        <v>-5</v>
      </c>
      <c r="AC76" s="17">
        <f t="shared" si="65"/>
        <v>1</v>
      </c>
      <c r="AD76" s="17">
        <f t="shared" si="66"/>
        <v>-4</v>
      </c>
    </row>
    <row r="77" spans="1:30" hidden="1" x14ac:dyDescent="0.3">
      <c r="A77" s="9" t="s">
        <v>71</v>
      </c>
      <c r="B77" s="33">
        <v>45907</v>
      </c>
      <c r="C77" s="5">
        <v>32481</v>
      </c>
      <c r="D77" s="6">
        <f t="shared" si="50"/>
        <v>30</v>
      </c>
      <c r="E77" s="5">
        <v>3146</v>
      </c>
      <c r="F77" s="6">
        <f t="shared" si="51"/>
        <v>0</v>
      </c>
      <c r="G77" s="5">
        <v>15004</v>
      </c>
      <c r="H77" s="6">
        <f t="shared" si="52"/>
        <v>7</v>
      </c>
      <c r="I77" s="5">
        <v>6696</v>
      </c>
      <c r="J77" s="6">
        <f t="shared" si="53"/>
        <v>19</v>
      </c>
      <c r="K77" s="5">
        <v>597</v>
      </c>
      <c r="L77" s="6">
        <f t="shared" si="54"/>
        <v>1</v>
      </c>
      <c r="M77" s="5">
        <v>962</v>
      </c>
      <c r="N77" s="6">
        <f t="shared" si="55"/>
        <v>3</v>
      </c>
      <c r="O77" s="13">
        <v>14512</v>
      </c>
      <c r="P77" s="6">
        <f t="shared" si="56"/>
        <v>21</v>
      </c>
      <c r="Q77" s="5">
        <v>2349</v>
      </c>
      <c r="R77" s="6">
        <f t="shared" si="57"/>
        <v>1</v>
      </c>
      <c r="S77" s="5">
        <v>6041</v>
      </c>
      <c r="T77" s="6">
        <f t="shared" si="58"/>
        <v>17</v>
      </c>
      <c r="U77" s="5">
        <v>4974</v>
      </c>
      <c r="V77" s="6">
        <f t="shared" si="59"/>
        <v>1</v>
      </c>
      <c r="W77" s="5">
        <v>490</v>
      </c>
      <c r="X77" s="6">
        <f t="shared" si="60"/>
        <v>3</v>
      </c>
      <c r="Y77" s="7">
        <f t="shared" si="61"/>
        <v>30</v>
      </c>
      <c r="Z77" s="7">
        <f t="shared" si="62"/>
        <v>22</v>
      </c>
      <c r="AA77" s="7">
        <f t="shared" si="63"/>
        <v>52</v>
      </c>
      <c r="AB77" s="17">
        <f t="shared" si="64"/>
        <v>0</v>
      </c>
      <c r="AC77" s="17">
        <f t="shared" si="65"/>
        <v>-1</v>
      </c>
      <c r="AD77" s="17">
        <f t="shared" si="66"/>
        <v>-1</v>
      </c>
    </row>
    <row r="78" spans="1:30" hidden="1" x14ac:dyDescent="0.3">
      <c r="A78" s="9" t="s">
        <v>72</v>
      </c>
      <c r="B78" s="33">
        <v>45908</v>
      </c>
      <c r="C78" s="5">
        <v>32511</v>
      </c>
      <c r="D78" s="6">
        <f t="shared" si="50"/>
        <v>424</v>
      </c>
      <c r="E78" s="5">
        <v>3146</v>
      </c>
      <c r="F78" s="6">
        <f t="shared" si="51"/>
        <v>59</v>
      </c>
      <c r="G78" s="5">
        <v>15011</v>
      </c>
      <c r="H78" s="6">
        <f t="shared" si="52"/>
        <v>274</v>
      </c>
      <c r="I78" s="5">
        <v>6715</v>
      </c>
      <c r="J78" s="6">
        <f t="shared" si="53"/>
        <v>68</v>
      </c>
      <c r="K78" s="5">
        <v>598</v>
      </c>
      <c r="L78" s="6">
        <f t="shared" si="54"/>
        <v>12</v>
      </c>
      <c r="M78" s="5">
        <v>965</v>
      </c>
      <c r="N78" s="6">
        <f t="shared" si="55"/>
        <v>11</v>
      </c>
      <c r="O78" s="13">
        <v>14533</v>
      </c>
      <c r="P78" s="6">
        <f t="shared" si="56"/>
        <v>224</v>
      </c>
      <c r="Q78" s="5">
        <v>2350</v>
      </c>
      <c r="R78" s="6">
        <f t="shared" si="57"/>
        <v>63</v>
      </c>
      <c r="S78" s="5">
        <v>6058</v>
      </c>
      <c r="T78" s="6">
        <f t="shared" si="58"/>
        <v>86</v>
      </c>
      <c r="U78" s="5">
        <v>4975</v>
      </c>
      <c r="V78" s="6">
        <f t="shared" si="59"/>
        <v>66</v>
      </c>
      <c r="W78" s="5">
        <v>493</v>
      </c>
      <c r="X78" s="6">
        <f t="shared" si="60"/>
        <v>5</v>
      </c>
      <c r="Y78" s="7">
        <f t="shared" si="61"/>
        <v>424</v>
      </c>
      <c r="Z78" s="7">
        <f t="shared" si="62"/>
        <v>220</v>
      </c>
      <c r="AA78" s="7">
        <f t="shared" si="63"/>
        <v>644</v>
      </c>
      <c r="AB78" s="17">
        <f t="shared" si="64"/>
        <v>0</v>
      </c>
      <c r="AC78" s="17">
        <f t="shared" si="65"/>
        <v>4</v>
      </c>
      <c r="AD78" s="17">
        <f t="shared" si="66"/>
        <v>4</v>
      </c>
    </row>
    <row r="79" spans="1:30" hidden="1" x14ac:dyDescent="0.3">
      <c r="A79" s="9" t="s">
        <v>66</v>
      </c>
      <c r="B79" s="33">
        <v>45909</v>
      </c>
      <c r="C79" s="5">
        <v>32935</v>
      </c>
      <c r="D79" s="6">
        <f t="shared" si="50"/>
        <v>404</v>
      </c>
      <c r="E79" s="5">
        <v>3205</v>
      </c>
      <c r="F79" s="6">
        <f t="shared" si="51"/>
        <v>62</v>
      </c>
      <c r="G79" s="5">
        <v>15285</v>
      </c>
      <c r="H79" s="6">
        <f t="shared" si="52"/>
        <v>257</v>
      </c>
      <c r="I79" s="5">
        <v>6783</v>
      </c>
      <c r="J79" s="6">
        <f t="shared" si="53"/>
        <v>62</v>
      </c>
      <c r="K79" s="5">
        <v>610</v>
      </c>
      <c r="L79" s="6">
        <f t="shared" si="54"/>
        <v>12</v>
      </c>
      <c r="M79" s="5">
        <v>976</v>
      </c>
      <c r="N79" s="6">
        <f t="shared" si="55"/>
        <v>11</v>
      </c>
      <c r="O79" s="13">
        <v>14757</v>
      </c>
      <c r="P79" s="6">
        <f t="shared" si="56"/>
        <v>196</v>
      </c>
      <c r="Q79" s="5">
        <v>2413</v>
      </c>
      <c r="R79" s="6">
        <f t="shared" si="57"/>
        <v>49</v>
      </c>
      <c r="S79" s="5">
        <v>6144</v>
      </c>
      <c r="T79" s="6">
        <f t="shared" si="58"/>
        <v>79</v>
      </c>
      <c r="U79" s="5">
        <v>5041</v>
      </c>
      <c r="V79" s="6">
        <f t="shared" si="59"/>
        <v>62</v>
      </c>
      <c r="W79" s="5">
        <v>498</v>
      </c>
      <c r="X79" s="6">
        <f t="shared" si="60"/>
        <v>5</v>
      </c>
      <c r="Y79" s="7">
        <f t="shared" si="61"/>
        <v>404</v>
      </c>
      <c r="Z79" s="7">
        <f t="shared" si="62"/>
        <v>195</v>
      </c>
      <c r="AA79" s="7">
        <f t="shared" si="63"/>
        <v>599</v>
      </c>
      <c r="AB79" s="17">
        <f t="shared" si="64"/>
        <v>0</v>
      </c>
      <c r="AC79" s="17">
        <f t="shared" si="65"/>
        <v>1</v>
      </c>
      <c r="AD79" s="17">
        <f t="shared" si="66"/>
        <v>1</v>
      </c>
    </row>
    <row r="80" spans="1:30" hidden="1" x14ac:dyDescent="0.3">
      <c r="A80" s="9" t="s">
        <v>67</v>
      </c>
      <c r="B80" s="33">
        <v>45910</v>
      </c>
      <c r="C80" s="5">
        <v>33339</v>
      </c>
      <c r="D80" s="6">
        <f t="shared" si="50"/>
        <v>390</v>
      </c>
      <c r="E80" s="5">
        <v>3267</v>
      </c>
      <c r="F80" s="6">
        <f t="shared" si="51"/>
        <v>51</v>
      </c>
      <c r="G80" s="5">
        <v>15542</v>
      </c>
      <c r="H80" s="6">
        <f t="shared" si="52"/>
        <v>254</v>
      </c>
      <c r="I80" s="5">
        <v>6845</v>
      </c>
      <c r="J80" s="6">
        <f t="shared" si="53"/>
        <v>65</v>
      </c>
      <c r="K80" s="5">
        <v>622</v>
      </c>
      <c r="L80" s="6">
        <f t="shared" si="54"/>
        <v>12</v>
      </c>
      <c r="M80" s="5">
        <v>987</v>
      </c>
      <c r="N80" s="6">
        <f t="shared" si="55"/>
        <v>10</v>
      </c>
      <c r="O80" s="13">
        <v>14953</v>
      </c>
      <c r="P80" s="6">
        <f t="shared" si="56"/>
        <v>198</v>
      </c>
      <c r="Q80" s="5">
        <v>2462</v>
      </c>
      <c r="R80" s="6">
        <f t="shared" si="57"/>
        <v>52</v>
      </c>
      <c r="S80" s="5">
        <v>6223</v>
      </c>
      <c r="T80" s="6">
        <f t="shared" si="58"/>
        <v>82</v>
      </c>
      <c r="U80" s="5">
        <v>5103</v>
      </c>
      <c r="V80" s="6">
        <f t="shared" si="59"/>
        <v>58</v>
      </c>
      <c r="W80" s="5">
        <v>503</v>
      </c>
      <c r="X80" s="6">
        <f t="shared" si="60"/>
        <v>6</v>
      </c>
      <c r="Y80" s="7">
        <f t="shared" si="61"/>
        <v>392</v>
      </c>
      <c r="Z80" s="7">
        <f t="shared" si="62"/>
        <v>198</v>
      </c>
      <c r="AA80" s="7">
        <f t="shared" si="63"/>
        <v>590</v>
      </c>
      <c r="AB80" s="17">
        <f t="shared" si="64"/>
        <v>-2</v>
      </c>
      <c r="AC80" s="17">
        <f t="shared" si="65"/>
        <v>0</v>
      </c>
      <c r="AD80" s="17">
        <f t="shared" si="66"/>
        <v>-2</v>
      </c>
    </row>
    <row r="81" spans="1:30" hidden="1" x14ac:dyDescent="0.3">
      <c r="A81" s="9" t="s">
        <v>68</v>
      </c>
      <c r="B81" s="33">
        <v>45911</v>
      </c>
      <c r="C81" s="5">
        <v>33729</v>
      </c>
      <c r="D81" s="6">
        <f t="shared" si="50"/>
        <v>466</v>
      </c>
      <c r="E81" s="5">
        <v>3318</v>
      </c>
      <c r="F81" s="6">
        <f t="shared" si="51"/>
        <v>65</v>
      </c>
      <c r="G81" s="5">
        <v>15796</v>
      </c>
      <c r="H81" s="6">
        <f t="shared" si="52"/>
        <v>290</v>
      </c>
      <c r="I81" s="5">
        <v>6910</v>
      </c>
      <c r="J81" s="6">
        <f t="shared" si="53"/>
        <v>87</v>
      </c>
      <c r="K81" s="5">
        <v>634</v>
      </c>
      <c r="L81" s="6">
        <f t="shared" si="54"/>
        <v>15</v>
      </c>
      <c r="M81" s="5">
        <v>997</v>
      </c>
      <c r="N81" s="6">
        <f t="shared" si="55"/>
        <v>12</v>
      </c>
      <c r="O81" s="13">
        <v>15151</v>
      </c>
      <c r="P81" s="6">
        <f t="shared" si="56"/>
        <v>233</v>
      </c>
      <c r="Q81" s="5">
        <v>2514</v>
      </c>
      <c r="R81" s="6">
        <f t="shared" si="57"/>
        <v>62</v>
      </c>
      <c r="S81" s="5">
        <v>6305</v>
      </c>
      <c r="T81" s="6">
        <f t="shared" si="58"/>
        <v>91</v>
      </c>
      <c r="U81" s="5">
        <v>5161</v>
      </c>
      <c r="V81" s="6">
        <f t="shared" si="59"/>
        <v>73</v>
      </c>
      <c r="W81" s="5">
        <v>509</v>
      </c>
      <c r="X81" s="6">
        <f t="shared" si="60"/>
        <v>5</v>
      </c>
      <c r="Y81" s="7">
        <f t="shared" si="61"/>
        <v>469</v>
      </c>
      <c r="Z81" s="7">
        <f t="shared" si="62"/>
        <v>231</v>
      </c>
      <c r="AA81" s="7">
        <f t="shared" si="63"/>
        <v>700</v>
      </c>
      <c r="AB81" s="17">
        <f t="shared" si="64"/>
        <v>-3</v>
      </c>
      <c r="AC81" s="17">
        <f t="shared" si="65"/>
        <v>2</v>
      </c>
      <c r="AD81" s="17">
        <f t="shared" si="66"/>
        <v>-1</v>
      </c>
    </row>
    <row r="82" spans="1:30" hidden="1" x14ac:dyDescent="0.3">
      <c r="A82" s="9" t="s">
        <v>69</v>
      </c>
      <c r="B82" s="33">
        <v>45912</v>
      </c>
      <c r="C82" s="5">
        <v>34195</v>
      </c>
      <c r="D82" s="6">
        <f t="shared" si="50"/>
        <v>454</v>
      </c>
      <c r="E82" s="5">
        <v>3383</v>
      </c>
      <c r="F82" s="6">
        <f t="shared" si="51"/>
        <v>80</v>
      </c>
      <c r="G82" s="5">
        <v>16086</v>
      </c>
      <c r="H82" s="6">
        <f t="shared" si="52"/>
        <v>267</v>
      </c>
      <c r="I82" s="5">
        <v>6997</v>
      </c>
      <c r="J82" s="6">
        <f t="shared" si="53"/>
        <v>86</v>
      </c>
      <c r="K82" s="5">
        <v>649</v>
      </c>
      <c r="L82" s="6">
        <f t="shared" si="54"/>
        <v>11</v>
      </c>
      <c r="M82" s="5">
        <v>1009</v>
      </c>
      <c r="N82" s="6">
        <f t="shared" si="55"/>
        <v>10</v>
      </c>
      <c r="O82" s="13">
        <v>15384</v>
      </c>
      <c r="P82" s="6">
        <f t="shared" si="56"/>
        <v>223</v>
      </c>
      <c r="Q82" s="5">
        <v>2576</v>
      </c>
      <c r="R82" s="6">
        <f t="shared" si="57"/>
        <v>49</v>
      </c>
      <c r="S82" s="5">
        <v>6396</v>
      </c>
      <c r="T82" s="6">
        <f t="shared" si="58"/>
        <v>95</v>
      </c>
      <c r="U82" s="5">
        <v>5234</v>
      </c>
      <c r="V82" s="6">
        <f t="shared" si="59"/>
        <v>72</v>
      </c>
      <c r="W82" s="5">
        <v>514</v>
      </c>
      <c r="X82" s="6">
        <f t="shared" si="60"/>
        <v>5</v>
      </c>
      <c r="Y82" s="7">
        <f t="shared" si="61"/>
        <v>454</v>
      </c>
      <c r="Z82" s="7">
        <f t="shared" si="62"/>
        <v>221</v>
      </c>
      <c r="AA82" s="7">
        <f t="shared" si="63"/>
        <v>675</v>
      </c>
      <c r="AB82" s="17">
        <f t="shared" si="64"/>
        <v>0</v>
      </c>
      <c r="AC82" s="17">
        <f t="shared" si="65"/>
        <v>2</v>
      </c>
      <c r="AD82" s="17">
        <f t="shared" si="66"/>
        <v>2</v>
      </c>
    </row>
    <row r="83" spans="1:30" hidden="1" x14ac:dyDescent="0.3">
      <c r="A83" s="9" t="s">
        <v>70</v>
      </c>
      <c r="B83" s="33">
        <v>45913</v>
      </c>
      <c r="C83" s="5">
        <v>34649</v>
      </c>
      <c r="D83" s="6">
        <f t="shared" si="50"/>
        <v>405</v>
      </c>
      <c r="E83" s="5">
        <v>3463</v>
      </c>
      <c r="F83" s="6">
        <f t="shared" si="51"/>
        <v>75</v>
      </c>
      <c r="G83" s="5">
        <v>16353</v>
      </c>
      <c r="H83" s="6">
        <f t="shared" si="52"/>
        <v>235</v>
      </c>
      <c r="I83" s="5">
        <v>7083</v>
      </c>
      <c r="J83" s="6">
        <f t="shared" si="53"/>
        <v>77</v>
      </c>
      <c r="K83" s="5">
        <v>660</v>
      </c>
      <c r="L83" s="6">
        <f t="shared" si="54"/>
        <v>13</v>
      </c>
      <c r="M83" s="5">
        <v>1019</v>
      </c>
      <c r="N83" s="6">
        <f t="shared" si="55"/>
        <v>6</v>
      </c>
      <c r="O83" s="13">
        <v>15607</v>
      </c>
      <c r="P83" s="6">
        <f t="shared" si="56"/>
        <v>151</v>
      </c>
      <c r="Q83" s="5">
        <v>2625</v>
      </c>
      <c r="R83" s="6">
        <f t="shared" si="57"/>
        <v>49</v>
      </c>
      <c r="S83" s="5">
        <v>6491</v>
      </c>
      <c r="T83" s="6">
        <f t="shared" si="58"/>
        <v>95</v>
      </c>
      <c r="U83" s="5">
        <v>5306</v>
      </c>
      <c r="V83" s="6">
        <f t="shared" si="59"/>
        <v>2</v>
      </c>
      <c r="W83" s="5">
        <v>519</v>
      </c>
      <c r="X83" s="6">
        <f t="shared" si="60"/>
        <v>5</v>
      </c>
      <c r="Y83" s="7">
        <f t="shared" si="61"/>
        <v>406</v>
      </c>
      <c r="Z83" s="7">
        <f t="shared" si="62"/>
        <v>151</v>
      </c>
      <c r="AA83" s="7">
        <f t="shared" si="63"/>
        <v>557</v>
      </c>
      <c r="AB83" s="17">
        <f t="shared" si="64"/>
        <v>-1</v>
      </c>
      <c r="AC83" s="17">
        <f t="shared" si="65"/>
        <v>0</v>
      </c>
      <c r="AD83" s="17">
        <f t="shared" si="66"/>
        <v>-1</v>
      </c>
    </row>
    <row r="84" spans="1:30" hidden="1" x14ac:dyDescent="0.3">
      <c r="A84" s="9" t="s">
        <v>71</v>
      </c>
      <c r="B84" s="33">
        <v>45914</v>
      </c>
      <c r="C84" s="5">
        <v>35054</v>
      </c>
      <c r="D84" s="6">
        <f t="shared" si="50"/>
        <v>49</v>
      </c>
      <c r="E84" s="5">
        <v>3538</v>
      </c>
      <c r="F84" s="6">
        <f t="shared" si="51"/>
        <v>6</v>
      </c>
      <c r="G84" s="5">
        <v>16588</v>
      </c>
      <c r="H84" s="6">
        <f t="shared" si="52"/>
        <v>11</v>
      </c>
      <c r="I84" s="5">
        <v>7160</v>
      </c>
      <c r="J84" s="6">
        <f t="shared" si="53"/>
        <v>28</v>
      </c>
      <c r="K84" s="5">
        <v>673</v>
      </c>
      <c r="L84" s="6">
        <f t="shared" si="54"/>
        <v>1</v>
      </c>
      <c r="M84" s="5">
        <v>1025</v>
      </c>
      <c r="N84" s="6">
        <f t="shared" si="55"/>
        <v>3</v>
      </c>
      <c r="O84" s="13">
        <v>15758</v>
      </c>
      <c r="P84" s="6">
        <f t="shared" si="56"/>
        <v>105</v>
      </c>
      <c r="Q84" s="5">
        <v>2674</v>
      </c>
      <c r="R84" s="6">
        <f t="shared" si="57"/>
        <v>2</v>
      </c>
      <c r="S84" s="5">
        <v>6586</v>
      </c>
      <c r="T84" s="6">
        <f t="shared" si="58"/>
        <v>34</v>
      </c>
      <c r="U84" s="5">
        <v>5308</v>
      </c>
      <c r="V84" s="6">
        <f t="shared" si="59"/>
        <v>63</v>
      </c>
      <c r="W84" s="5">
        <v>524</v>
      </c>
      <c r="X84" s="6">
        <f t="shared" si="60"/>
        <v>3</v>
      </c>
      <c r="Y84" s="7">
        <f t="shared" si="61"/>
        <v>49</v>
      </c>
      <c r="Z84" s="7">
        <f t="shared" si="62"/>
        <v>102</v>
      </c>
      <c r="AA84" s="7">
        <f t="shared" si="63"/>
        <v>151</v>
      </c>
      <c r="AB84" s="17">
        <f t="shared" si="64"/>
        <v>0</v>
      </c>
      <c r="AC84" s="17">
        <f t="shared" si="65"/>
        <v>3</v>
      </c>
      <c r="AD84" s="17">
        <f t="shared" si="66"/>
        <v>3</v>
      </c>
    </row>
    <row r="85" spans="1:30" hidden="1" x14ac:dyDescent="0.3">
      <c r="A85" s="9" t="s">
        <v>72</v>
      </c>
      <c r="B85" s="33">
        <v>45915</v>
      </c>
      <c r="C85" s="5">
        <v>35103</v>
      </c>
      <c r="D85" s="6">
        <f t="shared" si="50"/>
        <v>467</v>
      </c>
      <c r="E85" s="5">
        <v>3544</v>
      </c>
      <c r="F85" s="6">
        <f t="shared" si="51"/>
        <v>84</v>
      </c>
      <c r="G85" s="5">
        <v>16599</v>
      </c>
      <c r="H85" s="6">
        <f t="shared" si="52"/>
        <v>256</v>
      </c>
      <c r="I85" s="5">
        <v>7188</v>
      </c>
      <c r="J85" s="6">
        <f t="shared" si="53"/>
        <v>109</v>
      </c>
      <c r="K85" s="5">
        <v>674</v>
      </c>
      <c r="L85" s="6">
        <f t="shared" si="54"/>
        <v>8</v>
      </c>
      <c r="M85" s="5">
        <v>1028</v>
      </c>
      <c r="N85" s="6">
        <f t="shared" si="55"/>
        <v>10</v>
      </c>
      <c r="O85" s="13">
        <v>15863</v>
      </c>
      <c r="P85" s="6">
        <f t="shared" si="56"/>
        <v>264</v>
      </c>
      <c r="Q85" s="5">
        <v>2676</v>
      </c>
      <c r="R85" s="6">
        <f t="shared" si="57"/>
        <v>66</v>
      </c>
      <c r="S85" s="5">
        <v>6620</v>
      </c>
      <c r="T85" s="6">
        <f t="shared" si="58"/>
        <v>122</v>
      </c>
      <c r="U85" s="5">
        <v>5371</v>
      </c>
      <c r="V85" s="6">
        <f t="shared" si="59"/>
        <v>70</v>
      </c>
      <c r="W85" s="5">
        <v>527</v>
      </c>
      <c r="X85" s="6">
        <f t="shared" si="60"/>
        <v>6</v>
      </c>
      <c r="Y85" s="7">
        <f t="shared" si="61"/>
        <v>467</v>
      </c>
      <c r="Z85" s="7">
        <f t="shared" si="62"/>
        <v>264</v>
      </c>
      <c r="AA85" s="7">
        <f t="shared" si="63"/>
        <v>731</v>
      </c>
      <c r="AB85" s="17">
        <f t="shared" si="64"/>
        <v>0</v>
      </c>
      <c r="AC85" s="17">
        <f t="shared" si="65"/>
        <v>0</v>
      </c>
      <c r="AD85" s="17">
        <f t="shared" si="66"/>
        <v>0</v>
      </c>
    </row>
    <row r="86" spans="1:30" hidden="1" x14ac:dyDescent="0.3">
      <c r="A86" s="9" t="s">
        <v>66</v>
      </c>
      <c r="B86" s="33">
        <v>45916</v>
      </c>
      <c r="C86" s="5">
        <v>35570</v>
      </c>
      <c r="D86" s="6">
        <f t="shared" si="50"/>
        <v>475</v>
      </c>
      <c r="E86" s="5">
        <v>3628</v>
      </c>
      <c r="F86" s="6">
        <f t="shared" si="51"/>
        <v>73</v>
      </c>
      <c r="G86" s="5">
        <v>16855</v>
      </c>
      <c r="H86" s="6">
        <f t="shared" si="52"/>
        <v>270</v>
      </c>
      <c r="I86" s="5">
        <v>7297</v>
      </c>
      <c r="J86" s="6">
        <f t="shared" si="53"/>
        <v>112</v>
      </c>
      <c r="K86" s="5">
        <v>682</v>
      </c>
      <c r="L86" s="6">
        <f t="shared" si="54"/>
        <v>11</v>
      </c>
      <c r="M86" s="5">
        <v>1038</v>
      </c>
      <c r="N86" s="6">
        <f t="shared" si="55"/>
        <v>10</v>
      </c>
      <c r="O86" s="13">
        <v>16127</v>
      </c>
      <c r="P86" s="6">
        <f t="shared" si="56"/>
        <v>298</v>
      </c>
      <c r="Q86" s="5">
        <v>2742</v>
      </c>
      <c r="R86" s="6">
        <f t="shared" si="57"/>
        <v>83</v>
      </c>
      <c r="S86" s="5">
        <v>6742</v>
      </c>
      <c r="T86" s="6">
        <f t="shared" si="58"/>
        <v>124</v>
      </c>
      <c r="U86" s="5">
        <v>5441</v>
      </c>
      <c r="V86" s="6">
        <f t="shared" si="59"/>
        <v>83</v>
      </c>
      <c r="W86" s="5">
        <v>533</v>
      </c>
      <c r="X86" s="6">
        <f t="shared" si="60"/>
        <v>6</v>
      </c>
      <c r="Y86" s="7">
        <f t="shared" si="61"/>
        <v>476</v>
      </c>
      <c r="Z86" s="7">
        <f t="shared" si="62"/>
        <v>296</v>
      </c>
      <c r="AA86" s="7">
        <f t="shared" si="63"/>
        <v>772</v>
      </c>
      <c r="AB86" s="17">
        <f t="shared" si="64"/>
        <v>-1</v>
      </c>
      <c r="AC86" s="17">
        <f t="shared" si="65"/>
        <v>2</v>
      </c>
      <c r="AD86" s="17">
        <f t="shared" si="66"/>
        <v>1</v>
      </c>
    </row>
    <row r="87" spans="1:30" hidden="1" x14ac:dyDescent="0.3">
      <c r="A87" s="9" t="s">
        <v>67</v>
      </c>
      <c r="B87" s="33">
        <v>45917</v>
      </c>
      <c r="C87" s="5">
        <v>36045</v>
      </c>
      <c r="D87" s="6">
        <f t="shared" si="50"/>
        <v>472</v>
      </c>
      <c r="E87" s="5">
        <v>3701</v>
      </c>
      <c r="F87" s="6">
        <f t="shared" si="51"/>
        <v>80</v>
      </c>
      <c r="G87" s="5">
        <v>17125</v>
      </c>
      <c r="H87" s="6">
        <f t="shared" si="52"/>
        <v>270</v>
      </c>
      <c r="I87" s="5">
        <v>7409</v>
      </c>
      <c r="J87" s="6">
        <f t="shared" si="53"/>
        <v>100</v>
      </c>
      <c r="K87" s="5">
        <v>693</v>
      </c>
      <c r="L87" s="6">
        <f t="shared" si="54"/>
        <v>12</v>
      </c>
      <c r="M87" s="5">
        <v>1048</v>
      </c>
      <c r="N87" s="6">
        <f t="shared" si="55"/>
        <v>11</v>
      </c>
      <c r="O87" s="13">
        <v>16425</v>
      </c>
      <c r="P87" s="6">
        <f t="shared" si="56"/>
        <v>299</v>
      </c>
      <c r="Q87" s="5">
        <v>2825</v>
      </c>
      <c r="R87" s="6">
        <f t="shared" si="57"/>
        <v>86</v>
      </c>
      <c r="S87" s="5">
        <v>6866</v>
      </c>
      <c r="T87" s="6">
        <f t="shared" si="58"/>
        <v>129</v>
      </c>
      <c r="U87" s="5">
        <v>5524</v>
      </c>
      <c r="V87" s="6">
        <f t="shared" si="59"/>
        <v>76</v>
      </c>
      <c r="W87" s="5">
        <v>539</v>
      </c>
      <c r="X87" s="6">
        <f t="shared" si="60"/>
        <v>6</v>
      </c>
      <c r="Y87" s="7">
        <f t="shared" si="61"/>
        <v>473</v>
      </c>
      <c r="Z87" s="7">
        <f t="shared" si="62"/>
        <v>297</v>
      </c>
      <c r="AA87" s="7">
        <f t="shared" si="63"/>
        <v>770</v>
      </c>
      <c r="AB87" s="17">
        <f t="shared" si="64"/>
        <v>-1</v>
      </c>
      <c r="AC87" s="17">
        <f t="shared" si="65"/>
        <v>2</v>
      </c>
      <c r="AD87" s="17">
        <f t="shared" si="66"/>
        <v>1</v>
      </c>
    </row>
    <row r="88" spans="1:30" hidden="1" x14ac:dyDescent="0.3">
      <c r="A88" s="9" t="s">
        <v>68</v>
      </c>
      <c r="B88" s="33">
        <v>45918</v>
      </c>
      <c r="C88" s="5">
        <v>36517</v>
      </c>
      <c r="D88" s="6">
        <f t="shared" si="50"/>
        <v>507</v>
      </c>
      <c r="E88" s="5">
        <v>3781</v>
      </c>
      <c r="F88" s="6">
        <f t="shared" si="51"/>
        <v>98</v>
      </c>
      <c r="G88" s="5">
        <v>17395</v>
      </c>
      <c r="H88" s="6">
        <f t="shared" si="52"/>
        <v>269</v>
      </c>
      <c r="I88" s="5">
        <v>7509</v>
      </c>
      <c r="J88" s="6">
        <f t="shared" si="53"/>
        <v>117</v>
      </c>
      <c r="K88" s="5">
        <v>705</v>
      </c>
      <c r="L88" s="6">
        <f t="shared" si="54"/>
        <v>13</v>
      </c>
      <c r="M88" s="5">
        <v>1059</v>
      </c>
      <c r="N88" s="6">
        <f t="shared" si="55"/>
        <v>12</v>
      </c>
      <c r="O88" s="13">
        <v>16724</v>
      </c>
      <c r="P88" s="6">
        <f t="shared" si="56"/>
        <v>302</v>
      </c>
      <c r="Q88" s="5">
        <v>2911</v>
      </c>
      <c r="R88" s="6">
        <f t="shared" si="57"/>
        <v>76</v>
      </c>
      <c r="S88" s="5">
        <v>6995</v>
      </c>
      <c r="T88" s="6">
        <f t="shared" si="58"/>
        <v>139</v>
      </c>
      <c r="U88" s="5">
        <v>5600</v>
      </c>
      <c r="V88" s="6">
        <f t="shared" si="59"/>
        <v>80</v>
      </c>
      <c r="W88" s="5">
        <v>545</v>
      </c>
      <c r="X88" s="6">
        <f t="shared" si="60"/>
        <v>7</v>
      </c>
      <c r="Y88" s="7">
        <f t="shared" si="61"/>
        <v>509</v>
      </c>
      <c r="Z88" s="7">
        <f t="shared" si="62"/>
        <v>302</v>
      </c>
      <c r="AA88" s="7">
        <f t="shared" si="63"/>
        <v>811</v>
      </c>
      <c r="AB88" s="17">
        <f t="shared" si="64"/>
        <v>-2</v>
      </c>
      <c r="AC88" s="17">
        <f t="shared" si="65"/>
        <v>0</v>
      </c>
      <c r="AD88" s="17">
        <f t="shared" si="66"/>
        <v>-2</v>
      </c>
    </row>
    <row r="89" spans="1:30" hidden="1" x14ac:dyDescent="0.3">
      <c r="A89" s="9" t="s">
        <v>69</v>
      </c>
      <c r="B89" s="33">
        <v>45919</v>
      </c>
      <c r="C89" s="5">
        <v>37024</v>
      </c>
      <c r="D89" s="6">
        <f t="shared" si="50"/>
        <v>485</v>
      </c>
      <c r="E89" s="5">
        <v>3879</v>
      </c>
      <c r="F89" s="6">
        <f t="shared" si="51"/>
        <v>83</v>
      </c>
      <c r="G89" s="5">
        <v>17664</v>
      </c>
      <c r="H89" s="6">
        <f t="shared" si="52"/>
        <v>269</v>
      </c>
      <c r="I89" s="5">
        <v>7626</v>
      </c>
      <c r="J89" s="6">
        <f t="shared" si="53"/>
        <v>111</v>
      </c>
      <c r="K89" s="5">
        <v>718</v>
      </c>
      <c r="L89" s="6">
        <f t="shared" si="54"/>
        <v>13</v>
      </c>
      <c r="M89" s="5">
        <v>1071</v>
      </c>
      <c r="N89" s="6">
        <f t="shared" si="55"/>
        <v>10</v>
      </c>
      <c r="O89" s="13">
        <v>17026</v>
      </c>
      <c r="P89" s="6">
        <f t="shared" si="56"/>
        <v>294</v>
      </c>
      <c r="Q89" s="5">
        <v>2987</v>
      </c>
      <c r="R89" s="6">
        <f t="shared" si="57"/>
        <v>76</v>
      </c>
      <c r="S89" s="5">
        <v>7134</v>
      </c>
      <c r="T89" s="6">
        <f t="shared" si="58"/>
        <v>124</v>
      </c>
      <c r="U89" s="5">
        <v>5680</v>
      </c>
      <c r="V89" s="6">
        <f t="shared" si="59"/>
        <v>86</v>
      </c>
      <c r="W89" s="5">
        <v>552</v>
      </c>
      <c r="X89" s="6">
        <f t="shared" si="60"/>
        <v>6</v>
      </c>
      <c r="Y89" s="7">
        <f t="shared" si="61"/>
        <v>486</v>
      </c>
      <c r="Z89" s="7">
        <f t="shared" si="62"/>
        <v>292</v>
      </c>
      <c r="AA89" s="7">
        <f t="shared" si="63"/>
        <v>778</v>
      </c>
      <c r="AB89" s="17">
        <f t="shared" si="64"/>
        <v>-1</v>
      </c>
      <c r="AC89" s="17">
        <f t="shared" si="65"/>
        <v>2</v>
      </c>
      <c r="AD89" s="17">
        <f t="shared" si="66"/>
        <v>1</v>
      </c>
    </row>
    <row r="90" spans="1:30" hidden="1" x14ac:dyDescent="0.3">
      <c r="A90" s="9" t="s">
        <v>70</v>
      </c>
      <c r="B90" s="33">
        <v>45920</v>
      </c>
      <c r="C90" s="5">
        <v>37509</v>
      </c>
      <c r="D90" s="6">
        <f t="shared" si="50"/>
        <v>442</v>
      </c>
      <c r="E90" s="5">
        <v>3962</v>
      </c>
      <c r="F90" s="6">
        <f t="shared" si="51"/>
        <v>97</v>
      </c>
      <c r="G90" s="5">
        <v>17933</v>
      </c>
      <c r="H90" s="6">
        <f t="shared" si="52"/>
        <v>280</v>
      </c>
      <c r="I90" s="5">
        <v>7737</v>
      </c>
      <c r="J90" s="6">
        <f t="shared" si="53"/>
        <v>51</v>
      </c>
      <c r="K90" s="5">
        <v>731</v>
      </c>
      <c r="L90" s="6">
        <f t="shared" si="54"/>
        <v>0</v>
      </c>
      <c r="M90" s="5">
        <v>1081</v>
      </c>
      <c r="N90" s="6">
        <f t="shared" si="55"/>
        <v>8</v>
      </c>
      <c r="O90" s="13">
        <v>17320</v>
      </c>
      <c r="P90" s="6">
        <f t="shared" si="56"/>
        <v>195</v>
      </c>
      <c r="Q90" s="5">
        <v>3063</v>
      </c>
      <c r="R90" s="6">
        <f t="shared" si="57"/>
        <v>81</v>
      </c>
      <c r="S90" s="5">
        <v>7258</v>
      </c>
      <c r="T90" s="6">
        <f t="shared" si="58"/>
        <v>69</v>
      </c>
      <c r="U90" s="5">
        <v>5766</v>
      </c>
      <c r="V90" s="6">
        <f t="shared" si="59"/>
        <v>44</v>
      </c>
      <c r="W90" s="5">
        <v>558</v>
      </c>
      <c r="X90" s="6">
        <f t="shared" si="60"/>
        <v>4</v>
      </c>
      <c r="Y90" s="7">
        <f t="shared" si="61"/>
        <v>436</v>
      </c>
      <c r="Z90" s="7">
        <f t="shared" si="62"/>
        <v>198</v>
      </c>
      <c r="AA90" s="7">
        <f t="shared" si="63"/>
        <v>634</v>
      </c>
      <c r="AB90" s="17">
        <f t="shared" si="64"/>
        <v>6</v>
      </c>
      <c r="AC90" s="17">
        <f t="shared" si="65"/>
        <v>-3</v>
      </c>
      <c r="AD90" s="17">
        <f t="shared" si="66"/>
        <v>3</v>
      </c>
    </row>
    <row r="91" spans="1:30" hidden="1" x14ac:dyDescent="0.3">
      <c r="A91" s="9" t="s">
        <v>71</v>
      </c>
      <c r="B91" s="33">
        <v>45921</v>
      </c>
      <c r="C91" s="5">
        <v>37951</v>
      </c>
      <c r="D91" s="6">
        <f t="shared" si="50"/>
        <v>40</v>
      </c>
      <c r="E91" s="5">
        <v>4059</v>
      </c>
      <c r="F91" s="6">
        <f t="shared" si="51"/>
        <v>0</v>
      </c>
      <c r="G91" s="5">
        <v>18213</v>
      </c>
      <c r="H91" s="6">
        <f t="shared" si="52"/>
        <v>0</v>
      </c>
      <c r="I91" s="5">
        <v>7788</v>
      </c>
      <c r="J91" s="6">
        <f t="shared" si="53"/>
        <v>30</v>
      </c>
      <c r="K91" s="5">
        <v>731</v>
      </c>
      <c r="L91" s="6">
        <f t="shared" si="54"/>
        <v>12</v>
      </c>
      <c r="M91" s="5">
        <v>1089</v>
      </c>
      <c r="N91" s="6">
        <f t="shared" si="55"/>
        <v>4</v>
      </c>
      <c r="O91" s="13">
        <v>17515</v>
      </c>
      <c r="P91" s="6">
        <f t="shared" si="56"/>
        <v>105</v>
      </c>
      <c r="Q91" s="5">
        <v>3144</v>
      </c>
      <c r="R91" s="6">
        <f t="shared" si="57"/>
        <v>0</v>
      </c>
      <c r="S91" s="5">
        <v>7327</v>
      </c>
      <c r="T91" s="6">
        <f t="shared" si="58"/>
        <v>58</v>
      </c>
      <c r="U91" s="5">
        <v>5810</v>
      </c>
      <c r="V91" s="6">
        <f t="shared" si="59"/>
        <v>37</v>
      </c>
      <c r="W91" s="5">
        <v>562</v>
      </c>
      <c r="X91" s="6">
        <f t="shared" si="60"/>
        <v>4</v>
      </c>
      <c r="Y91" s="7">
        <f t="shared" si="61"/>
        <v>46</v>
      </c>
      <c r="Z91" s="7">
        <f t="shared" si="62"/>
        <v>99</v>
      </c>
      <c r="AA91" s="7">
        <f t="shared" si="63"/>
        <v>145</v>
      </c>
      <c r="AB91" s="17">
        <f t="shared" si="64"/>
        <v>-6</v>
      </c>
      <c r="AC91" s="17">
        <f t="shared" si="65"/>
        <v>6</v>
      </c>
      <c r="AD91" s="17">
        <f t="shared" si="66"/>
        <v>0</v>
      </c>
    </row>
    <row r="92" spans="1:30" hidden="1" x14ac:dyDescent="0.3">
      <c r="A92" s="9" t="s">
        <v>72</v>
      </c>
      <c r="B92" s="33">
        <v>45922</v>
      </c>
      <c r="C92" s="5">
        <v>37991</v>
      </c>
      <c r="D92" s="6">
        <f t="shared" si="50"/>
        <v>497</v>
      </c>
      <c r="E92" s="5">
        <v>4059</v>
      </c>
      <c r="F92" s="6">
        <f t="shared" si="51"/>
        <v>86</v>
      </c>
      <c r="G92" s="5">
        <v>18213</v>
      </c>
      <c r="H92" s="6">
        <f t="shared" si="52"/>
        <v>279</v>
      </c>
      <c r="I92" s="5">
        <v>7818</v>
      </c>
      <c r="J92" s="6">
        <f t="shared" si="53"/>
        <v>112</v>
      </c>
      <c r="K92" s="5">
        <v>743</v>
      </c>
      <c r="L92" s="6">
        <f t="shared" si="54"/>
        <v>12</v>
      </c>
      <c r="M92" s="5">
        <v>1093</v>
      </c>
      <c r="N92" s="6">
        <f t="shared" si="55"/>
        <v>10</v>
      </c>
      <c r="O92" s="13">
        <v>17620</v>
      </c>
      <c r="P92" s="6">
        <f t="shared" si="56"/>
        <v>301</v>
      </c>
      <c r="Q92" s="5">
        <v>3144</v>
      </c>
      <c r="R92" s="6">
        <f t="shared" si="57"/>
        <v>85</v>
      </c>
      <c r="S92" s="5">
        <v>7385</v>
      </c>
      <c r="T92" s="6">
        <f t="shared" si="58"/>
        <v>125</v>
      </c>
      <c r="U92" s="5">
        <v>5847</v>
      </c>
      <c r="V92" s="6">
        <f t="shared" si="59"/>
        <v>84</v>
      </c>
      <c r="W92" s="5">
        <v>566</v>
      </c>
      <c r="X92" s="6">
        <f t="shared" si="60"/>
        <v>7</v>
      </c>
      <c r="Y92" s="7">
        <f t="shared" si="61"/>
        <v>499</v>
      </c>
      <c r="Z92" s="7">
        <f t="shared" si="62"/>
        <v>301</v>
      </c>
      <c r="AA92" s="7">
        <f t="shared" si="63"/>
        <v>800</v>
      </c>
      <c r="AB92" s="17">
        <f t="shared" si="64"/>
        <v>-2</v>
      </c>
      <c r="AC92" s="17">
        <f t="shared" si="65"/>
        <v>0</v>
      </c>
      <c r="AD92" s="17">
        <f t="shared" si="66"/>
        <v>-2</v>
      </c>
    </row>
    <row r="93" spans="1:30" hidden="1" x14ac:dyDescent="0.3">
      <c r="A93" s="9" t="s">
        <v>66</v>
      </c>
      <c r="B93" s="33">
        <v>45923</v>
      </c>
      <c r="C93" s="5">
        <v>38488</v>
      </c>
      <c r="D93" s="6">
        <f t="shared" si="50"/>
        <v>523</v>
      </c>
      <c r="E93" s="5">
        <v>4145</v>
      </c>
      <c r="F93" s="6">
        <f t="shared" si="51"/>
        <v>97</v>
      </c>
      <c r="G93" s="5">
        <v>18492</v>
      </c>
      <c r="H93" s="6">
        <f t="shared" si="52"/>
        <v>301</v>
      </c>
      <c r="I93" s="5">
        <v>7930</v>
      </c>
      <c r="J93" s="6">
        <f t="shared" si="53"/>
        <v>102</v>
      </c>
      <c r="K93" s="5">
        <v>755</v>
      </c>
      <c r="L93" s="6">
        <f t="shared" si="54"/>
        <v>14</v>
      </c>
      <c r="M93" s="5">
        <v>1103</v>
      </c>
      <c r="N93" s="6">
        <f t="shared" si="55"/>
        <v>10</v>
      </c>
      <c r="O93" s="13">
        <v>17921</v>
      </c>
      <c r="P93" s="6">
        <f t="shared" si="56"/>
        <v>294</v>
      </c>
      <c r="Q93" s="5">
        <v>3229</v>
      </c>
      <c r="R93" s="6">
        <f t="shared" si="57"/>
        <v>82</v>
      </c>
      <c r="S93" s="5">
        <v>7510</v>
      </c>
      <c r="T93" s="6">
        <f t="shared" si="58"/>
        <v>119</v>
      </c>
      <c r="U93" s="5">
        <v>5931</v>
      </c>
      <c r="V93" s="6">
        <f t="shared" si="59"/>
        <v>85</v>
      </c>
      <c r="W93" s="5">
        <v>573</v>
      </c>
      <c r="X93" s="6">
        <f t="shared" si="60"/>
        <v>6</v>
      </c>
      <c r="Y93" s="7">
        <f t="shared" si="61"/>
        <v>524</v>
      </c>
      <c r="Z93" s="7">
        <f t="shared" si="62"/>
        <v>292</v>
      </c>
      <c r="AA93" s="7">
        <f t="shared" si="63"/>
        <v>816</v>
      </c>
      <c r="AB93" s="17">
        <f t="shared" si="64"/>
        <v>-1</v>
      </c>
      <c r="AC93" s="17">
        <f t="shared" si="65"/>
        <v>2</v>
      </c>
      <c r="AD93" s="17">
        <f t="shared" si="66"/>
        <v>1</v>
      </c>
    </row>
    <row r="94" spans="1:30" hidden="1" x14ac:dyDescent="0.3">
      <c r="A94" s="9" t="s">
        <v>67</v>
      </c>
      <c r="B94" s="33">
        <v>45924</v>
      </c>
      <c r="C94" s="5">
        <v>39011</v>
      </c>
      <c r="D94" s="6">
        <f t="shared" si="50"/>
        <v>500</v>
      </c>
      <c r="E94" s="5">
        <v>4242</v>
      </c>
      <c r="F94" s="6">
        <f t="shared" si="51"/>
        <v>97</v>
      </c>
      <c r="G94" s="5">
        <v>18793</v>
      </c>
      <c r="H94" s="6">
        <f t="shared" si="52"/>
        <v>282</v>
      </c>
      <c r="I94" s="5">
        <v>8032</v>
      </c>
      <c r="J94" s="6">
        <f t="shared" si="53"/>
        <v>98</v>
      </c>
      <c r="K94" s="5">
        <v>769</v>
      </c>
      <c r="L94" s="6">
        <f t="shared" si="54"/>
        <v>13</v>
      </c>
      <c r="M94" s="5">
        <v>1113</v>
      </c>
      <c r="N94" s="6">
        <f t="shared" si="55"/>
        <v>11</v>
      </c>
      <c r="O94" s="13">
        <v>18215</v>
      </c>
      <c r="P94" s="6">
        <f t="shared" si="56"/>
        <v>281</v>
      </c>
      <c r="Q94" s="5">
        <v>3311</v>
      </c>
      <c r="R94" s="6">
        <f t="shared" si="57"/>
        <v>79</v>
      </c>
      <c r="S94" s="5">
        <v>7629</v>
      </c>
      <c r="T94" s="6">
        <f t="shared" si="58"/>
        <v>110</v>
      </c>
      <c r="U94" s="5">
        <v>6016</v>
      </c>
      <c r="V94" s="6">
        <f t="shared" si="59"/>
        <v>79</v>
      </c>
      <c r="W94" s="5">
        <v>579</v>
      </c>
      <c r="X94" s="6">
        <f t="shared" si="60"/>
        <v>6</v>
      </c>
      <c r="Y94" s="7">
        <f t="shared" si="61"/>
        <v>501</v>
      </c>
      <c r="Z94" s="7">
        <f t="shared" si="62"/>
        <v>274</v>
      </c>
      <c r="AA94" s="7">
        <f t="shared" si="63"/>
        <v>775</v>
      </c>
      <c r="AB94" s="17">
        <f t="shared" si="64"/>
        <v>-1</v>
      </c>
      <c r="AC94" s="17">
        <f t="shared" si="65"/>
        <v>7</v>
      </c>
      <c r="AD94" s="17">
        <f t="shared" si="66"/>
        <v>6</v>
      </c>
    </row>
    <row r="95" spans="1:30" hidden="1" x14ac:dyDescent="0.3">
      <c r="A95" s="9" t="s">
        <v>68</v>
      </c>
      <c r="B95" s="33">
        <v>45925</v>
      </c>
      <c r="C95" s="5">
        <v>39511</v>
      </c>
      <c r="D95" s="6">
        <f t="shared" si="50"/>
        <v>515</v>
      </c>
      <c r="E95" s="5">
        <v>4339</v>
      </c>
      <c r="F95" s="6">
        <f t="shared" si="51"/>
        <v>98</v>
      </c>
      <c r="G95" s="5">
        <v>19075</v>
      </c>
      <c r="H95" s="6">
        <f t="shared" si="52"/>
        <v>293</v>
      </c>
      <c r="I95" s="5">
        <v>8130</v>
      </c>
      <c r="J95" s="6">
        <f t="shared" si="53"/>
        <v>101</v>
      </c>
      <c r="K95" s="5">
        <v>782</v>
      </c>
      <c r="L95" s="6">
        <f t="shared" si="54"/>
        <v>13</v>
      </c>
      <c r="M95" s="5">
        <v>1124</v>
      </c>
      <c r="N95" s="6">
        <f t="shared" si="55"/>
        <v>12</v>
      </c>
      <c r="O95" s="13">
        <v>18496</v>
      </c>
      <c r="P95" s="6">
        <f t="shared" si="56"/>
        <v>292</v>
      </c>
      <c r="Q95" s="5">
        <v>3390</v>
      </c>
      <c r="R95" s="6">
        <f t="shared" si="57"/>
        <v>92</v>
      </c>
      <c r="S95" s="5">
        <v>7739</v>
      </c>
      <c r="T95" s="6">
        <f t="shared" si="58"/>
        <v>114</v>
      </c>
      <c r="U95" s="5">
        <v>6095</v>
      </c>
      <c r="V95" s="6">
        <f t="shared" si="59"/>
        <v>84</v>
      </c>
      <c r="W95" s="5">
        <v>585</v>
      </c>
      <c r="X95" s="6">
        <f t="shared" si="60"/>
        <v>7</v>
      </c>
      <c r="Y95" s="7">
        <f t="shared" si="61"/>
        <v>517</v>
      </c>
      <c r="Z95" s="7">
        <f t="shared" si="62"/>
        <v>297</v>
      </c>
      <c r="AA95" s="7">
        <f t="shared" si="63"/>
        <v>814</v>
      </c>
      <c r="AB95" s="17">
        <f t="shared" si="64"/>
        <v>-2</v>
      </c>
      <c r="AC95" s="17">
        <f t="shared" si="65"/>
        <v>-5</v>
      </c>
      <c r="AD95" s="17">
        <f t="shared" si="66"/>
        <v>-7</v>
      </c>
    </row>
    <row r="96" spans="1:30" hidden="1" x14ac:dyDescent="0.3">
      <c r="A96" s="9" t="s">
        <v>69</v>
      </c>
      <c r="B96" s="33">
        <v>45926</v>
      </c>
      <c r="C96" s="5">
        <v>40026</v>
      </c>
      <c r="D96" s="6">
        <f t="shared" si="50"/>
        <v>489</v>
      </c>
      <c r="E96" s="5">
        <v>4437</v>
      </c>
      <c r="F96" s="6">
        <f t="shared" si="51"/>
        <v>94</v>
      </c>
      <c r="G96" s="5">
        <v>19368</v>
      </c>
      <c r="H96" s="6">
        <f t="shared" si="52"/>
        <v>285</v>
      </c>
      <c r="I96" s="5">
        <v>8231</v>
      </c>
      <c r="J96" s="6">
        <f t="shared" si="53"/>
        <v>84</v>
      </c>
      <c r="K96" s="5">
        <v>795</v>
      </c>
      <c r="L96" s="6">
        <f t="shared" si="54"/>
        <v>14</v>
      </c>
      <c r="M96" s="5">
        <v>1136</v>
      </c>
      <c r="N96" s="6">
        <f t="shared" si="55"/>
        <v>12</v>
      </c>
      <c r="O96" s="13">
        <v>18788</v>
      </c>
      <c r="P96" s="6">
        <f t="shared" si="56"/>
        <v>300</v>
      </c>
      <c r="Q96" s="5">
        <v>3482</v>
      </c>
      <c r="R96" s="6">
        <f t="shared" si="57"/>
        <v>86</v>
      </c>
      <c r="S96" s="5">
        <v>7853</v>
      </c>
      <c r="T96" s="6">
        <f t="shared" si="58"/>
        <v>114</v>
      </c>
      <c r="U96" s="5">
        <v>6179</v>
      </c>
      <c r="V96" s="6">
        <f t="shared" si="59"/>
        <v>84</v>
      </c>
      <c r="W96" s="5">
        <v>592</v>
      </c>
      <c r="X96" s="6">
        <f t="shared" si="60"/>
        <v>12</v>
      </c>
      <c r="Y96" s="7">
        <f t="shared" si="61"/>
        <v>489</v>
      </c>
      <c r="Z96" s="7">
        <f t="shared" si="62"/>
        <v>296</v>
      </c>
      <c r="AA96" s="7">
        <f t="shared" si="63"/>
        <v>785</v>
      </c>
      <c r="AB96" s="17">
        <f t="shared" si="64"/>
        <v>0</v>
      </c>
      <c r="AC96" s="17">
        <f t="shared" si="65"/>
        <v>4</v>
      </c>
      <c r="AD96" s="17">
        <f t="shared" si="66"/>
        <v>4</v>
      </c>
    </row>
    <row r="97" spans="1:30" hidden="1" x14ac:dyDescent="0.3">
      <c r="A97" s="9" t="s">
        <v>70</v>
      </c>
      <c r="B97" s="33">
        <v>45927</v>
      </c>
      <c r="C97" s="5">
        <v>40515</v>
      </c>
      <c r="D97" s="6">
        <f t="shared" si="50"/>
        <v>489</v>
      </c>
      <c r="E97" s="5">
        <v>4531</v>
      </c>
      <c r="F97" s="6">
        <f t="shared" si="51"/>
        <v>99</v>
      </c>
      <c r="G97" s="5">
        <v>19653</v>
      </c>
      <c r="H97" s="6">
        <f t="shared" si="52"/>
        <v>282</v>
      </c>
      <c r="I97" s="5">
        <v>8315</v>
      </c>
      <c r="J97" s="6">
        <f t="shared" si="53"/>
        <v>85</v>
      </c>
      <c r="K97" s="5">
        <v>809</v>
      </c>
      <c r="L97" s="6">
        <f t="shared" si="54"/>
        <v>15</v>
      </c>
      <c r="M97" s="5">
        <v>1148</v>
      </c>
      <c r="N97" s="6">
        <f t="shared" si="55"/>
        <v>9</v>
      </c>
      <c r="O97" s="13">
        <v>19088</v>
      </c>
      <c r="P97" s="6">
        <f t="shared" si="56"/>
        <v>307</v>
      </c>
      <c r="Q97" s="5">
        <v>3568</v>
      </c>
      <c r="R97" s="6">
        <f t="shared" si="57"/>
        <v>92</v>
      </c>
      <c r="S97" s="5">
        <v>7967</v>
      </c>
      <c r="T97" s="6">
        <f t="shared" si="58"/>
        <v>120</v>
      </c>
      <c r="U97" s="5">
        <v>6263</v>
      </c>
      <c r="V97" s="6">
        <f t="shared" si="59"/>
        <v>88</v>
      </c>
      <c r="W97" s="5">
        <v>604</v>
      </c>
      <c r="X97" s="6">
        <f t="shared" si="60"/>
        <v>7</v>
      </c>
      <c r="Y97" s="7">
        <f t="shared" si="61"/>
        <v>490</v>
      </c>
      <c r="Z97" s="7">
        <f t="shared" si="62"/>
        <v>307</v>
      </c>
      <c r="AA97" s="7">
        <f t="shared" si="63"/>
        <v>797</v>
      </c>
      <c r="AB97" s="17">
        <f t="shared" si="64"/>
        <v>-1</v>
      </c>
      <c r="AC97" s="17">
        <f t="shared" si="65"/>
        <v>0</v>
      </c>
      <c r="AD97" s="17">
        <f t="shared" si="66"/>
        <v>-1</v>
      </c>
    </row>
    <row r="98" spans="1:30" hidden="1" x14ac:dyDescent="0.3">
      <c r="A98" s="9" t="s">
        <v>71</v>
      </c>
      <c r="B98" s="33">
        <v>45928</v>
      </c>
      <c r="C98" s="5">
        <v>41004</v>
      </c>
      <c r="D98" s="6">
        <f t="shared" si="50"/>
        <v>55</v>
      </c>
      <c r="E98" s="5">
        <v>4630</v>
      </c>
      <c r="F98" s="6">
        <f t="shared" si="51"/>
        <v>9</v>
      </c>
      <c r="G98" s="5">
        <v>19935</v>
      </c>
      <c r="H98" s="6">
        <f t="shared" si="52"/>
        <v>0</v>
      </c>
      <c r="I98" s="5">
        <v>8400</v>
      </c>
      <c r="J98" s="6">
        <f t="shared" si="53"/>
        <v>33</v>
      </c>
      <c r="K98" s="5">
        <v>824</v>
      </c>
      <c r="L98" s="6">
        <f t="shared" si="54"/>
        <v>11</v>
      </c>
      <c r="M98" s="5">
        <v>1157</v>
      </c>
      <c r="N98" s="6">
        <f t="shared" si="55"/>
        <v>2</v>
      </c>
      <c r="O98" s="13">
        <v>19395</v>
      </c>
      <c r="P98" s="6">
        <f t="shared" si="56"/>
        <v>50</v>
      </c>
      <c r="Q98" s="5">
        <v>3660</v>
      </c>
      <c r="R98" s="6">
        <f t="shared" si="57"/>
        <v>0</v>
      </c>
      <c r="S98" s="5">
        <v>8087</v>
      </c>
      <c r="T98" s="6">
        <f t="shared" si="58"/>
        <v>44</v>
      </c>
      <c r="U98" s="5">
        <v>6351</v>
      </c>
      <c r="V98" s="6">
        <f t="shared" si="59"/>
        <v>1</v>
      </c>
      <c r="W98" s="5">
        <v>611</v>
      </c>
      <c r="X98" s="6">
        <f t="shared" si="60"/>
        <v>3</v>
      </c>
      <c r="Y98" s="7">
        <f t="shared" si="61"/>
        <v>55</v>
      </c>
      <c r="Z98" s="7">
        <f t="shared" si="62"/>
        <v>48</v>
      </c>
      <c r="AA98" s="7">
        <f t="shared" si="63"/>
        <v>103</v>
      </c>
      <c r="AB98" s="17">
        <f t="shared" si="64"/>
        <v>0</v>
      </c>
      <c r="AC98" s="17">
        <f t="shared" si="65"/>
        <v>2</v>
      </c>
      <c r="AD98" s="17">
        <f t="shared" si="66"/>
        <v>2</v>
      </c>
    </row>
    <row r="99" spans="1:30" hidden="1" x14ac:dyDescent="0.3">
      <c r="A99" s="9" t="s">
        <v>72</v>
      </c>
      <c r="B99" s="33">
        <v>45929</v>
      </c>
      <c r="C99" s="5">
        <v>41059</v>
      </c>
      <c r="D99" s="6">
        <f t="shared" si="50"/>
        <v>517</v>
      </c>
      <c r="E99" s="5">
        <v>4639</v>
      </c>
      <c r="F99" s="6">
        <f t="shared" si="51"/>
        <v>101</v>
      </c>
      <c r="G99" s="5">
        <v>19935</v>
      </c>
      <c r="H99" s="6">
        <f t="shared" si="52"/>
        <v>284</v>
      </c>
      <c r="I99" s="5">
        <v>8433</v>
      </c>
      <c r="J99" s="6">
        <f t="shared" si="53"/>
        <v>107</v>
      </c>
      <c r="K99" s="5">
        <v>835</v>
      </c>
      <c r="L99" s="6">
        <f t="shared" si="54"/>
        <v>15</v>
      </c>
      <c r="M99" s="5">
        <v>1159</v>
      </c>
      <c r="N99" s="6">
        <f t="shared" si="55"/>
        <v>11</v>
      </c>
      <c r="O99" s="13">
        <v>19445</v>
      </c>
      <c r="P99" s="6">
        <f t="shared" si="56"/>
        <v>317</v>
      </c>
      <c r="Q99" s="5">
        <v>3660</v>
      </c>
      <c r="R99" s="6">
        <f t="shared" si="57"/>
        <v>94</v>
      </c>
      <c r="S99" s="5">
        <v>8131</v>
      </c>
      <c r="T99" s="6">
        <f t="shared" si="58"/>
        <v>131</v>
      </c>
      <c r="U99" s="5">
        <v>6352</v>
      </c>
      <c r="V99" s="6">
        <f t="shared" si="59"/>
        <v>86</v>
      </c>
      <c r="W99" s="5">
        <v>614</v>
      </c>
      <c r="X99" s="6">
        <f t="shared" si="60"/>
        <v>6</v>
      </c>
      <c r="Y99" s="7">
        <f t="shared" si="61"/>
        <v>518</v>
      </c>
      <c r="Z99" s="7">
        <f t="shared" si="62"/>
        <v>317</v>
      </c>
      <c r="AA99" s="7">
        <f t="shared" si="63"/>
        <v>835</v>
      </c>
      <c r="AB99" s="17">
        <f t="shared" si="64"/>
        <v>-1</v>
      </c>
      <c r="AC99" s="17">
        <f t="shared" si="65"/>
        <v>0</v>
      </c>
      <c r="AD99" s="17">
        <f t="shared" si="66"/>
        <v>-1</v>
      </c>
    </row>
    <row r="100" spans="1:30" hidden="1" x14ac:dyDescent="0.3">
      <c r="A100" s="9" t="s">
        <v>66</v>
      </c>
      <c r="B100" s="33">
        <v>45930</v>
      </c>
      <c r="C100" s="5">
        <v>41576</v>
      </c>
      <c r="D100" s="6">
        <f t="shared" si="50"/>
        <v>535</v>
      </c>
      <c r="E100" s="5">
        <v>4740</v>
      </c>
      <c r="F100" s="6">
        <f t="shared" si="51"/>
        <v>116</v>
      </c>
      <c r="G100" s="5">
        <v>20219</v>
      </c>
      <c r="H100" s="6">
        <f t="shared" si="52"/>
        <v>293</v>
      </c>
      <c r="I100" s="5">
        <v>8540</v>
      </c>
      <c r="J100" s="6">
        <f t="shared" si="53"/>
        <v>102</v>
      </c>
      <c r="K100" s="5">
        <v>850</v>
      </c>
      <c r="L100" s="6">
        <f t="shared" si="54"/>
        <v>6</v>
      </c>
      <c r="M100" s="5">
        <v>1170</v>
      </c>
      <c r="N100" s="6">
        <f t="shared" si="55"/>
        <v>10</v>
      </c>
      <c r="O100" s="13">
        <v>19762</v>
      </c>
      <c r="P100" s="6">
        <f t="shared" si="56"/>
        <v>308</v>
      </c>
      <c r="Q100" s="5">
        <v>3754</v>
      </c>
      <c r="R100" s="6">
        <f t="shared" si="57"/>
        <v>73</v>
      </c>
      <c r="S100" s="5">
        <v>8262</v>
      </c>
      <c r="T100" s="6">
        <f t="shared" si="58"/>
        <v>133</v>
      </c>
      <c r="U100" s="5">
        <v>6438</v>
      </c>
      <c r="V100" s="6">
        <f t="shared" si="59"/>
        <v>81</v>
      </c>
      <c r="W100" s="5">
        <v>620</v>
      </c>
      <c r="X100" s="6">
        <f t="shared" si="60"/>
        <v>14</v>
      </c>
      <c r="Y100" s="7">
        <f t="shared" si="61"/>
        <v>527</v>
      </c>
      <c r="Z100" s="7">
        <f t="shared" si="62"/>
        <v>301</v>
      </c>
      <c r="AA100" s="7">
        <f t="shared" si="63"/>
        <v>828</v>
      </c>
      <c r="AB100" s="17">
        <f t="shared" si="64"/>
        <v>8</v>
      </c>
      <c r="AC100" s="17">
        <f t="shared" si="65"/>
        <v>7</v>
      </c>
      <c r="AD100" s="17">
        <f t="shared" si="66"/>
        <v>15</v>
      </c>
    </row>
    <row r="101" spans="1:30" hidden="1" x14ac:dyDescent="0.3">
      <c r="A101" s="9" t="s">
        <v>67</v>
      </c>
      <c r="B101" s="33">
        <v>45931</v>
      </c>
      <c r="C101" s="5">
        <v>42111</v>
      </c>
      <c r="D101" s="6" t="str">
        <f t="shared" si="50"/>
        <v/>
      </c>
      <c r="E101" s="5">
        <v>4856</v>
      </c>
      <c r="F101" s="6" t="str">
        <f t="shared" si="51"/>
        <v/>
      </c>
      <c r="G101" s="5">
        <v>20512</v>
      </c>
      <c r="H101" s="6" t="str">
        <f t="shared" si="52"/>
        <v/>
      </c>
      <c r="I101" s="5">
        <v>8642</v>
      </c>
      <c r="J101" s="6" t="str">
        <f t="shared" si="53"/>
        <v/>
      </c>
      <c r="K101" s="5">
        <v>856</v>
      </c>
      <c r="L101" s="6" t="str">
        <f t="shared" si="54"/>
        <v/>
      </c>
      <c r="M101" s="5">
        <v>1180</v>
      </c>
      <c r="N101" s="6" t="str">
        <f t="shared" si="55"/>
        <v/>
      </c>
      <c r="O101" s="13">
        <v>20070</v>
      </c>
      <c r="P101" s="6" t="str">
        <f t="shared" si="56"/>
        <v/>
      </c>
      <c r="Q101" s="5">
        <v>3827</v>
      </c>
      <c r="R101" s="6" t="str">
        <f t="shared" si="57"/>
        <v/>
      </c>
      <c r="S101" s="5">
        <v>8395</v>
      </c>
      <c r="T101" s="6" t="str">
        <f t="shared" si="58"/>
        <v/>
      </c>
      <c r="U101" s="5">
        <v>6519</v>
      </c>
      <c r="V101" s="6" t="str">
        <f t="shared" si="59"/>
        <v/>
      </c>
      <c r="W101" s="5">
        <v>634</v>
      </c>
      <c r="X101" s="6" t="str">
        <f t="shared" si="60"/>
        <v/>
      </c>
      <c r="Y101" s="7">
        <f t="shared" si="61"/>
        <v>0</v>
      </c>
      <c r="Z101" s="7">
        <f t="shared" si="62"/>
        <v>0</v>
      </c>
      <c r="AA101" s="7">
        <f t="shared" si="63"/>
        <v>0</v>
      </c>
      <c r="AB101" s="17" t="e">
        <f t="shared" si="64"/>
        <v>#VALUE!</v>
      </c>
      <c r="AC101" s="17" t="e">
        <f t="shared" si="65"/>
        <v>#VALUE!</v>
      </c>
      <c r="AD101" s="17" t="e">
        <f t="shared" si="66"/>
        <v>#VALUE!</v>
      </c>
    </row>
    <row r="102" spans="1:30" ht="23.4" hidden="1" x14ac:dyDescent="0.3">
      <c r="A102" s="152" t="s">
        <v>73</v>
      </c>
      <c r="B102" s="153"/>
      <c r="C102" s="8"/>
      <c r="D102" s="11">
        <f>SUM(D71:D100)</f>
        <v>11744</v>
      </c>
      <c r="E102" s="8"/>
      <c r="F102" s="11">
        <f>SUM(F71:F100)</f>
        <v>2122</v>
      </c>
      <c r="G102" s="8"/>
      <c r="H102" s="11">
        <f>SUM(H71:H100)</f>
        <v>6888</v>
      </c>
      <c r="I102" s="8"/>
      <c r="J102" s="11">
        <f>SUM(J71:J100)</f>
        <v>2165</v>
      </c>
      <c r="K102" s="8"/>
      <c r="L102" s="11">
        <f>SUM(L71:L100)</f>
        <v>311</v>
      </c>
      <c r="M102" s="8"/>
      <c r="N102" s="14">
        <f>SUM(N71:N100)</f>
        <v>274</v>
      </c>
      <c r="O102" s="15"/>
      <c r="P102" s="11">
        <f>SUM(P71:P100)</f>
        <v>6390</v>
      </c>
      <c r="Q102" s="8"/>
      <c r="R102" s="11">
        <f>SUM(R71:R100)</f>
        <v>1787</v>
      </c>
      <c r="S102" s="8"/>
      <c r="T102" s="11">
        <f>SUM(T71:T100)</f>
        <v>2585</v>
      </c>
      <c r="U102" s="8"/>
      <c r="V102" s="11">
        <f>SUM(V71:V100)</f>
        <v>1860</v>
      </c>
      <c r="W102" s="8"/>
      <c r="X102" s="11">
        <f>SUM(X71:X100)</f>
        <v>172</v>
      </c>
      <c r="Y102" s="7">
        <f>SUM(F102,H102,J102,L102,N102)</f>
        <v>11760</v>
      </c>
      <c r="Z102" s="7">
        <f>SUM(R102,T102,V102,X102)</f>
        <v>6404</v>
      </c>
      <c r="AA102" s="7">
        <f>SUM(F102,H102,J102,L102,N102,R102,T102,V102,X102)</f>
        <v>18164</v>
      </c>
      <c r="AB102" s="17">
        <f>Y102-D102</f>
        <v>16</v>
      </c>
      <c r="AC102" s="17">
        <f>P102-Z102</f>
        <v>-14</v>
      </c>
      <c r="AD102" s="17">
        <f>(D102+P102)-AA102</f>
        <v>-30</v>
      </c>
    </row>
    <row r="103" spans="1:30" x14ac:dyDescent="0.3">
      <c r="A103" s="9" t="s">
        <v>67</v>
      </c>
      <c r="B103" s="33">
        <v>45931</v>
      </c>
      <c r="C103" s="5">
        <v>42111</v>
      </c>
      <c r="D103" s="6">
        <f t="shared" ref="D103:D134" si="67">IF(C104&lt;&gt;"",C104-C103,"")</f>
        <v>484</v>
      </c>
      <c r="E103" s="5">
        <v>4856</v>
      </c>
      <c r="F103" s="6">
        <f t="shared" ref="F103:F134" si="68">IF(E104&lt;&gt;"",E104-E103,"")</f>
        <v>89</v>
      </c>
      <c r="G103" s="5">
        <v>20512</v>
      </c>
      <c r="H103" s="6">
        <f t="shared" ref="H103:H134" si="69">IF(G104&lt;&gt;"",G104-G103,"")</f>
        <v>281</v>
      </c>
      <c r="I103" s="5">
        <v>8642</v>
      </c>
      <c r="J103" s="6">
        <f t="shared" ref="J103:J134" si="70">IF(I104&lt;&gt;"",I104-I103,"")</f>
        <v>90</v>
      </c>
      <c r="K103" s="5">
        <v>856</v>
      </c>
      <c r="L103" s="6">
        <f t="shared" ref="L103:L134" si="71">IF(K104&lt;&gt;"",K104-K103,"")</f>
        <v>23</v>
      </c>
      <c r="M103" s="5">
        <v>1180</v>
      </c>
      <c r="N103" s="6">
        <f t="shared" ref="N103:N134" si="72">IF(M104&lt;&gt;"",M104-M103,"")</f>
        <v>12</v>
      </c>
      <c r="O103" s="13">
        <v>20070</v>
      </c>
      <c r="P103" s="6">
        <f t="shared" ref="P103:P134" si="73">IF(O104&lt;&gt;"",O104-O103,"")</f>
        <v>248</v>
      </c>
      <c r="Q103" s="5">
        <v>3827</v>
      </c>
      <c r="R103" s="6">
        <f t="shared" ref="R103:R134" si="74">IF(Q104&lt;&gt;"",Q104-Q103,"")</f>
        <v>35</v>
      </c>
      <c r="S103" s="5">
        <v>8395</v>
      </c>
      <c r="T103" s="6">
        <f t="shared" ref="T103:T134" si="75">IF(S104&lt;&gt;"",S104-S103,"")</f>
        <v>121</v>
      </c>
      <c r="U103" s="5">
        <v>6519</v>
      </c>
      <c r="V103" s="6">
        <f t="shared" ref="V103:V134" si="76">IF(U104&lt;&gt;"",U104-U103,"")</f>
        <v>71</v>
      </c>
      <c r="W103" s="5">
        <v>634</v>
      </c>
      <c r="X103" s="6">
        <f t="shared" ref="X103:X134" si="77">IF(W104&lt;&gt;"",W104-W103,"")</f>
        <v>21</v>
      </c>
      <c r="Y103" s="7">
        <f t="shared" ref="Y103:Y134" si="78">SUM(F103,H103,J103,L103,N103)</f>
        <v>495</v>
      </c>
      <c r="Z103" s="7">
        <f t="shared" ref="Z103:Z134" si="79">SUM(R103,T103,V103,X103)</f>
        <v>248</v>
      </c>
      <c r="AA103" s="7">
        <f t="shared" ref="AA103:AA134" si="80">SUM(F103,H103,J103,L103,N103,R103,T103,V103,X103)</f>
        <v>743</v>
      </c>
      <c r="AB103" s="17">
        <f t="shared" ref="AB103:AB134" si="81">D103-Y103</f>
        <v>-11</v>
      </c>
      <c r="AC103" s="17">
        <f t="shared" ref="AC103:AC134" si="82">P103-Z103</f>
        <v>0</v>
      </c>
      <c r="AD103" s="17">
        <f t="shared" ref="AD103:AD134" si="83">(D103+P103)-AA103</f>
        <v>-11</v>
      </c>
    </row>
    <row r="104" spans="1:30" x14ac:dyDescent="0.3">
      <c r="A104" s="9" t="s">
        <v>68</v>
      </c>
      <c r="B104" s="33">
        <v>45932</v>
      </c>
      <c r="C104" s="5">
        <v>42595</v>
      </c>
      <c r="D104" s="6">
        <f t="shared" si="67"/>
        <v>502</v>
      </c>
      <c r="E104" s="5">
        <v>4945</v>
      </c>
      <c r="F104" s="6">
        <f t="shared" si="68"/>
        <v>81</v>
      </c>
      <c r="G104" s="5">
        <v>20793</v>
      </c>
      <c r="H104" s="6">
        <f t="shared" si="69"/>
        <v>297</v>
      </c>
      <c r="I104" s="5">
        <v>8732</v>
      </c>
      <c r="J104" s="6">
        <f t="shared" si="70"/>
        <v>99</v>
      </c>
      <c r="K104" s="5">
        <v>879</v>
      </c>
      <c r="L104" s="6">
        <f t="shared" si="71"/>
        <v>13</v>
      </c>
      <c r="M104" s="5">
        <v>1192</v>
      </c>
      <c r="N104" s="6">
        <f t="shared" si="72"/>
        <v>12</v>
      </c>
      <c r="O104" s="13">
        <v>20318</v>
      </c>
      <c r="P104" s="6">
        <f t="shared" si="73"/>
        <v>312</v>
      </c>
      <c r="Q104" s="5">
        <v>3862</v>
      </c>
      <c r="R104" s="6">
        <f t="shared" si="74"/>
        <v>84</v>
      </c>
      <c r="S104" s="5">
        <v>8516</v>
      </c>
      <c r="T104" s="6">
        <f t="shared" si="75"/>
        <v>125</v>
      </c>
      <c r="U104" s="5">
        <v>6590</v>
      </c>
      <c r="V104" s="6">
        <f t="shared" si="76"/>
        <v>80</v>
      </c>
      <c r="W104" s="5">
        <v>655</v>
      </c>
      <c r="X104" s="6">
        <f t="shared" si="77"/>
        <v>12</v>
      </c>
      <c r="Y104" s="7">
        <f t="shared" si="78"/>
        <v>502</v>
      </c>
      <c r="Z104" s="7">
        <f t="shared" si="79"/>
        <v>301</v>
      </c>
      <c r="AA104" s="7">
        <f t="shared" si="80"/>
        <v>803</v>
      </c>
      <c r="AB104" s="17">
        <f t="shared" si="81"/>
        <v>0</v>
      </c>
      <c r="AC104" s="17">
        <f t="shared" si="82"/>
        <v>11</v>
      </c>
      <c r="AD104" s="17">
        <f t="shared" si="83"/>
        <v>11</v>
      </c>
    </row>
    <row r="105" spans="1:30" x14ac:dyDescent="0.3">
      <c r="A105" s="9" t="s">
        <v>69</v>
      </c>
      <c r="B105" s="33">
        <v>45933</v>
      </c>
      <c r="C105" s="5">
        <v>43097</v>
      </c>
      <c r="D105" s="6">
        <f t="shared" si="67"/>
        <v>326</v>
      </c>
      <c r="E105" s="5">
        <v>5026</v>
      </c>
      <c r="F105" s="6">
        <f t="shared" si="68"/>
        <v>86</v>
      </c>
      <c r="G105" s="5">
        <v>21090</v>
      </c>
      <c r="H105" s="6">
        <f t="shared" si="69"/>
        <v>143</v>
      </c>
      <c r="I105" s="5">
        <v>8831</v>
      </c>
      <c r="J105" s="6">
        <f t="shared" si="70"/>
        <v>74</v>
      </c>
      <c r="K105" s="5">
        <v>892</v>
      </c>
      <c r="L105" s="6">
        <f t="shared" si="71"/>
        <v>14</v>
      </c>
      <c r="M105" s="5">
        <v>1204</v>
      </c>
      <c r="N105" s="6">
        <f t="shared" si="72"/>
        <v>10</v>
      </c>
      <c r="O105" s="13">
        <v>20630</v>
      </c>
      <c r="P105" s="6">
        <f t="shared" si="73"/>
        <v>284</v>
      </c>
      <c r="Q105" s="5">
        <v>3946</v>
      </c>
      <c r="R105" s="6">
        <f t="shared" si="74"/>
        <v>87</v>
      </c>
      <c r="S105" s="5">
        <v>8641</v>
      </c>
      <c r="T105" s="6">
        <f t="shared" si="75"/>
        <v>102</v>
      </c>
      <c r="U105" s="5">
        <v>6670</v>
      </c>
      <c r="V105" s="6">
        <f t="shared" si="76"/>
        <v>78</v>
      </c>
      <c r="W105" s="5">
        <v>667</v>
      </c>
      <c r="X105" s="6">
        <f t="shared" si="77"/>
        <v>22</v>
      </c>
      <c r="Y105" s="7">
        <f t="shared" si="78"/>
        <v>327</v>
      </c>
      <c r="Z105" s="7">
        <f t="shared" si="79"/>
        <v>289</v>
      </c>
      <c r="AA105" s="7">
        <f t="shared" si="80"/>
        <v>616</v>
      </c>
      <c r="AB105" s="17">
        <f t="shared" si="81"/>
        <v>-1</v>
      </c>
      <c r="AC105" s="17">
        <f t="shared" si="82"/>
        <v>-5</v>
      </c>
      <c r="AD105" s="17">
        <f t="shared" si="83"/>
        <v>-6</v>
      </c>
    </row>
    <row r="106" spans="1:30" x14ac:dyDescent="0.3">
      <c r="A106" s="9" t="s">
        <v>70</v>
      </c>
      <c r="B106" s="33">
        <v>45934</v>
      </c>
      <c r="C106" s="5">
        <v>43423</v>
      </c>
      <c r="D106" s="6">
        <f t="shared" si="67"/>
        <v>276</v>
      </c>
      <c r="E106" s="5">
        <v>5112</v>
      </c>
      <c r="F106" s="6">
        <f t="shared" si="68"/>
        <v>89</v>
      </c>
      <c r="G106" s="5">
        <v>21233</v>
      </c>
      <c r="H106" s="6">
        <f t="shared" si="69"/>
        <v>109</v>
      </c>
      <c r="I106" s="5">
        <v>8905</v>
      </c>
      <c r="J106" s="6">
        <f t="shared" si="70"/>
        <v>60</v>
      </c>
      <c r="K106" s="5">
        <v>906</v>
      </c>
      <c r="L106" s="6">
        <f t="shared" si="71"/>
        <v>10</v>
      </c>
      <c r="M106" s="5">
        <v>1214</v>
      </c>
      <c r="N106" s="6">
        <f t="shared" si="72"/>
        <v>12</v>
      </c>
      <c r="O106" s="13">
        <v>20914</v>
      </c>
      <c r="P106" s="6">
        <f t="shared" si="73"/>
        <v>255</v>
      </c>
      <c r="Q106" s="5">
        <v>4033</v>
      </c>
      <c r="R106" s="6">
        <f t="shared" si="74"/>
        <v>81</v>
      </c>
      <c r="S106" s="5">
        <v>8743</v>
      </c>
      <c r="T106" s="6">
        <f t="shared" si="75"/>
        <v>87</v>
      </c>
      <c r="U106" s="5">
        <v>6748</v>
      </c>
      <c r="V106" s="6">
        <f t="shared" si="76"/>
        <v>67</v>
      </c>
      <c r="W106" s="5">
        <v>689</v>
      </c>
      <c r="X106" s="6">
        <f t="shared" si="77"/>
        <v>25</v>
      </c>
      <c r="Y106" s="7">
        <f t="shared" si="78"/>
        <v>280</v>
      </c>
      <c r="Z106" s="7">
        <f t="shared" si="79"/>
        <v>260</v>
      </c>
      <c r="AA106" s="7">
        <f t="shared" si="80"/>
        <v>540</v>
      </c>
      <c r="AB106" s="17">
        <f t="shared" si="81"/>
        <v>-4</v>
      </c>
      <c r="AC106" s="17">
        <f t="shared" si="82"/>
        <v>-5</v>
      </c>
      <c r="AD106" s="17">
        <f t="shared" si="83"/>
        <v>-9</v>
      </c>
    </row>
    <row r="107" spans="1:30" x14ac:dyDescent="0.3">
      <c r="A107" s="9" t="s">
        <v>71</v>
      </c>
      <c r="B107" s="33">
        <v>45935</v>
      </c>
      <c r="C107" s="5">
        <v>43699</v>
      </c>
      <c r="D107" s="6">
        <f t="shared" si="67"/>
        <v>43</v>
      </c>
      <c r="E107" s="5">
        <v>5201</v>
      </c>
      <c r="F107" s="6">
        <f t="shared" si="68"/>
        <v>3</v>
      </c>
      <c r="G107" s="5">
        <v>21342</v>
      </c>
      <c r="H107" s="6">
        <f t="shared" si="69"/>
        <v>12</v>
      </c>
      <c r="I107" s="5">
        <v>8965</v>
      </c>
      <c r="J107" s="6">
        <f t="shared" si="70"/>
        <v>21</v>
      </c>
      <c r="K107" s="5">
        <v>916</v>
      </c>
      <c r="L107" s="6">
        <f t="shared" si="71"/>
        <v>2</v>
      </c>
      <c r="M107" s="5">
        <v>1226</v>
      </c>
      <c r="N107" s="6">
        <f t="shared" si="72"/>
        <v>1</v>
      </c>
      <c r="O107" s="13">
        <v>21169</v>
      </c>
      <c r="P107" s="6">
        <f t="shared" si="73"/>
        <v>48</v>
      </c>
      <c r="Q107" s="5">
        <v>4114</v>
      </c>
      <c r="R107" s="6">
        <f t="shared" si="74"/>
        <v>5</v>
      </c>
      <c r="S107" s="5">
        <v>8830</v>
      </c>
      <c r="T107" s="6">
        <f t="shared" si="75"/>
        <v>23</v>
      </c>
      <c r="U107" s="5">
        <v>6815</v>
      </c>
      <c r="V107" s="6">
        <f t="shared" si="76"/>
        <v>6</v>
      </c>
      <c r="W107" s="5">
        <v>714</v>
      </c>
      <c r="X107" s="6">
        <f t="shared" si="77"/>
        <v>2</v>
      </c>
      <c r="Y107" s="7">
        <f t="shared" si="78"/>
        <v>39</v>
      </c>
      <c r="Z107" s="7">
        <f t="shared" si="79"/>
        <v>36</v>
      </c>
      <c r="AA107" s="7">
        <f t="shared" si="80"/>
        <v>75</v>
      </c>
      <c r="AB107" s="17">
        <f t="shared" si="81"/>
        <v>4</v>
      </c>
      <c r="AC107" s="17">
        <f t="shared" si="82"/>
        <v>12</v>
      </c>
      <c r="AD107" s="17">
        <f t="shared" si="83"/>
        <v>16</v>
      </c>
    </row>
    <row r="108" spans="1:30" x14ac:dyDescent="0.3">
      <c r="A108" s="9" t="s">
        <v>72</v>
      </c>
      <c r="B108" s="33">
        <v>45936</v>
      </c>
      <c r="C108" s="5">
        <v>43742</v>
      </c>
      <c r="D108" s="6">
        <f t="shared" si="67"/>
        <v>282</v>
      </c>
      <c r="E108" s="5">
        <v>5204</v>
      </c>
      <c r="F108" s="6">
        <f t="shared" si="68"/>
        <v>96</v>
      </c>
      <c r="G108" s="5">
        <v>21354</v>
      </c>
      <c r="H108" s="6">
        <f t="shared" si="69"/>
        <v>125</v>
      </c>
      <c r="I108" s="5">
        <v>8986</v>
      </c>
      <c r="J108" s="6">
        <f t="shared" si="70"/>
        <v>36</v>
      </c>
      <c r="K108" s="5">
        <v>918</v>
      </c>
      <c r="L108" s="6">
        <f t="shared" si="71"/>
        <v>15</v>
      </c>
      <c r="M108" s="5">
        <v>1227</v>
      </c>
      <c r="N108" s="6">
        <f t="shared" si="72"/>
        <v>11</v>
      </c>
      <c r="O108" s="13">
        <v>21217</v>
      </c>
      <c r="P108" s="6">
        <f t="shared" si="73"/>
        <v>212</v>
      </c>
      <c r="Q108" s="5">
        <v>4119</v>
      </c>
      <c r="R108" s="6">
        <f t="shared" si="74"/>
        <v>87</v>
      </c>
      <c r="S108" s="5">
        <v>8853</v>
      </c>
      <c r="T108" s="6">
        <f t="shared" si="75"/>
        <v>40</v>
      </c>
      <c r="U108" s="5">
        <v>6821</v>
      </c>
      <c r="V108" s="6">
        <f t="shared" si="76"/>
        <v>78</v>
      </c>
      <c r="W108" s="5">
        <v>716</v>
      </c>
      <c r="X108" s="6">
        <f t="shared" si="77"/>
        <v>6</v>
      </c>
      <c r="Y108" s="7">
        <f t="shared" si="78"/>
        <v>283</v>
      </c>
      <c r="Z108" s="7">
        <f t="shared" si="79"/>
        <v>211</v>
      </c>
      <c r="AA108" s="7">
        <f t="shared" si="80"/>
        <v>494</v>
      </c>
      <c r="AB108" s="17">
        <f t="shared" si="81"/>
        <v>-1</v>
      </c>
      <c r="AC108" s="17">
        <f t="shared" si="82"/>
        <v>1</v>
      </c>
      <c r="AD108" s="17">
        <f t="shared" si="83"/>
        <v>0</v>
      </c>
    </row>
    <row r="109" spans="1:30" x14ac:dyDescent="0.3">
      <c r="A109" s="9" t="s">
        <v>66</v>
      </c>
      <c r="B109" s="33">
        <v>45937</v>
      </c>
      <c r="C109" s="5">
        <v>44024</v>
      </c>
      <c r="D109" s="6">
        <f t="shared" si="67"/>
        <v>383</v>
      </c>
      <c r="E109" s="5">
        <v>5300</v>
      </c>
      <c r="F109" s="6">
        <f t="shared" si="68"/>
        <v>95</v>
      </c>
      <c r="G109" s="5">
        <v>21479</v>
      </c>
      <c r="H109" s="6">
        <f t="shared" si="69"/>
        <v>245</v>
      </c>
      <c r="I109" s="5">
        <v>9022</v>
      </c>
      <c r="J109" s="6">
        <f t="shared" si="70"/>
        <v>15</v>
      </c>
      <c r="K109" s="5">
        <v>933</v>
      </c>
      <c r="L109" s="6">
        <f t="shared" si="71"/>
        <v>16</v>
      </c>
      <c r="M109" s="5">
        <v>1238</v>
      </c>
      <c r="N109" s="6">
        <f t="shared" si="72"/>
        <v>12</v>
      </c>
      <c r="O109" s="13">
        <v>21429</v>
      </c>
      <c r="P109" s="6">
        <f t="shared" si="73"/>
        <v>227</v>
      </c>
      <c r="Q109" s="5">
        <v>4206</v>
      </c>
      <c r="R109" s="6">
        <f t="shared" si="74"/>
        <v>98</v>
      </c>
      <c r="S109" s="5">
        <v>8893</v>
      </c>
      <c r="T109" s="6">
        <f t="shared" si="75"/>
        <v>36</v>
      </c>
      <c r="U109" s="5">
        <v>6899</v>
      </c>
      <c r="V109" s="6">
        <f t="shared" si="76"/>
        <v>85</v>
      </c>
      <c r="W109" s="5">
        <v>722</v>
      </c>
      <c r="X109" s="6">
        <f t="shared" si="77"/>
        <v>7</v>
      </c>
      <c r="Y109" s="7">
        <f t="shared" si="78"/>
        <v>383</v>
      </c>
      <c r="Z109" s="7">
        <f t="shared" si="79"/>
        <v>226</v>
      </c>
      <c r="AA109" s="7">
        <f t="shared" si="80"/>
        <v>609</v>
      </c>
      <c r="AB109" s="17">
        <f t="shared" si="81"/>
        <v>0</v>
      </c>
      <c r="AC109" s="17">
        <f t="shared" si="82"/>
        <v>1</v>
      </c>
      <c r="AD109" s="17">
        <f t="shared" si="83"/>
        <v>1</v>
      </c>
    </row>
    <row r="110" spans="1:30" x14ac:dyDescent="0.3">
      <c r="A110" s="9" t="s">
        <v>67</v>
      </c>
      <c r="B110" s="33">
        <v>45938</v>
      </c>
      <c r="C110" s="5">
        <v>44407</v>
      </c>
      <c r="D110" s="6">
        <f t="shared" si="67"/>
        <v>431</v>
      </c>
      <c r="E110" s="5">
        <v>5395</v>
      </c>
      <c r="F110" s="6">
        <f t="shared" si="68"/>
        <v>98</v>
      </c>
      <c r="G110" s="5">
        <v>21724</v>
      </c>
      <c r="H110" s="6">
        <f t="shared" si="69"/>
        <v>279</v>
      </c>
      <c r="I110" s="5">
        <v>9037</v>
      </c>
      <c r="J110" s="6">
        <f t="shared" si="70"/>
        <v>29</v>
      </c>
      <c r="K110" s="5">
        <v>949</v>
      </c>
      <c r="L110" s="6">
        <f t="shared" si="71"/>
        <v>13</v>
      </c>
      <c r="M110" s="5">
        <v>1250</v>
      </c>
      <c r="N110" s="6">
        <f t="shared" si="72"/>
        <v>12</v>
      </c>
      <c r="O110" s="13">
        <v>21656</v>
      </c>
      <c r="P110" s="6">
        <f t="shared" si="73"/>
        <v>232</v>
      </c>
      <c r="Q110" s="5">
        <v>4304</v>
      </c>
      <c r="R110" s="6">
        <f t="shared" si="74"/>
        <v>104</v>
      </c>
      <c r="S110" s="5">
        <v>8929</v>
      </c>
      <c r="T110" s="6">
        <f t="shared" si="75"/>
        <v>35</v>
      </c>
      <c r="U110" s="5">
        <v>6984</v>
      </c>
      <c r="V110" s="6">
        <f t="shared" si="76"/>
        <v>83</v>
      </c>
      <c r="W110" s="5">
        <v>729</v>
      </c>
      <c r="X110" s="6">
        <f t="shared" si="77"/>
        <v>8</v>
      </c>
      <c r="Y110" s="7">
        <f t="shared" si="78"/>
        <v>431</v>
      </c>
      <c r="Z110" s="7">
        <f t="shared" si="79"/>
        <v>230</v>
      </c>
      <c r="AA110" s="7">
        <f t="shared" si="80"/>
        <v>661</v>
      </c>
      <c r="AB110" s="17">
        <f t="shared" si="81"/>
        <v>0</v>
      </c>
      <c r="AC110" s="17">
        <f t="shared" si="82"/>
        <v>2</v>
      </c>
      <c r="AD110" s="17">
        <f t="shared" si="83"/>
        <v>2</v>
      </c>
    </row>
    <row r="111" spans="1:30" x14ac:dyDescent="0.3">
      <c r="A111" s="9" t="s">
        <v>68</v>
      </c>
      <c r="B111" s="33">
        <v>45939</v>
      </c>
      <c r="C111" s="5">
        <v>44838</v>
      </c>
      <c r="D111" s="6">
        <f t="shared" si="67"/>
        <v>432</v>
      </c>
      <c r="E111" s="5">
        <v>5493</v>
      </c>
      <c r="F111" s="6">
        <f t="shared" si="68"/>
        <v>96</v>
      </c>
      <c r="G111" s="5">
        <v>22003</v>
      </c>
      <c r="H111" s="6">
        <f t="shared" si="69"/>
        <v>270</v>
      </c>
      <c r="I111" s="5">
        <v>9066</v>
      </c>
      <c r="J111" s="6">
        <f t="shared" si="70"/>
        <v>41</v>
      </c>
      <c r="K111" s="5">
        <v>962</v>
      </c>
      <c r="L111" s="6">
        <f t="shared" si="71"/>
        <v>14</v>
      </c>
      <c r="M111" s="5">
        <v>1262</v>
      </c>
      <c r="N111" s="6">
        <f t="shared" si="72"/>
        <v>14</v>
      </c>
      <c r="O111" s="13">
        <v>21888</v>
      </c>
      <c r="P111" s="6">
        <f t="shared" si="73"/>
        <v>236</v>
      </c>
      <c r="Q111" s="5">
        <v>4408</v>
      </c>
      <c r="R111" s="6">
        <f t="shared" si="74"/>
        <v>106</v>
      </c>
      <c r="S111" s="5">
        <v>8964</v>
      </c>
      <c r="T111" s="6">
        <f t="shared" si="75"/>
        <v>40</v>
      </c>
      <c r="U111" s="5">
        <v>7067</v>
      </c>
      <c r="V111" s="6">
        <f t="shared" si="76"/>
        <v>81</v>
      </c>
      <c r="W111" s="5">
        <v>737</v>
      </c>
      <c r="X111" s="6">
        <f t="shared" si="77"/>
        <v>8</v>
      </c>
      <c r="Y111" s="7">
        <f t="shared" si="78"/>
        <v>435</v>
      </c>
      <c r="Z111" s="7">
        <f t="shared" si="79"/>
        <v>235</v>
      </c>
      <c r="AA111" s="7">
        <f t="shared" si="80"/>
        <v>670</v>
      </c>
      <c r="AB111" s="17">
        <f t="shared" si="81"/>
        <v>-3</v>
      </c>
      <c r="AC111" s="17">
        <f t="shared" si="82"/>
        <v>1</v>
      </c>
      <c r="AD111" s="17">
        <f t="shared" si="83"/>
        <v>-2</v>
      </c>
    </row>
    <row r="112" spans="1:30" x14ac:dyDescent="0.3">
      <c r="A112" s="9" t="s">
        <v>69</v>
      </c>
      <c r="B112" s="33">
        <v>45940</v>
      </c>
      <c r="C112" s="5">
        <v>45270</v>
      </c>
      <c r="D112" s="6">
        <f t="shared" si="67"/>
        <v>280</v>
      </c>
      <c r="E112" s="5">
        <v>5589</v>
      </c>
      <c r="F112" s="6">
        <f t="shared" si="68"/>
        <v>89</v>
      </c>
      <c r="G112" s="5">
        <v>22273</v>
      </c>
      <c r="H112" s="6">
        <f t="shared" si="69"/>
        <v>132</v>
      </c>
      <c r="I112" s="5">
        <v>9107</v>
      </c>
      <c r="J112" s="6">
        <f t="shared" si="70"/>
        <v>35</v>
      </c>
      <c r="K112" s="5">
        <v>976</v>
      </c>
      <c r="L112" s="6">
        <f t="shared" si="71"/>
        <v>13</v>
      </c>
      <c r="M112" s="5">
        <v>1276</v>
      </c>
      <c r="N112" s="6">
        <f t="shared" si="72"/>
        <v>10</v>
      </c>
      <c r="O112" s="13">
        <v>22124</v>
      </c>
      <c r="P112" s="6">
        <f t="shared" si="73"/>
        <v>202</v>
      </c>
      <c r="Q112" s="5">
        <v>4514</v>
      </c>
      <c r="R112" s="6">
        <f t="shared" si="74"/>
        <v>75</v>
      </c>
      <c r="S112" s="5">
        <v>9004</v>
      </c>
      <c r="T112" s="6">
        <f t="shared" si="75"/>
        <v>43</v>
      </c>
      <c r="U112" s="5">
        <v>7148</v>
      </c>
      <c r="V112" s="6">
        <f t="shared" si="76"/>
        <v>74</v>
      </c>
      <c r="W112" s="5">
        <v>745</v>
      </c>
      <c r="X112" s="6">
        <f t="shared" si="77"/>
        <v>7</v>
      </c>
      <c r="Y112" s="7">
        <f t="shared" si="78"/>
        <v>279</v>
      </c>
      <c r="Z112" s="7">
        <f t="shared" si="79"/>
        <v>199</v>
      </c>
      <c r="AA112" s="7">
        <f t="shared" si="80"/>
        <v>478</v>
      </c>
      <c r="AB112" s="17">
        <f t="shared" si="81"/>
        <v>1</v>
      </c>
      <c r="AC112" s="17">
        <f t="shared" si="82"/>
        <v>3</v>
      </c>
      <c r="AD112" s="17">
        <f t="shared" si="83"/>
        <v>4</v>
      </c>
    </row>
    <row r="113" spans="1:30" x14ac:dyDescent="0.3">
      <c r="A113" s="9" t="s">
        <v>70</v>
      </c>
      <c r="B113" s="33">
        <v>45941</v>
      </c>
      <c r="C113" s="5">
        <v>45550</v>
      </c>
      <c r="D113" s="6">
        <f t="shared" si="67"/>
        <v>290</v>
      </c>
      <c r="E113" s="5">
        <v>5678</v>
      </c>
      <c r="F113" s="6">
        <f t="shared" si="68"/>
        <v>99</v>
      </c>
      <c r="G113" s="5">
        <v>22405</v>
      </c>
      <c r="H113" s="6">
        <f t="shared" si="69"/>
        <v>136</v>
      </c>
      <c r="I113" s="5">
        <v>9142</v>
      </c>
      <c r="J113" s="6">
        <f t="shared" si="70"/>
        <v>33</v>
      </c>
      <c r="K113" s="5">
        <v>989</v>
      </c>
      <c r="L113" s="6">
        <f t="shared" si="71"/>
        <v>12</v>
      </c>
      <c r="M113" s="5">
        <v>1286</v>
      </c>
      <c r="N113" s="6">
        <f t="shared" si="72"/>
        <v>10</v>
      </c>
      <c r="O113" s="13">
        <v>22326</v>
      </c>
      <c r="P113" s="6">
        <f t="shared" si="73"/>
        <v>179</v>
      </c>
      <c r="Q113" s="5">
        <v>4589</v>
      </c>
      <c r="R113" s="6">
        <f t="shared" si="74"/>
        <v>54</v>
      </c>
      <c r="S113" s="5">
        <v>9047</v>
      </c>
      <c r="T113" s="6">
        <f t="shared" si="75"/>
        <v>36</v>
      </c>
      <c r="U113" s="5">
        <v>7222</v>
      </c>
      <c r="V113" s="6">
        <f t="shared" si="76"/>
        <v>81</v>
      </c>
      <c r="W113" s="5">
        <v>752</v>
      </c>
      <c r="X113" s="6">
        <f t="shared" si="77"/>
        <v>7</v>
      </c>
      <c r="Y113" s="7">
        <f t="shared" si="78"/>
        <v>290</v>
      </c>
      <c r="Z113" s="7">
        <f t="shared" si="79"/>
        <v>178</v>
      </c>
      <c r="AA113" s="7">
        <f t="shared" si="80"/>
        <v>468</v>
      </c>
      <c r="AB113" s="17">
        <f t="shared" si="81"/>
        <v>0</v>
      </c>
      <c r="AC113" s="17">
        <f t="shared" si="82"/>
        <v>1</v>
      </c>
      <c r="AD113" s="17">
        <f t="shared" si="83"/>
        <v>1</v>
      </c>
    </row>
    <row r="114" spans="1:30" x14ac:dyDescent="0.3">
      <c r="A114" s="9" t="s">
        <v>71</v>
      </c>
      <c r="B114" s="33">
        <v>45942</v>
      </c>
      <c r="C114" s="5">
        <v>45840</v>
      </c>
      <c r="D114" s="6">
        <f t="shared" si="67"/>
        <v>5</v>
      </c>
      <c r="E114" s="5">
        <v>5777</v>
      </c>
      <c r="F114" s="6">
        <f t="shared" si="68"/>
        <v>0</v>
      </c>
      <c r="G114" s="5">
        <v>22541</v>
      </c>
      <c r="H114" s="6">
        <f t="shared" si="69"/>
        <v>0</v>
      </c>
      <c r="I114" s="5">
        <v>9175</v>
      </c>
      <c r="J114" s="6">
        <f t="shared" si="70"/>
        <v>0</v>
      </c>
      <c r="K114" s="5">
        <v>1001</v>
      </c>
      <c r="L114" s="6">
        <f t="shared" si="71"/>
        <v>2</v>
      </c>
      <c r="M114" s="5">
        <v>1296</v>
      </c>
      <c r="N114" s="6">
        <f t="shared" si="72"/>
        <v>2</v>
      </c>
      <c r="O114" s="13">
        <v>22505</v>
      </c>
      <c r="P114" s="6">
        <f t="shared" si="73"/>
        <v>4</v>
      </c>
      <c r="Q114" s="5">
        <v>4643</v>
      </c>
      <c r="R114" s="6">
        <f t="shared" si="74"/>
        <v>0</v>
      </c>
      <c r="S114" s="5">
        <v>9083</v>
      </c>
      <c r="T114" s="6">
        <f t="shared" si="75"/>
        <v>0</v>
      </c>
      <c r="U114" s="5">
        <v>7303</v>
      </c>
      <c r="V114" s="6">
        <f t="shared" si="76"/>
        <v>1</v>
      </c>
      <c r="W114" s="5">
        <v>759</v>
      </c>
      <c r="X114" s="6">
        <f t="shared" si="77"/>
        <v>3</v>
      </c>
      <c r="Y114" s="7">
        <f t="shared" si="78"/>
        <v>4</v>
      </c>
      <c r="Z114" s="7">
        <f t="shared" si="79"/>
        <v>4</v>
      </c>
      <c r="AA114" s="7">
        <f t="shared" si="80"/>
        <v>8</v>
      </c>
      <c r="AB114" s="17">
        <f t="shared" si="81"/>
        <v>1</v>
      </c>
      <c r="AC114" s="17">
        <f t="shared" si="82"/>
        <v>0</v>
      </c>
      <c r="AD114" s="17">
        <f t="shared" si="83"/>
        <v>1</v>
      </c>
    </row>
    <row r="115" spans="1:30" x14ac:dyDescent="0.3">
      <c r="A115" s="9" t="s">
        <v>72</v>
      </c>
      <c r="B115" s="33">
        <v>45943</v>
      </c>
      <c r="C115" s="5">
        <v>45845</v>
      </c>
      <c r="D115" s="6">
        <f t="shared" si="67"/>
        <v>302</v>
      </c>
      <c r="E115" s="5">
        <v>5777</v>
      </c>
      <c r="F115" s="6">
        <f t="shared" si="68"/>
        <v>98</v>
      </c>
      <c r="G115" s="5">
        <v>22541</v>
      </c>
      <c r="H115" s="6">
        <f t="shared" si="69"/>
        <v>132</v>
      </c>
      <c r="I115" s="5">
        <v>9175</v>
      </c>
      <c r="J115" s="6">
        <f t="shared" si="70"/>
        <v>48</v>
      </c>
      <c r="K115" s="5">
        <v>1003</v>
      </c>
      <c r="L115" s="6">
        <f t="shared" si="71"/>
        <v>14</v>
      </c>
      <c r="M115" s="5">
        <v>1298</v>
      </c>
      <c r="N115" s="6">
        <f t="shared" si="72"/>
        <v>12</v>
      </c>
      <c r="O115" s="13">
        <v>22509</v>
      </c>
      <c r="P115" s="6">
        <f t="shared" si="73"/>
        <v>207</v>
      </c>
      <c r="Q115" s="5">
        <v>4643</v>
      </c>
      <c r="R115" s="6">
        <f t="shared" si="74"/>
        <v>53</v>
      </c>
      <c r="S115" s="5">
        <v>9083</v>
      </c>
      <c r="T115" s="6">
        <f t="shared" si="75"/>
        <v>60</v>
      </c>
      <c r="U115" s="5">
        <v>7304</v>
      </c>
      <c r="V115" s="6">
        <f t="shared" si="76"/>
        <v>83</v>
      </c>
      <c r="W115" s="5">
        <v>762</v>
      </c>
      <c r="X115" s="6">
        <f t="shared" si="77"/>
        <v>7</v>
      </c>
      <c r="Y115" s="7">
        <f t="shared" si="78"/>
        <v>304</v>
      </c>
      <c r="Z115" s="7">
        <f t="shared" si="79"/>
        <v>203</v>
      </c>
      <c r="AA115" s="7">
        <f t="shared" si="80"/>
        <v>507</v>
      </c>
      <c r="AB115" s="17">
        <f t="shared" si="81"/>
        <v>-2</v>
      </c>
      <c r="AC115" s="17">
        <f t="shared" si="82"/>
        <v>4</v>
      </c>
      <c r="AD115" s="17">
        <f t="shared" si="83"/>
        <v>2</v>
      </c>
    </row>
    <row r="116" spans="1:30" x14ac:dyDescent="0.3">
      <c r="A116" s="9" t="s">
        <v>66</v>
      </c>
      <c r="B116" s="33">
        <v>45944</v>
      </c>
      <c r="C116" s="5">
        <v>46147</v>
      </c>
      <c r="D116" s="6">
        <f t="shared" si="67"/>
        <v>308</v>
      </c>
      <c r="E116" s="5">
        <v>5875</v>
      </c>
      <c r="F116" s="6">
        <f t="shared" si="68"/>
        <v>99</v>
      </c>
      <c r="G116" s="5">
        <v>22673</v>
      </c>
      <c r="H116" s="6">
        <f t="shared" si="69"/>
        <v>135</v>
      </c>
      <c r="I116" s="5">
        <v>9223</v>
      </c>
      <c r="J116" s="6">
        <f t="shared" si="70"/>
        <v>45</v>
      </c>
      <c r="K116" s="5">
        <v>1017</v>
      </c>
      <c r="L116" s="6">
        <f t="shared" si="71"/>
        <v>16</v>
      </c>
      <c r="M116" s="5">
        <v>1310</v>
      </c>
      <c r="N116" s="6">
        <f t="shared" si="72"/>
        <v>13</v>
      </c>
      <c r="O116" s="13">
        <v>22716</v>
      </c>
      <c r="P116" s="6">
        <f t="shared" si="73"/>
        <v>209</v>
      </c>
      <c r="Q116" s="5">
        <v>4696</v>
      </c>
      <c r="R116" s="6">
        <f t="shared" si="74"/>
        <v>60</v>
      </c>
      <c r="S116" s="5">
        <v>9143</v>
      </c>
      <c r="T116" s="6">
        <f t="shared" si="75"/>
        <v>55</v>
      </c>
      <c r="U116" s="5">
        <v>7387</v>
      </c>
      <c r="V116" s="6">
        <f t="shared" si="76"/>
        <v>88</v>
      </c>
      <c r="W116" s="5">
        <v>769</v>
      </c>
      <c r="X116" s="6">
        <f t="shared" si="77"/>
        <v>6</v>
      </c>
      <c r="Y116" s="7">
        <f t="shared" si="78"/>
        <v>308</v>
      </c>
      <c r="Z116" s="7">
        <f t="shared" si="79"/>
        <v>209</v>
      </c>
      <c r="AA116" s="7">
        <f t="shared" si="80"/>
        <v>517</v>
      </c>
      <c r="AB116" s="17">
        <f t="shared" si="81"/>
        <v>0</v>
      </c>
      <c r="AC116" s="17">
        <f t="shared" si="82"/>
        <v>0</v>
      </c>
      <c r="AD116" s="17">
        <f t="shared" si="83"/>
        <v>0</v>
      </c>
    </row>
    <row r="117" spans="1:30" x14ac:dyDescent="0.3">
      <c r="A117" s="9" t="s">
        <v>67</v>
      </c>
      <c r="B117" s="33">
        <v>45945</v>
      </c>
      <c r="C117" s="5">
        <v>46455</v>
      </c>
      <c r="D117" s="6">
        <f t="shared" si="67"/>
        <v>280</v>
      </c>
      <c r="E117" s="5">
        <v>5974</v>
      </c>
      <c r="F117" s="6">
        <f t="shared" si="68"/>
        <v>99</v>
      </c>
      <c r="G117" s="5">
        <v>22808</v>
      </c>
      <c r="H117" s="6">
        <f t="shared" si="69"/>
        <v>125</v>
      </c>
      <c r="I117" s="5">
        <v>9268</v>
      </c>
      <c r="J117" s="6">
        <f t="shared" si="70"/>
        <v>31</v>
      </c>
      <c r="K117" s="5">
        <v>1033</v>
      </c>
      <c r="L117" s="6">
        <f t="shared" si="71"/>
        <v>15</v>
      </c>
      <c r="M117" s="5">
        <v>1323</v>
      </c>
      <c r="N117" s="6">
        <f t="shared" si="72"/>
        <v>10</v>
      </c>
      <c r="O117" s="13">
        <v>22925</v>
      </c>
      <c r="P117" s="6">
        <f t="shared" si="73"/>
        <v>184</v>
      </c>
      <c r="Q117" s="5">
        <v>4756</v>
      </c>
      <c r="R117" s="6">
        <f t="shared" si="74"/>
        <v>57</v>
      </c>
      <c r="S117" s="5">
        <v>9198</v>
      </c>
      <c r="T117" s="6">
        <f t="shared" si="75"/>
        <v>39</v>
      </c>
      <c r="U117" s="5">
        <v>7475</v>
      </c>
      <c r="V117" s="6">
        <f t="shared" si="76"/>
        <v>78</v>
      </c>
      <c r="W117" s="5">
        <v>775</v>
      </c>
      <c r="X117" s="6">
        <f t="shared" si="77"/>
        <v>6</v>
      </c>
      <c r="Y117" s="7">
        <f t="shared" si="78"/>
        <v>280</v>
      </c>
      <c r="Z117" s="7">
        <f t="shared" si="79"/>
        <v>180</v>
      </c>
      <c r="AA117" s="7">
        <f t="shared" si="80"/>
        <v>460</v>
      </c>
      <c r="AB117" s="17">
        <f t="shared" si="81"/>
        <v>0</v>
      </c>
      <c r="AC117" s="17">
        <f t="shared" si="82"/>
        <v>4</v>
      </c>
      <c r="AD117" s="17">
        <f t="shared" si="83"/>
        <v>4</v>
      </c>
    </row>
    <row r="118" spans="1:30" x14ac:dyDescent="0.3">
      <c r="A118" s="9" t="s">
        <v>68</v>
      </c>
      <c r="B118" s="33">
        <v>45946</v>
      </c>
      <c r="C118" s="5">
        <v>46735</v>
      </c>
      <c r="D118" s="6">
        <f t="shared" si="67"/>
        <v>286</v>
      </c>
      <c r="E118" s="5">
        <v>6073</v>
      </c>
      <c r="F118" s="6">
        <f t="shared" si="68"/>
        <v>100</v>
      </c>
      <c r="G118" s="5">
        <v>22933</v>
      </c>
      <c r="H118" s="6">
        <f t="shared" si="69"/>
        <v>107</v>
      </c>
      <c r="I118" s="5">
        <v>9299</v>
      </c>
      <c r="J118" s="6">
        <f t="shared" si="70"/>
        <v>53</v>
      </c>
      <c r="K118" s="5">
        <v>1048</v>
      </c>
      <c r="L118" s="6">
        <f t="shared" si="71"/>
        <v>14</v>
      </c>
      <c r="M118" s="5">
        <v>1333</v>
      </c>
      <c r="N118" s="6">
        <f t="shared" si="72"/>
        <v>12</v>
      </c>
      <c r="O118" s="13">
        <v>23109</v>
      </c>
      <c r="P118" s="6">
        <f t="shared" si="73"/>
        <v>206</v>
      </c>
      <c r="Q118" s="5">
        <v>4813</v>
      </c>
      <c r="R118" s="6">
        <f t="shared" si="74"/>
        <v>58</v>
      </c>
      <c r="S118" s="5">
        <v>9237</v>
      </c>
      <c r="T118" s="6">
        <f t="shared" si="75"/>
        <v>60</v>
      </c>
      <c r="U118" s="5">
        <v>7553</v>
      </c>
      <c r="V118" s="6">
        <f t="shared" si="76"/>
        <v>81</v>
      </c>
      <c r="W118" s="5">
        <v>781</v>
      </c>
      <c r="X118" s="6">
        <f t="shared" si="77"/>
        <v>7</v>
      </c>
      <c r="Y118" s="7">
        <f t="shared" si="78"/>
        <v>286</v>
      </c>
      <c r="Z118" s="7">
        <f t="shared" si="79"/>
        <v>206</v>
      </c>
      <c r="AA118" s="7">
        <f t="shared" si="80"/>
        <v>492</v>
      </c>
      <c r="AB118" s="17">
        <f t="shared" si="81"/>
        <v>0</v>
      </c>
      <c r="AC118" s="17">
        <f t="shared" si="82"/>
        <v>0</v>
      </c>
      <c r="AD118" s="17">
        <f t="shared" si="83"/>
        <v>0</v>
      </c>
    </row>
    <row r="119" spans="1:30" x14ac:dyDescent="0.3">
      <c r="A119" s="9" t="s">
        <v>69</v>
      </c>
      <c r="B119" s="33">
        <v>45947</v>
      </c>
      <c r="C119" s="5">
        <v>47021</v>
      </c>
      <c r="D119" s="6">
        <f t="shared" si="67"/>
        <v>326</v>
      </c>
      <c r="E119" s="5">
        <v>6173</v>
      </c>
      <c r="F119" s="6">
        <f t="shared" si="68"/>
        <v>95</v>
      </c>
      <c r="G119" s="5">
        <v>23040</v>
      </c>
      <c r="H119" s="6">
        <f t="shared" si="69"/>
        <v>152</v>
      </c>
      <c r="I119" s="5">
        <v>9352</v>
      </c>
      <c r="J119" s="6">
        <f t="shared" si="70"/>
        <v>53</v>
      </c>
      <c r="K119" s="5">
        <v>1062</v>
      </c>
      <c r="L119" s="6">
        <f t="shared" si="71"/>
        <v>14</v>
      </c>
      <c r="M119" s="5">
        <v>1345</v>
      </c>
      <c r="N119" s="6">
        <f t="shared" si="72"/>
        <v>12</v>
      </c>
      <c r="O119" s="13">
        <v>23315</v>
      </c>
      <c r="P119" s="6">
        <f t="shared" si="73"/>
        <v>183</v>
      </c>
      <c r="Q119" s="5">
        <v>4871</v>
      </c>
      <c r="R119" s="6">
        <f t="shared" si="74"/>
        <v>56</v>
      </c>
      <c r="S119" s="5">
        <v>9297</v>
      </c>
      <c r="T119" s="6">
        <f t="shared" si="75"/>
        <v>45</v>
      </c>
      <c r="U119" s="5">
        <v>7634</v>
      </c>
      <c r="V119" s="6">
        <f t="shared" si="76"/>
        <v>75</v>
      </c>
      <c r="W119" s="5">
        <v>788</v>
      </c>
      <c r="X119" s="6">
        <f t="shared" si="77"/>
        <v>5</v>
      </c>
      <c r="Y119" s="7">
        <f t="shared" si="78"/>
        <v>326</v>
      </c>
      <c r="Z119" s="7">
        <f t="shared" si="79"/>
        <v>181</v>
      </c>
      <c r="AA119" s="7">
        <f t="shared" si="80"/>
        <v>507</v>
      </c>
      <c r="AB119" s="17">
        <f t="shared" si="81"/>
        <v>0</v>
      </c>
      <c r="AC119" s="17">
        <f t="shared" si="82"/>
        <v>2</v>
      </c>
      <c r="AD119" s="17">
        <f t="shared" si="83"/>
        <v>2</v>
      </c>
    </row>
    <row r="120" spans="1:30" x14ac:dyDescent="0.3">
      <c r="A120" s="9" t="s">
        <v>70</v>
      </c>
      <c r="B120" s="33">
        <v>45948</v>
      </c>
      <c r="C120" s="5">
        <v>47347</v>
      </c>
      <c r="D120" s="6">
        <f t="shared" si="67"/>
        <v>344</v>
      </c>
      <c r="E120" s="5">
        <v>6268</v>
      </c>
      <c r="F120" s="6">
        <f t="shared" si="68"/>
        <v>113</v>
      </c>
      <c r="G120" s="5">
        <v>23192</v>
      </c>
      <c r="H120" s="6">
        <f t="shared" si="69"/>
        <v>162</v>
      </c>
      <c r="I120" s="5">
        <v>9405</v>
      </c>
      <c r="J120" s="6">
        <f t="shared" si="70"/>
        <v>47</v>
      </c>
      <c r="K120" s="5">
        <v>1076</v>
      </c>
      <c r="L120" s="6">
        <f t="shared" si="71"/>
        <v>12</v>
      </c>
      <c r="M120" s="5">
        <v>1357</v>
      </c>
      <c r="N120" s="6">
        <f t="shared" si="72"/>
        <v>10</v>
      </c>
      <c r="O120" s="13">
        <v>23498</v>
      </c>
      <c r="P120" s="6">
        <f t="shared" si="73"/>
        <v>179</v>
      </c>
      <c r="Q120" s="5">
        <v>4927</v>
      </c>
      <c r="R120" s="6">
        <f t="shared" si="74"/>
        <v>56</v>
      </c>
      <c r="S120" s="5">
        <v>9342</v>
      </c>
      <c r="T120" s="6">
        <f t="shared" si="75"/>
        <v>35</v>
      </c>
      <c r="U120" s="5">
        <v>7709</v>
      </c>
      <c r="V120" s="6">
        <f t="shared" si="76"/>
        <v>82</v>
      </c>
      <c r="W120" s="5">
        <v>793</v>
      </c>
      <c r="X120" s="6">
        <f t="shared" si="77"/>
        <v>5</v>
      </c>
      <c r="Y120" s="7">
        <f t="shared" si="78"/>
        <v>344</v>
      </c>
      <c r="Z120" s="7">
        <f t="shared" si="79"/>
        <v>178</v>
      </c>
      <c r="AA120" s="7">
        <f t="shared" si="80"/>
        <v>522</v>
      </c>
      <c r="AB120" s="17">
        <f t="shared" si="81"/>
        <v>0</v>
      </c>
      <c r="AC120" s="17">
        <f t="shared" si="82"/>
        <v>1</v>
      </c>
      <c r="AD120" s="17">
        <f t="shared" si="83"/>
        <v>1</v>
      </c>
    </row>
    <row r="121" spans="1:30" x14ac:dyDescent="0.3">
      <c r="A121" s="9" t="s">
        <v>71</v>
      </c>
      <c r="B121" s="33">
        <v>45949</v>
      </c>
      <c r="C121" s="5">
        <v>47691</v>
      </c>
      <c r="D121" s="6">
        <f t="shared" si="67"/>
        <v>31</v>
      </c>
      <c r="E121" s="5">
        <v>6381</v>
      </c>
      <c r="F121" s="6">
        <f t="shared" si="68"/>
        <v>0</v>
      </c>
      <c r="G121" s="5">
        <v>23354</v>
      </c>
      <c r="H121" s="6">
        <f t="shared" si="69"/>
        <v>0</v>
      </c>
      <c r="I121" s="5">
        <v>9452</v>
      </c>
      <c r="J121" s="6">
        <f t="shared" si="70"/>
        <v>21</v>
      </c>
      <c r="K121" s="5">
        <v>1088</v>
      </c>
      <c r="L121" s="6">
        <f t="shared" si="71"/>
        <v>7</v>
      </c>
      <c r="M121" s="5">
        <v>1367</v>
      </c>
      <c r="N121" s="6">
        <f t="shared" si="72"/>
        <v>3</v>
      </c>
      <c r="O121" s="13">
        <v>23677</v>
      </c>
      <c r="P121" s="6">
        <f t="shared" si="73"/>
        <v>5</v>
      </c>
      <c r="Q121" s="5">
        <v>4983</v>
      </c>
      <c r="R121" s="6">
        <f t="shared" si="74"/>
        <v>0</v>
      </c>
      <c r="S121" s="5">
        <v>9377</v>
      </c>
      <c r="T121" s="6">
        <f t="shared" si="75"/>
        <v>0</v>
      </c>
      <c r="U121" s="5">
        <v>7791</v>
      </c>
      <c r="V121" s="6">
        <f t="shared" si="76"/>
        <v>1</v>
      </c>
      <c r="W121" s="5">
        <v>798</v>
      </c>
      <c r="X121" s="6">
        <f t="shared" si="77"/>
        <v>3</v>
      </c>
      <c r="Y121" s="7">
        <f t="shared" si="78"/>
        <v>31</v>
      </c>
      <c r="Z121" s="7">
        <f t="shared" si="79"/>
        <v>4</v>
      </c>
      <c r="AA121" s="7">
        <f t="shared" si="80"/>
        <v>35</v>
      </c>
      <c r="AB121" s="17">
        <f t="shared" si="81"/>
        <v>0</v>
      </c>
      <c r="AC121" s="17">
        <f t="shared" si="82"/>
        <v>1</v>
      </c>
      <c r="AD121" s="17">
        <f t="shared" si="83"/>
        <v>1</v>
      </c>
    </row>
    <row r="122" spans="1:30" x14ac:dyDescent="0.3">
      <c r="A122" s="9" t="s">
        <v>72</v>
      </c>
      <c r="B122" s="33">
        <v>45950</v>
      </c>
      <c r="C122" s="5">
        <v>47722</v>
      </c>
      <c r="D122" s="6">
        <f t="shared" si="67"/>
        <v>304</v>
      </c>
      <c r="E122" s="5">
        <v>6381</v>
      </c>
      <c r="F122" s="6">
        <f t="shared" si="68"/>
        <v>97</v>
      </c>
      <c r="G122" s="5">
        <v>23354</v>
      </c>
      <c r="H122" s="6">
        <f t="shared" si="69"/>
        <v>119</v>
      </c>
      <c r="I122" s="5">
        <v>9473</v>
      </c>
      <c r="J122" s="6">
        <f t="shared" si="70"/>
        <v>61</v>
      </c>
      <c r="K122" s="5">
        <v>1095</v>
      </c>
      <c r="L122" s="6">
        <f t="shared" si="71"/>
        <v>15</v>
      </c>
      <c r="M122" s="5">
        <v>1370</v>
      </c>
      <c r="N122" s="6">
        <f t="shared" si="72"/>
        <v>12</v>
      </c>
      <c r="O122" s="13">
        <v>23682</v>
      </c>
      <c r="P122" s="6">
        <f t="shared" si="73"/>
        <v>193</v>
      </c>
      <c r="Q122" s="5">
        <v>4983</v>
      </c>
      <c r="R122" s="6">
        <f t="shared" si="74"/>
        <v>57</v>
      </c>
      <c r="S122" s="5">
        <v>9377</v>
      </c>
      <c r="T122" s="6">
        <f t="shared" si="75"/>
        <v>47</v>
      </c>
      <c r="U122" s="5">
        <v>7792</v>
      </c>
      <c r="V122" s="6">
        <f t="shared" si="76"/>
        <v>82</v>
      </c>
      <c r="W122" s="5">
        <v>801</v>
      </c>
      <c r="X122" s="6">
        <f t="shared" si="77"/>
        <v>5</v>
      </c>
      <c r="Y122" s="7">
        <f t="shared" si="78"/>
        <v>304</v>
      </c>
      <c r="Z122" s="7">
        <f t="shared" si="79"/>
        <v>191</v>
      </c>
      <c r="AA122" s="7">
        <f t="shared" si="80"/>
        <v>495</v>
      </c>
      <c r="AB122" s="17">
        <f t="shared" si="81"/>
        <v>0</v>
      </c>
      <c r="AC122" s="17">
        <f t="shared" si="82"/>
        <v>2</v>
      </c>
      <c r="AD122" s="17">
        <f t="shared" si="83"/>
        <v>2</v>
      </c>
    </row>
    <row r="123" spans="1:30" x14ac:dyDescent="0.3">
      <c r="A123" s="9" t="s">
        <v>66</v>
      </c>
      <c r="B123" s="33">
        <v>45951</v>
      </c>
      <c r="C123" s="5">
        <v>48026</v>
      </c>
      <c r="D123" s="6">
        <f t="shared" si="67"/>
        <v>328</v>
      </c>
      <c r="E123" s="5">
        <v>6478</v>
      </c>
      <c r="F123" s="6">
        <f t="shared" si="68"/>
        <v>114</v>
      </c>
      <c r="G123" s="5">
        <v>23473</v>
      </c>
      <c r="H123" s="6">
        <f t="shared" si="69"/>
        <v>136</v>
      </c>
      <c r="I123" s="5">
        <v>9534</v>
      </c>
      <c r="J123" s="6">
        <f t="shared" si="70"/>
        <v>52</v>
      </c>
      <c r="K123" s="5">
        <v>1110</v>
      </c>
      <c r="L123" s="6">
        <f t="shared" si="71"/>
        <v>16</v>
      </c>
      <c r="M123" s="5">
        <v>1382</v>
      </c>
      <c r="N123" s="6">
        <f t="shared" si="72"/>
        <v>11</v>
      </c>
      <c r="O123" s="13">
        <v>23875</v>
      </c>
      <c r="P123" s="6">
        <f t="shared" si="73"/>
        <v>204</v>
      </c>
      <c r="Q123" s="5">
        <v>5040</v>
      </c>
      <c r="R123" s="6">
        <f t="shared" si="74"/>
        <v>57</v>
      </c>
      <c r="S123" s="5">
        <v>9424</v>
      </c>
      <c r="T123" s="6">
        <f t="shared" si="75"/>
        <v>54</v>
      </c>
      <c r="U123" s="5">
        <v>7874</v>
      </c>
      <c r="V123" s="6">
        <f t="shared" si="76"/>
        <v>86</v>
      </c>
      <c r="W123" s="5">
        <v>806</v>
      </c>
      <c r="X123" s="6">
        <f t="shared" si="77"/>
        <v>5</v>
      </c>
      <c r="Y123" s="7">
        <f t="shared" si="78"/>
        <v>329</v>
      </c>
      <c r="Z123" s="7">
        <f t="shared" si="79"/>
        <v>202</v>
      </c>
      <c r="AA123" s="7">
        <f t="shared" si="80"/>
        <v>531</v>
      </c>
      <c r="AB123" s="17">
        <f t="shared" si="81"/>
        <v>-1</v>
      </c>
      <c r="AC123" s="17">
        <f t="shared" si="82"/>
        <v>2</v>
      </c>
      <c r="AD123" s="17">
        <f t="shared" si="83"/>
        <v>1</v>
      </c>
    </row>
    <row r="124" spans="1:30" x14ac:dyDescent="0.3">
      <c r="A124" s="9" t="s">
        <v>67</v>
      </c>
      <c r="B124" s="33">
        <v>45952</v>
      </c>
      <c r="C124" s="5">
        <v>48354</v>
      </c>
      <c r="D124" s="6">
        <f t="shared" si="67"/>
        <v>287</v>
      </c>
      <c r="E124" s="5">
        <v>6592</v>
      </c>
      <c r="F124" s="6">
        <f t="shared" si="68"/>
        <v>106</v>
      </c>
      <c r="G124" s="5">
        <v>23609</v>
      </c>
      <c r="H124" s="6">
        <f t="shared" si="69"/>
        <v>108</v>
      </c>
      <c r="I124" s="5">
        <v>9586</v>
      </c>
      <c r="J124" s="6">
        <f t="shared" si="70"/>
        <v>47</v>
      </c>
      <c r="K124" s="5">
        <v>1126</v>
      </c>
      <c r="L124" s="6">
        <f t="shared" si="71"/>
        <v>15</v>
      </c>
      <c r="M124" s="5">
        <v>1393</v>
      </c>
      <c r="N124" s="6">
        <f t="shared" si="72"/>
        <v>13</v>
      </c>
      <c r="O124" s="13">
        <v>24079</v>
      </c>
      <c r="P124" s="6">
        <f t="shared" si="73"/>
        <v>197</v>
      </c>
      <c r="Q124" s="5">
        <v>5097</v>
      </c>
      <c r="R124" s="6">
        <f t="shared" si="74"/>
        <v>57</v>
      </c>
      <c r="S124" s="5">
        <v>9478</v>
      </c>
      <c r="T124" s="6">
        <f t="shared" si="75"/>
        <v>58</v>
      </c>
      <c r="U124" s="5">
        <v>7960</v>
      </c>
      <c r="V124" s="6">
        <f t="shared" si="76"/>
        <v>75</v>
      </c>
      <c r="W124" s="5">
        <v>811</v>
      </c>
      <c r="X124" s="6">
        <f t="shared" si="77"/>
        <v>5</v>
      </c>
      <c r="Y124" s="7">
        <f t="shared" si="78"/>
        <v>289</v>
      </c>
      <c r="Z124" s="7">
        <f t="shared" si="79"/>
        <v>195</v>
      </c>
      <c r="AA124" s="7">
        <f t="shared" si="80"/>
        <v>484</v>
      </c>
      <c r="AB124" s="17">
        <f t="shared" si="81"/>
        <v>-2</v>
      </c>
      <c r="AC124" s="17">
        <f t="shared" si="82"/>
        <v>2</v>
      </c>
      <c r="AD124" s="17">
        <f t="shared" si="83"/>
        <v>0</v>
      </c>
    </row>
    <row r="125" spans="1:30" x14ac:dyDescent="0.3">
      <c r="A125" s="9" t="s">
        <v>68</v>
      </c>
      <c r="B125" s="33">
        <v>45953</v>
      </c>
      <c r="C125" s="5">
        <v>48641</v>
      </c>
      <c r="D125" s="6">
        <f t="shared" si="67"/>
        <v>295</v>
      </c>
      <c r="E125" s="5">
        <v>6698</v>
      </c>
      <c r="F125" s="6">
        <f t="shared" si="68"/>
        <v>114</v>
      </c>
      <c r="G125" s="5">
        <v>23717</v>
      </c>
      <c r="H125" s="6">
        <f t="shared" si="69"/>
        <v>108</v>
      </c>
      <c r="I125" s="5">
        <v>9633</v>
      </c>
      <c r="J125" s="6">
        <f t="shared" si="70"/>
        <v>45</v>
      </c>
      <c r="K125" s="5">
        <v>1141</v>
      </c>
      <c r="L125" s="6">
        <f t="shared" si="71"/>
        <v>14</v>
      </c>
      <c r="M125" s="5">
        <v>1406</v>
      </c>
      <c r="N125" s="6">
        <f t="shared" si="72"/>
        <v>13</v>
      </c>
      <c r="O125" s="13">
        <v>24276</v>
      </c>
      <c r="P125" s="6">
        <f t="shared" si="73"/>
        <v>200</v>
      </c>
      <c r="Q125" s="5">
        <v>5154</v>
      </c>
      <c r="R125" s="6">
        <f t="shared" si="74"/>
        <v>59</v>
      </c>
      <c r="S125" s="5">
        <v>9536</v>
      </c>
      <c r="T125" s="6">
        <f t="shared" si="75"/>
        <v>56</v>
      </c>
      <c r="U125" s="5">
        <v>8035</v>
      </c>
      <c r="V125" s="6">
        <f t="shared" si="76"/>
        <v>79</v>
      </c>
      <c r="W125" s="5">
        <v>816</v>
      </c>
      <c r="X125" s="6">
        <f t="shared" si="77"/>
        <v>6</v>
      </c>
      <c r="Y125" s="7">
        <f t="shared" si="78"/>
        <v>294</v>
      </c>
      <c r="Z125" s="7">
        <f t="shared" si="79"/>
        <v>200</v>
      </c>
      <c r="AA125" s="7">
        <f t="shared" si="80"/>
        <v>494</v>
      </c>
      <c r="AB125" s="17">
        <f t="shared" si="81"/>
        <v>1</v>
      </c>
      <c r="AC125" s="17">
        <f t="shared" si="82"/>
        <v>0</v>
      </c>
      <c r="AD125" s="17">
        <f t="shared" si="83"/>
        <v>1</v>
      </c>
    </row>
    <row r="126" spans="1:30" x14ac:dyDescent="0.3">
      <c r="A126" s="9" t="s">
        <v>69</v>
      </c>
      <c r="B126" s="33">
        <v>45954</v>
      </c>
      <c r="C126" s="5">
        <v>48936</v>
      </c>
      <c r="D126" s="6">
        <f t="shared" si="67"/>
        <v>307</v>
      </c>
      <c r="E126" s="5">
        <v>6812</v>
      </c>
      <c r="F126" s="6">
        <f t="shared" si="68"/>
        <v>100</v>
      </c>
      <c r="G126" s="5">
        <v>23825</v>
      </c>
      <c r="H126" s="6">
        <f t="shared" si="69"/>
        <v>133</v>
      </c>
      <c r="I126" s="5">
        <v>9678</v>
      </c>
      <c r="J126" s="6">
        <f t="shared" si="70"/>
        <v>45</v>
      </c>
      <c r="K126" s="5">
        <v>1155</v>
      </c>
      <c r="L126" s="6">
        <f t="shared" si="71"/>
        <v>15</v>
      </c>
      <c r="M126" s="5">
        <v>1419</v>
      </c>
      <c r="N126" s="6">
        <f t="shared" si="72"/>
        <v>14</v>
      </c>
      <c r="O126" s="13">
        <v>24476</v>
      </c>
      <c r="P126" s="6">
        <f t="shared" si="73"/>
        <v>187</v>
      </c>
      <c r="Q126" s="5">
        <v>5213</v>
      </c>
      <c r="R126" s="6">
        <f t="shared" si="74"/>
        <v>53</v>
      </c>
      <c r="S126" s="5">
        <v>9592</v>
      </c>
      <c r="T126" s="6">
        <f t="shared" si="75"/>
        <v>56</v>
      </c>
      <c r="U126" s="5">
        <v>8114</v>
      </c>
      <c r="V126" s="6">
        <f t="shared" si="76"/>
        <v>70</v>
      </c>
      <c r="W126" s="5">
        <v>822</v>
      </c>
      <c r="X126" s="6">
        <f t="shared" si="77"/>
        <v>5</v>
      </c>
      <c r="Y126" s="7">
        <f t="shared" si="78"/>
        <v>307</v>
      </c>
      <c r="Z126" s="7">
        <f t="shared" si="79"/>
        <v>184</v>
      </c>
      <c r="AA126" s="7">
        <f t="shared" si="80"/>
        <v>491</v>
      </c>
      <c r="AB126" s="17">
        <f t="shared" si="81"/>
        <v>0</v>
      </c>
      <c r="AC126" s="17">
        <f t="shared" si="82"/>
        <v>3</v>
      </c>
      <c r="AD126" s="17">
        <f t="shared" si="83"/>
        <v>3</v>
      </c>
    </row>
    <row r="127" spans="1:30" x14ac:dyDescent="0.3">
      <c r="A127" s="9" t="s">
        <v>70</v>
      </c>
      <c r="B127" s="33">
        <v>45955</v>
      </c>
      <c r="C127" s="5">
        <v>49243</v>
      </c>
      <c r="D127" s="6">
        <f t="shared" si="67"/>
        <v>256</v>
      </c>
      <c r="E127" s="5">
        <v>6912</v>
      </c>
      <c r="F127" s="6">
        <f t="shared" si="68"/>
        <v>103</v>
      </c>
      <c r="G127" s="5">
        <v>23958</v>
      </c>
      <c r="H127" s="6">
        <f t="shared" si="69"/>
        <v>84</v>
      </c>
      <c r="I127" s="5">
        <v>9723</v>
      </c>
      <c r="J127" s="6">
        <f t="shared" si="70"/>
        <v>42</v>
      </c>
      <c r="K127" s="5">
        <v>1170</v>
      </c>
      <c r="L127" s="6">
        <f t="shared" si="71"/>
        <v>13</v>
      </c>
      <c r="M127" s="5">
        <v>1433</v>
      </c>
      <c r="N127" s="6">
        <f t="shared" si="72"/>
        <v>14</v>
      </c>
      <c r="O127" s="13">
        <v>24663</v>
      </c>
      <c r="P127" s="6">
        <f t="shared" si="73"/>
        <v>192</v>
      </c>
      <c r="Q127" s="5">
        <v>5266</v>
      </c>
      <c r="R127" s="6">
        <f t="shared" si="74"/>
        <v>57</v>
      </c>
      <c r="S127" s="5">
        <v>9648</v>
      </c>
      <c r="T127" s="6">
        <f t="shared" si="75"/>
        <v>52</v>
      </c>
      <c r="U127" s="5">
        <v>8184</v>
      </c>
      <c r="V127" s="6">
        <f t="shared" si="76"/>
        <v>76</v>
      </c>
      <c r="W127" s="5">
        <v>827</v>
      </c>
      <c r="X127" s="6">
        <f t="shared" si="77"/>
        <v>5</v>
      </c>
      <c r="Y127" s="7">
        <f t="shared" si="78"/>
        <v>256</v>
      </c>
      <c r="Z127" s="7">
        <f t="shared" si="79"/>
        <v>190</v>
      </c>
      <c r="AA127" s="7">
        <f t="shared" si="80"/>
        <v>446</v>
      </c>
      <c r="AB127" s="17">
        <f t="shared" si="81"/>
        <v>0</v>
      </c>
      <c r="AC127" s="17">
        <f t="shared" si="82"/>
        <v>2</v>
      </c>
      <c r="AD127" s="17">
        <f t="shared" si="83"/>
        <v>2</v>
      </c>
    </row>
    <row r="128" spans="1:30" x14ac:dyDescent="0.3">
      <c r="A128" s="9" t="s">
        <v>71</v>
      </c>
      <c r="B128" s="33">
        <v>45956</v>
      </c>
      <c r="C128" s="5">
        <v>49499</v>
      </c>
      <c r="D128" s="6">
        <f t="shared" si="67"/>
        <v>32</v>
      </c>
      <c r="E128" s="5">
        <v>7015</v>
      </c>
      <c r="F128" s="6">
        <f t="shared" si="68"/>
        <v>0</v>
      </c>
      <c r="G128" s="5">
        <v>24042</v>
      </c>
      <c r="H128" s="6">
        <f t="shared" si="69"/>
        <v>0</v>
      </c>
      <c r="I128" s="5">
        <v>9765</v>
      </c>
      <c r="J128" s="6">
        <f t="shared" si="70"/>
        <v>23</v>
      </c>
      <c r="K128" s="5">
        <v>1183</v>
      </c>
      <c r="L128" s="6">
        <f t="shared" si="71"/>
        <v>7</v>
      </c>
      <c r="M128" s="5">
        <v>1447</v>
      </c>
      <c r="N128" s="6">
        <f t="shared" si="72"/>
        <v>2</v>
      </c>
      <c r="O128" s="13">
        <v>24855</v>
      </c>
      <c r="P128" s="6">
        <f t="shared" si="73"/>
        <v>27</v>
      </c>
      <c r="Q128" s="5">
        <v>5323</v>
      </c>
      <c r="R128" s="6">
        <f t="shared" si="74"/>
        <v>0</v>
      </c>
      <c r="S128" s="5">
        <v>9700</v>
      </c>
      <c r="T128" s="6">
        <f t="shared" si="75"/>
        <v>22</v>
      </c>
      <c r="U128" s="5">
        <v>8260</v>
      </c>
      <c r="V128" s="6">
        <f t="shared" si="76"/>
        <v>1</v>
      </c>
      <c r="W128" s="5">
        <v>832</v>
      </c>
      <c r="X128" s="6">
        <f t="shared" si="77"/>
        <v>2</v>
      </c>
      <c r="Y128" s="7">
        <f t="shared" si="78"/>
        <v>32</v>
      </c>
      <c r="Z128" s="7">
        <f t="shared" si="79"/>
        <v>25</v>
      </c>
      <c r="AA128" s="7">
        <f t="shared" si="80"/>
        <v>57</v>
      </c>
      <c r="AB128" s="17">
        <f t="shared" si="81"/>
        <v>0</v>
      </c>
      <c r="AC128" s="17">
        <f t="shared" si="82"/>
        <v>2</v>
      </c>
      <c r="AD128" s="17">
        <f t="shared" si="83"/>
        <v>2</v>
      </c>
    </row>
    <row r="129" spans="1:30" x14ac:dyDescent="0.3">
      <c r="A129" s="9" t="s">
        <v>72</v>
      </c>
      <c r="B129" s="33">
        <v>45957</v>
      </c>
      <c r="C129" s="5">
        <v>49531</v>
      </c>
      <c r="D129" s="6">
        <f t="shared" si="67"/>
        <v>281</v>
      </c>
      <c r="E129" s="5">
        <v>7015</v>
      </c>
      <c r="F129" s="6">
        <f t="shared" si="68"/>
        <v>110</v>
      </c>
      <c r="G129" s="5">
        <v>24042</v>
      </c>
      <c r="H129" s="6">
        <f t="shared" si="69"/>
        <v>101</v>
      </c>
      <c r="I129" s="5">
        <v>9788</v>
      </c>
      <c r="J129" s="6">
        <f t="shared" si="70"/>
        <v>41</v>
      </c>
      <c r="K129" s="5">
        <v>1190</v>
      </c>
      <c r="L129" s="6">
        <f t="shared" si="71"/>
        <v>15</v>
      </c>
      <c r="M129" s="5">
        <v>1449</v>
      </c>
      <c r="N129" s="6">
        <f t="shared" si="72"/>
        <v>13</v>
      </c>
      <c r="O129" s="13">
        <v>24882</v>
      </c>
      <c r="P129" s="6">
        <f t="shared" si="73"/>
        <v>199</v>
      </c>
      <c r="Q129" s="5">
        <v>5323</v>
      </c>
      <c r="R129" s="6">
        <f t="shared" si="74"/>
        <v>59</v>
      </c>
      <c r="S129" s="5">
        <v>9722</v>
      </c>
      <c r="T129" s="6">
        <f t="shared" si="75"/>
        <v>53</v>
      </c>
      <c r="U129" s="5">
        <v>8261</v>
      </c>
      <c r="V129" s="6">
        <f t="shared" si="76"/>
        <v>80</v>
      </c>
      <c r="W129" s="5">
        <v>834</v>
      </c>
      <c r="X129" s="6">
        <f t="shared" si="77"/>
        <v>6</v>
      </c>
      <c r="Y129" s="7">
        <f t="shared" si="78"/>
        <v>280</v>
      </c>
      <c r="Z129" s="7">
        <f t="shared" si="79"/>
        <v>198</v>
      </c>
      <c r="AA129" s="7">
        <f t="shared" si="80"/>
        <v>478</v>
      </c>
      <c r="AB129" s="17">
        <f t="shared" si="81"/>
        <v>1</v>
      </c>
      <c r="AC129" s="17">
        <f t="shared" si="82"/>
        <v>1</v>
      </c>
      <c r="AD129" s="17">
        <f t="shared" si="83"/>
        <v>2</v>
      </c>
    </row>
    <row r="130" spans="1:30" x14ac:dyDescent="0.3">
      <c r="A130" s="9" t="s">
        <v>66</v>
      </c>
      <c r="B130" s="33">
        <v>45958</v>
      </c>
      <c r="C130" s="5">
        <v>49812</v>
      </c>
      <c r="D130" s="6">
        <f t="shared" si="67"/>
        <v>270</v>
      </c>
      <c r="E130" s="5">
        <v>7125</v>
      </c>
      <c r="F130" s="6">
        <f t="shared" si="68"/>
        <v>118</v>
      </c>
      <c r="G130" s="5">
        <v>24143</v>
      </c>
      <c r="H130" s="6">
        <f t="shared" si="69"/>
        <v>86</v>
      </c>
      <c r="I130" s="5">
        <v>9829</v>
      </c>
      <c r="J130" s="6">
        <f t="shared" si="70"/>
        <v>38</v>
      </c>
      <c r="K130" s="5">
        <v>1205</v>
      </c>
      <c r="L130" s="6">
        <f t="shared" si="71"/>
        <v>15</v>
      </c>
      <c r="M130" s="5">
        <v>1462</v>
      </c>
      <c r="N130" s="6">
        <f t="shared" si="72"/>
        <v>14</v>
      </c>
      <c r="O130" s="13">
        <v>25081</v>
      </c>
      <c r="P130" s="6">
        <f t="shared" si="73"/>
        <v>186</v>
      </c>
      <c r="Q130" s="5">
        <v>5382</v>
      </c>
      <c r="R130" s="6">
        <f t="shared" si="74"/>
        <v>58</v>
      </c>
      <c r="S130" s="5">
        <v>9775</v>
      </c>
      <c r="T130" s="6">
        <f t="shared" si="75"/>
        <v>48</v>
      </c>
      <c r="U130" s="5">
        <v>8341</v>
      </c>
      <c r="V130" s="6">
        <f t="shared" si="76"/>
        <v>72</v>
      </c>
      <c r="W130" s="5">
        <v>840</v>
      </c>
      <c r="X130" s="6">
        <f t="shared" si="77"/>
        <v>5</v>
      </c>
      <c r="Y130" s="7">
        <f t="shared" si="78"/>
        <v>271</v>
      </c>
      <c r="Z130" s="7">
        <f t="shared" si="79"/>
        <v>183</v>
      </c>
      <c r="AA130" s="7">
        <f t="shared" si="80"/>
        <v>454</v>
      </c>
      <c r="AB130" s="17">
        <f t="shared" si="81"/>
        <v>-1</v>
      </c>
      <c r="AC130" s="17">
        <f t="shared" si="82"/>
        <v>3</v>
      </c>
      <c r="AD130" s="17">
        <f t="shared" si="83"/>
        <v>2</v>
      </c>
    </row>
    <row r="131" spans="1:30" x14ac:dyDescent="0.3">
      <c r="A131" s="9" t="s">
        <v>67</v>
      </c>
      <c r="B131" s="33">
        <v>45959</v>
      </c>
      <c r="C131" s="5">
        <v>50082</v>
      </c>
      <c r="D131" s="6">
        <f t="shared" si="67"/>
        <v>263</v>
      </c>
      <c r="E131" s="5">
        <v>7243</v>
      </c>
      <c r="F131" s="6">
        <f t="shared" si="68"/>
        <v>112</v>
      </c>
      <c r="G131" s="5">
        <v>24229</v>
      </c>
      <c r="H131" s="6">
        <f t="shared" si="69"/>
        <v>85</v>
      </c>
      <c r="I131" s="5">
        <v>9867</v>
      </c>
      <c r="J131" s="6">
        <f t="shared" si="70"/>
        <v>36</v>
      </c>
      <c r="K131" s="5">
        <v>1220</v>
      </c>
      <c r="L131" s="6">
        <f t="shared" si="71"/>
        <v>16</v>
      </c>
      <c r="M131" s="5">
        <v>1476</v>
      </c>
      <c r="N131" s="6">
        <f t="shared" si="72"/>
        <v>14</v>
      </c>
      <c r="O131" s="13">
        <v>25267</v>
      </c>
      <c r="P131" s="6">
        <f t="shared" si="73"/>
        <v>180</v>
      </c>
      <c r="Q131" s="5">
        <v>5440</v>
      </c>
      <c r="R131" s="6">
        <f t="shared" si="74"/>
        <v>58</v>
      </c>
      <c r="S131" s="5">
        <v>9823</v>
      </c>
      <c r="T131" s="6">
        <f t="shared" si="75"/>
        <v>44</v>
      </c>
      <c r="U131" s="5">
        <v>8413</v>
      </c>
      <c r="V131" s="6">
        <f t="shared" si="76"/>
        <v>72</v>
      </c>
      <c r="W131" s="5">
        <v>845</v>
      </c>
      <c r="X131" s="6">
        <f t="shared" si="77"/>
        <v>6</v>
      </c>
      <c r="Y131" s="7">
        <f t="shared" si="78"/>
        <v>263</v>
      </c>
      <c r="Z131" s="7">
        <f t="shared" si="79"/>
        <v>180</v>
      </c>
      <c r="AA131" s="7">
        <f t="shared" si="80"/>
        <v>443</v>
      </c>
      <c r="AB131" s="17">
        <f t="shared" si="81"/>
        <v>0</v>
      </c>
      <c r="AC131" s="17">
        <f t="shared" si="82"/>
        <v>0</v>
      </c>
      <c r="AD131" s="17">
        <f t="shared" si="83"/>
        <v>0</v>
      </c>
    </row>
    <row r="132" spans="1:30" x14ac:dyDescent="0.3">
      <c r="A132" s="9" t="s">
        <v>68</v>
      </c>
      <c r="B132" s="33">
        <v>45960</v>
      </c>
      <c r="C132" s="5">
        <v>50345</v>
      </c>
      <c r="D132" s="6">
        <f t="shared" si="67"/>
        <v>251</v>
      </c>
      <c r="E132" s="5">
        <v>7355</v>
      </c>
      <c r="F132" s="6">
        <f t="shared" si="68"/>
        <v>102</v>
      </c>
      <c r="G132" s="5">
        <v>24314</v>
      </c>
      <c r="H132" s="6">
        <f t="shared" si="69"/>
        <v>95</v>
      </c>
      <c r="I132" s="5">
        <v>9903</v>
      </c>
      <c r="J132" s="6">
        <f t="shared" si="70"/>
        <v>26</v>
      </c>
      <c r="K132" s="5">
        <v>1236</v>
      </c>
      <c r="L132" s="6">
        <f t="shared" si="71"/>
        <v>14</v>
      </c>
      <c r="M132" s="5">
        <v>1490</v>
      </c>
      <c r="N132" s="6">
        <f t="shared" si="72"/>
        <v>15</v>
      </c>
      <c r="O132" s="13">
        <v>25447</v>
      </c>
      <c r="P132" s="6">
        <f t="shared" si="73"/>
        <v>155</v>
      </c>
      <c r="Q132" s="5">
        <v>5498</v>
      </c>
      <c r="R132" s="6">
        <f t="shared" si="74"/>
        <v>43</v>
      </c>
      <c r="S132" s="5">
        <v>9867</v>
      </c>
      <c r="T132" s="6">
        <f t="shared" si="75"/>
        <v>37</v>
      </c>
      <c r="U132" s="5">
        <v>8485</v>
      </c>
      <c r="V132" s="6">
        <f t="shared" si="76"/>
        <v>69</v>
      </c>
      <c r="W132" s="5">
        <v>851</v>
      </c>
      <c r="X132" s="6">
        <f t="shared" si="77"/>
        <v>5</v>
      </c>
      <c r="Y132" s="7">
        <f t="shared" si="78"/>
        <v>252</v>
      </c>
      <c r="Z132" s="7">
        <f t="shared" si="79"/>
        <v>154</v>
      </c>
      <c r="AA132" s="7">
        <f t="shared" si="80"/>
        <v>406</v>
      </c>
      <c r="AB132" s="17">
        <f t="shared" si="81"/>
        <v>-1</v>
      </c>
      <c r="AC132" s="17">
        <f t="shared" si="82"/>
        <v>1</v>
      </c>
      <c r="AD132" s="17">
        <f t="shared" si="83"/>
        <v>0</v>
      </c>
    </row>
    <row r="133" spans="1:30" x14ac:dyDescent="0.3">
      <c r="A133" s="9" t="s">
        <v>69</v>
      </c>
      <c r="B133" s="33">
        <v>45961</v>
      </c>
      <c r="C133" s="5">
        <v>50596</v>
      </c>
      <c r="D133" s="6">
        <f t="shared" si="67"/>
        <v>191</v>
      </c>
      <c r="E133" s="5">
        <v>7457</v>
      </c>
      <c r="F133" s="6">
        <f t="shared" si="68"/>
        <v>54</v>
      </c>
      <c r="G133" s="5">
        <v>24409</v>
      </c>
      <c r="H133" s="6">
        <f t="shared" si="69"/>
        <v>86</v>
      </c>
      <c r="I133" s="5">
        <v>9929</v>
      </c>
      <c r="J133" s="6">
        <f t="shared" si="70"/>
        <v>24</v>
      </c>
      <c r="K133" s="5">
        <v>1250</v>
      </c>
      <c r="L133" s="6">
        <f t="shared" si="71"/>
        <v>14</v>
      </c>
      <c r="M133" s="5">
        <v>1505</v>
      </c>
      <c r="N133" s="6">
        <f t="shared" si="72"/>
        <v>12</v>
      </c>
      <c r="O133" s="13">
        <v>25602</v>
      </c>
      <c r="P133" s="6">
        <f t="shared" si="73"/>
        <v>133</v>
      </c>
      <c r="Q133" s="5">
        <v>5541</v>
      </c>
      <c r="R133" s="6">
        <f t="shared" si="74"/>
        <v>20</v>
      </c>
      <c r="S133" s="5">
        <v>9904</v>
      </c>
      <c r="T133" s="6">
        <f t="shared" si="75"/>
        <v>33</v>
      </c>
      <c r="U133" s="5">
        <v>8554</v>
      </c>
      <c r="V133" s="6">
        <f t="shared" si="76"/>
        <v>72</v>
      </c>
      <c r="W133" s="5">
        <v>856</v>
      </c>
      <c r="X133" s="6">
        <f t="shared" si="77"/>
        <v>6</v>
      </c>
      <c r="Y133" s="7">
        <f t="shared" si="78"/>
        <v>190</v>
      </c>
      <c r="Z133" s="7">
        <f t="shared" si="79"/>
        <v>131</v>
      </c>
      <c r="AA133" s="7">
        <f t="shared" si="80"/>
        <v>321</v>
      </c>
      <c r="AB133" s="17">
        <f t="shared" si="81"/>
        <v>1</v>
      </c>
      <c r="AC133" s="17">
        <f t="shared" si="82"/>
        <v>2</v>
      </c>
      <c r="AD133" s="17">
        <f t="shared" si="83"/>
        <v>3</v>
      </c>
    </row>
    <row r="134" spans="1:30" x14ac:dyDescent="0.3">
      <c r="A134" s="9" t="s">
        <v>70</v>
      </c>
      <c r="B134" s="33">
        <v>45962</v>
      </c>
      <c r="C134" s="5">
        <v>50787</v>
      </c>
      <c r="D134" s="6" t="str">
        <f t="shared" si="67"/>
        <v/>
      </c>
      <c r="E134" s="5">
        <v>7511</v>
      </c>
      <c r="F134" s="6" t="str">
        <f t="shared" si="68"/>
        <v/>
      </c>
      <c r="G134" s="5">
        <v>24495</v>
      </c>
      <c r="H134" s="6" t="str">
        <f t="shared" si="69"/>
        <v/>
      </c>
      <c r="I134" s="5">
        <v>9953</v>
      </c>
      <c r="J134" s="6" t="str">
        <f t="shared" si="70"/>
        <v/>
      </c>
      <c r="K134" s="5">
        <v>1264</v>
      </c>
      <c r="L134" s="6" t="str">
        <f t="shared" si="71"/>
        <v/>
      </c>
      <c r="M134" s="5">
        <v>1517</v>
      </c>
      <c r="N134" s="6" t="str">
        <f t="shared" si="72"/>
        <v/>
      </c>
      <c r="O134" s="13">
        <v>25735</v>
      </c>
      <c r="P134" s="6" t="str">
        <f t="shared" si="73"/>
        <v/>
      </c>
      <c r="Q134" s="5">
        <v>5561</v>
      </c>
      <c r="R134" s="6" t="str">
        <f t="shared" si="74"/>
        <v/>
      </c>
      <c r="S134" s="5">
        <v>9937</v>
      </c>
      <c r="T134" s="6" t="str">
        <f t="shared" si="75"/>
        <v/>
      </c>
      <c r="U134" s="5">
        <v>8626</v>
      </c>
      <c r="V134" s="6" t="str">
        <f t="shared" si="76"/>
        <v/>
      </c>
      <c r="W134" s="5">
        <v>862</v>
      </c>
      <c r="X134" s="6" t="str">
        <f t="shared" si="77"/>
        <v/>
      </c>
      <c r="Y134" s="7">
        <f t="shared" si="78"/>
        <v>0</v>
      </c>
      <c r="Z134" s="7">
        <f t="shared" si="79"/>
        <v>0</v>
      </c>
      <c r="AA134" s="7">
        <f t="shared" si="80"/>
        <v>0</v>
      </c>
      <c r="AB134" s="17" t="e">
        <f t="shared" si="81"/>
        <v>#VALUE!</v>
      </c>
      <c r="AC134" s="17" t="e">
        <f t="shared" si="82"/>
        <v>#VALUE!</v>
      </c>
      <c r="AD134" s="17" t="e">
        <f t="shared" si="83"/>
        <v>#VALUE!</v>
      </c>
    </row>
    <row r="135" spans="1:30" ht="23.4" x14ac:dyDescent="0.3">
      <c r="A135" s="152" t="s">
        <v>73</v>
      </c>
      <c r="B135" s="153"/>
      <c r="C135" s="8"/>
      <c r="D135" s="11">
        <f>SUM(D103:D133)</f>
        <v>8676</v>
      </c>
      <c r="E135" s="8"/>
      <c r="F135" s="11">
        <f>SUM(F103:F133)</f>
        <v>2655</v>
      </c>
      <c r="G135" s="8"/>
      <c r="H135" s="11">
        <f>SUM(H103:H133)</f>
        <v>3983</v>
      </c>
      <c r="I135" s="8"/>
      <c r="J135" s="11">
        <f>SUM(J103:J133)</f>
        <v>1311</v>
      </c>
      <c r="K135" s="8"/>
      <c r="L135" s="11">
        <f>SUM(L103:L133)</f>
        <v>408</v>
      </c>
      <c r="M135" s="8"/>
      <c r="N135" s="14">
        <f>SUM(N103:N133)</f>
        <v>337</v>
      </c>
      <c r="O135" s="15"/>
      <c r="P135" s="11">
        <f>SUM(P103:P133)</f>
        <v>5665</v>
      </c>
      <c r="Q135" s="8"/>
      <c r="R135" s="11">
        <f>SUM(R103:R133)</f>
        <v>1734</v>
      </c>
      <c r="S135" s="8"/>
      <c r="T135" s="11">
        <f>SUM(T103:T133)</f>
        <v>1542</v>
      </c>
      <c r="U135" s="8"/>
      <c r="V135" s="11">
        <f>SUM(V103:V133)</f>
        <v>2107</v>
      </c>
      <c r="W135" s="8"/>
      <c r="X135" s="11">
        <f>SUM(X103:X133)</f>
        <v>228</v>
      </c>
      <c r="Y135" s="7">
        <f>SUM(F135,H135,J135,L135,N135)</f>
        <v>8694</v>
      </c>
      <c r="Z135" s="7">
        <f>SUM(R135,T135,V135,X135)</f>
        <v>5611</v>
      </c>
      <c r="AA135" s="7">
        <f>SUM(F135,H135,J135,L135,N135,R135,T135,V135,X135)</f>
        <v>14305</v>
      </c>
      <c r="AB135" s="17">
        <f>Y135-D135</f>
        <v>18</v>
      </c>
      <c r="AC135" s="17">
        <f>P135-Z135</f>
        <v>54</v>
      </c>
      <c r="AD135" s="17">
        <f>(D135+P135)-AA135</f>
        <v>36</v>
      </c>
    </row>
    <row r="136" spans="1:30" x14ac:dyDescent="0.3">
      <c r="A136" s="9" t="s">
        <v>70</v>
      </c>
      <c r="B136" s="33">
        <v>45962</v>
      </c>
      <c r="C136" s="5">
        <v>50787</v>
      </c>
      <c r="D136" s="6">
        <f>IF(C137&lt;&gt;"",C137-C136,"")</f>
        <v>171</v>
      </c>
      <c r="E136" s="5">
        <v>7511</v>
      </c>
      <c r="F136" s="6">
        <f>IF(E137&lt;&gt;"",E137-E136,"")</f>
        <v>36</v>
      </c>
      <c r="G136" s="5">
        <v>24495</v>
      </c>
      <c r="H136" s="6">
        <f>IF(G137&lt;&gt;"",G137-G136,"")</f>
        <v>85</v>
      </c>
      <c r="I136" s="5">
        <v>9953</v>
      </c>
      <c r="J136" s="6">
        <f>IF(I137&lt;&gt;"",I137-I136,"")</f>
        <v>30</v>
      </c>
      <c r="K136" s="5">
        <v>1264</v>
      </c>
      <c r="L136" s="6">
        <f>IF(K137&lt;&gt;"",K137-K136,"")</f>
        <v>11</v>
      </c>
      <c r="M136" s="5">
        <v>1517</v>
      </c>
      <c r="N136" s="6">
        <f>IF(M137&lt;&gt;"",M137-M136,"")</f>
        <v>11</v>
      </c>
      <c r="O136" s="13">
        <v>25735</v>
      </c>
      <c r="P136" s="6">
        <f>IF(O137&lt;&gt;"",O137-O136,"")</f>
        <v>144</v>
      </c>
      <c r="Q136" s="5">
        <v>5561</v>
      </c>
      <c r="R136" s="6">
        <f>IF(Q137&lt;&gt;"",Q137-Q136,"")</f>
        <v>21</v>
      </c>
      <c r="S136" s="5">
        <v>9937</v>
      </c>
      <c r="T136" s="6">
        <f>IF(S137&lt;&gt;"",S137-S136,"")</f>
        <v>40</v>
      </c>
      <c r="U136" s="5">
        <v>8626</v>
      </c>
      <c r="V136" s="6">
        <f>IF(U137&lt;&gt;"",U137-U136,"")</f>
        <v>74</v>
      </c>
      <c r="W136" s="5">
        <v>862</v>
      </c>
      <c r="X136" s="6">
        <f>IF(W137&lt;&gt;"",W137-W136,"")</f>
        <v>6</v>
      </c>
      <c r="Y136" s="7">
        <f>SUM(F136,H136,J136,L136,N136)</f>
        <v>173</v>
      </c>
      <c r="Z136" s="7">
        <f>SUM(R136,T136,V136,X136)</f>
        <v>141</v>
      </c>
      <c r="AA136" s="7">
        <f>SUM(F136,H136,J136,L136,N136,R136,T136,V136,X136)</f>
        <v>314</v>
      </c>
      <c r="AB136" s="17">
        <f>D136-Y136</f>
        <v>-2</v>
      </c>
      <c r="AC136" s="17">
        <f>P136-Z136</f>
        <v>3</v>
      </c>
      <c r="AD136" s="17">
        <f>(D136+P136)-AA136</f>
        <v>1</v>
      </c>
    </row>
    <row r="137" spans="1:30" x14ac:dyDescent="0.3">
      <c r="A137" s="9" t="s">
        <v>71</v>
      </c>
      <c r="B137" s="33">
        <v>45963</v>
      </c>
      <c r="C137" s="5">
        <v>50958</v>
      </c>
      <c r="D137" s="6">
        <f t="shared" ref="D137:D167" si="84">IF(C138&lt;&gt;"",C138-C137,"")</f>
        <v>20</v>
      </c>
      <c r="E137" s="5">
        <v>7547</v>
      </c>
      <c r="F137" s="6">
        <f t="shared" ref="F137:F167" si="85">IF(E138&lt;&gt;"",E138-E137,"")</f>
        <v>0</v>
      </c>
      <c r="G137" s="5">
        <v>24580</v>
      </c>
      <c r="H137" s="6">
        <f t="shared" ref="H137:H167" si="86">IF(G138&lt;&gt;"",G138-G137,"")</f>
        <v>0</v>
      </c>
      <c r="I137" s="5">
        <v>9983</v>
      </c>
      <c r="J137" s="6">
        <f t="shared" ref="J137:J167" si="87">IF(I138&lt;&gt;"",I138-I137,"")</f>
        <v>17</v>
      </c>
      <c r="K137" s="5">
        <v>1275</v>
      </c>
      <c r="L137" s="6">
        <f t="shared" ref="L137:L167" si="88">IF(K138&lt;&gt;"",K138-K137,"")</f>
        <v>0</v>
      </c>
      <c r="M137" s="5">
        <v>1528</v>
      </c>
      <c r="N137" s="6">
        <f t="shared" ref="N137:N167" si="89">IF(M138&lt;&gt;"",M138-M137,"")</f>
        <v>2</v>
      </c>
      <c r="O137" s="13">
        <v>25879</v>
      </c>
      <c r="P137" s="6">
        <f t="shared" ref="P137:P167" si="90">IF(O138&lt;&gt;"",O138-O137,"")</f>
        <v>27</v>
      </c>
      <c r="Q137" s="5">
        <v>5582</v>
      </c>
      <c r="R137" s="6">
        <f t="shared" ref="R137:R167" si="91">IF(Q138&lt;&gt;"",Q138-Q137,"")</f>
        <v>0</v>
      </c>
      <c r="S137" s="5">
        <v>9977</v>
      </c>
      <c r="T137" s="6">
        <f t="shared" ref="T137:T167" si="92">IF(S138&lt;&gt;"",S138-S137,"")</f>
        <v>21</v>
      </c>
      <c r="U137" s="5">
        <v>8700</v>
      </c>
      <c r="V137" s="6">
        <f t="shared" ref="V137:V167" si="93">IF(U138&lt;&gt;"",U138-U137,"")</f>
        <v>1</v>
      </c>
      <c r="W137" s="5">
        <v>868</v>
      </c>
      <c r="X137" s="6">
        <f t="shared" ref="X137:X167" si="94">IF(W138&lt;&gt;"",W138-W137,"")</f>
        <v>4</v>
      </c>
      <c r="Y137" s="7">
        <f t="shared" ref="Y137:Y167" si="95">SUM(F137,H137,J137,L137,N137)</f>
        <v>19</v>
      </c>
      <c r="Z137" s="7">
        <f t="shared" ref="Z137:Z167" si="96">SUM(R137,T137,V137,X137)</f>
        <v>26</v>
      </c>
      <c r="AA137" s="7">
        <f t="shared" ref="AA137:AA167" si="97">SUM(F137,H137,J137,L137,N137,R137,T137,V137,X137)</f>
        <v>45</v>
      </c>
      <c r="AB137" s="17">
        <f t="shared" ref="AB137:AB167" si="98">D137-Y137</f>
        <v>1</v>
      </c>
      <c r="AC137" s="17">
        <f t="shared" ref="AC137:AC167" si="99">P137-Z137</f>
        <v>1</v>
      </c>
      <c r="AD137" s="17">
        <f t="shared" ref="AD137:AD167" si="100">(D137+P137)-AA137</f>
        <v>2</v>
      </c>
    </row>
    <row r="138" spans="1:30" x14ac:dyDescent="0.3">
      <c r="A138" s="9" t="s">
        <v>72</v>
      </c>
      <c r="B138" s="33">
        <v>45964</v>
      </c>
      <c r="C138" s="5">
        <v>50978</v>
      </c>
      <c r="D138" s="6">
        <f t="shared" si="84"/>
        <v>188</v>
      </c>
      <c r="E138" s="5">
        <v>7547</v>
      </c>
      <c r="F138" s="6">
        <f t="shared" si="85"/>
        <v>55</v>
      </c>
      <c r="G138" s="5">
        <v>24580</v>
      </c>
      <c r="H138" s="6">
        <f t="shared" si="86"/>
        <v>74</v>
      </c>
      <c r="I138" s="5">
        <v>10000</v>
      </c>
      <c r="J138" s="6">
        <f t="shared" si="87"/>
        <v>33</v>
      </c>
      <c r="K138" s="5">
        <v>1275</v>
      </c>
      <c r="L138" s="6">
        <f t="shared" si="88"/>
        <v>13</v>
      </c>
      <c r="M138" s="5">
        <v>1530</v>
      </c>
      <c r="N138" s="6">
        <f t="shared" si="89"/>
        <v>13</v>
      </c>
      <c r="O138" s="13">
        <v>25906</v>
      </c>
      <c r="P138" s="6">
        <f t="shared" si="90"/>
        <v>161</v>
      </c>
      <c r="Q138" s="5">
        <v>5582</v>
      </c>
      <c r="R138" s="6">
        <f t="shared" si="91"/>
        <v>25</v>
      </c>
      <c r="S138" s="5">
        <v>9998</v>
      </c>
      <c r="T138" s="6">
        <f t="shared" si="92"/>
        <v>41</v>
      </c>
      <c r="U138" s="5">
        <v>8701</v>
      </c>
      <c r="V138" s="6">
        <f t="shared" si="93"/>
        <v>88</v>
      </c>
      <c r="W138" s="5">
        <v>872</v>
      </c>
      <c r="X138" s="6">
        <f t="shared" si="94"/>
        <v>6</v>
      </c>
      <c r="Y138" s="7">
        <f t="shared" si="95"/>
        <v>188</v>
      </c>
      <c r="Z138" s="7">
        <f t="shared" si="96"/>
        <v>160</v>
      </c>
      <c r="AA138" s="7">
        <f t="shared" si="97"/>
        <v>348</v>
      </c>
      <c r="AB138" s="17">
        <f t="shared" si="98"/>
        <v>0</v>
      </c>
      <c r="AC138" s="17">
        <f t="shared" si="99"/>
        <v>1</v>
      </c>
      <c r="AD138" s="17">
        <f t="shared" si="100"/>
        <v>1</v>
      </c>
    </row>
    <row r="139" spans="1:30" x14ac:dyDescent="0.3">
      <c r="A139" s="9" t="s">
        <v>66</v>
      </c>
      <c r="B139" s="33">
        <v>45965</v>
      </c>
      <c r="C139" s="5">
        <v>51166</v>
      </c>
      <c r="D139" s="6">
        <f t="shared" si="84"/>
        <v>178</v>
      </c>
      <c r="E139" s="5">
        <v>7602</v>
      </c>
      <c r="F139" s="6">
        <f t="shared" si="85"/>
        <v>72</v>
      </c>
      <c r="G139" s="5">
        <v>24654</v>
      </c>
      <c r="H139" s="6">
        <f t="shared" si="86"/>
        <v>63</v>
      </c>
      <c r="I139" s="5">
        <v>10033</v>
      </c>
      <c r="J139" s="6">
        <f t="shared" si="87"/>
        <v>15</v>
      </c>
      <c r="K139" s="5">
        <v>1288</v>
      </c>
      <c r="L139" s="6">
        <f t="shared" si="88"/>
        <v>14</v>
      </c>
      <c r="M139" s="5">
        <v>1543</v>
      </c>
      <c r="N139" s="6">
        <f t="shared" si="89"/>
        <v>13</v>
      </c>
      <c r="O139" s="13">
        <v>26067</v>
      </c>
      <c r="P139" s="6">
        <f t="shared" si="90"/>
        <v>142</v>
      </c>
      <c r="Q139" s="5">
        <v>5607</v>
      </c>
      <c r="R139" s="6">
        <f t="shared" si="91"/>
        <v>29</v>
      </c>
      <c r="S139" s="5">
        <v>10039</v>
      </c>
      <c r="T139" s="6">
        <f t="shared" si="92"/>
        <v>21</v>
      </c>
      <c r="U139" s="5">
        <v>8789</v>
      </c>
      <c r="V139" s="6">
        <f t="shared" si="93"/>
        <v>85</v>
      </c>
      <c r="W139" s="5">
        <v>878</v>
      </c>
      <c r="X139" s="6">
        <f t="shared" si="94"/>
        <v>5</v>
      </c>
      <c r="Y139" s="7">
        <f t="shared" si="95"/>
        <v>177</v>
      </c>
      <c r="Z139" s="7">
        <f t="shared" si="96"/>
        <v>140</v>
      </c>
      <c r="AA139" s="7">
        <f t="shared" si="97"/>
        <v>317</v>
      </c>
      <c r="AB139" s="17">
        <f t="shared" si="98"/>
        <v>1</v>
      </c>
      <c r="AC139" s="17">
        <f t="shared" si="99"/>
        <v>2</v>
      </c>
      <c r="AD139" s="17">
        <f t="shared" si="100"/>
        <v>3</v>
      </c>
    </row>
    <row r="140" spans="1:30" x14ac:dyDescent="0.3">
      <c r="A140" s="9" t="s">
        <v>67</v>
      </c>
      <c r="B140" s="33">
        <v>45966</v>
      </c>
      <c r="C140" s="5">
        <v>51344</v>
      </c>
      <c r="D140" s="6">
        <f t="shared" si="84"/>
        <v>191</v>
      </c>
      <c r="E140" s="5">
        <v>7674</v>
      </c>
      <c r="F140" s="6">
        <f t="shared" si="85"/>
        <v>74</v>
      </c>
      <c r="G140" s="5">
        <v>24717</v>
      </c>
      <c r="H140" s="6">
        <f t="shared" si="86"/>
        <v>72</v>
      </c>
      <c r="I140" s="5">
        <v>10048</v>
      </c>
      <c r="J140" s="6">
        <f t="shared" si="87"/>
        <v>19</v>
      </c>
      <c r="K140" s="5">
        <v>1302</v>
      </c>
      <c r="L140" s="6">
        <f t="shared" si="88"/>
        <v>13</v>
      </c>
      <c r="M140" s="5">
        <v>1556</v>
      </c>
      <c r="N140" s="6">
        <f t="shared" si="89"/>
        <v>12</v>
      </c>
      <c r="O140" s="13">
        <v>26209</v>
      </c>
      <c r="P140" s="6">
        <f t="shared" si="90"/>
        <v>147</v>
      </c>
      <c r="Q140" s="5">
        <v>5636</v>
      </c>
      <c r="R140" s="6">
        <f t="shared" si="91"/>
        <v>34</v>
      </c>
      <c r="S140" s="5">
        <v>10060</v>
      </c>
      <c r="T140" s="6">
        <f t="shared" si="92"/>
        <v>19</v>
      </c>
      <c r="U140" s="5">
        <v>8874</v>
      </c>
      <c r="V140" s="6">
        <f t="shared" si="93"/>
        <v>86</v>
      </c>
      <c r="W140" s="5">
        <v>883</v>
      </c>
      <c r="X140" s="6">
        <f t="shared" si="94"/>
        <v>6</v>
      </c>
      <c r="Y140" s="7">
        <f t="shared" si="95"/>
        <v>190</v>
      </c>
      <c r="Z140" s="7">
        <f t="shared" si="96"/>
        <v>145</v>
      </c>
      <c r="AA140" s="7">
        <f t="shared" si="97"/>
        <v>335</v>
      </c>
      <c r="AB140" s="17">
        <f t="shared" si="98"/>
        <v>1</v>
      </c>
      <c r="AC140" s="17">
        <f t="shared" si="99"/>
        <v>2</v>
      </c>
      <c r="AD140" s="17">
        <f t="shared" si="100"/>
        <v>3</v>
      </c>
    </row>
    <row r="141" spans="1:30" x14ac:dyDescent="0.3">
      <c r="A141" s="9" t="s">
        <v>68</v>
      </c>
      <c r="B141" s="33">
        <v>45967</v>
      </c>
      <c r="C141" s="5">
        <v>51535</v>
      </c>
      <c r="D141" s="6">
        <f t="shared" si="84"/>
        <v>200</v>
      </c>
      <c r="E141" s="5">
        <v>7748</v>
      </c>
      <c r="F141" s="6">
        <f t="shared" si="85"/>
        <v>91</v>
      </c>
      <c r="G141" s="5">
        <v>24789</v>
      </c>
      <c r="H141" s="6">
        <f t="shared" si="86"/>
        <v>72</v>
      </c>
      <c r="I141" s="5">
        <v>10067</v>
      </c>
      <c r="J141" s="6">
        <f t="shared" si="87"/>
        <v>10</v>
      </c>
      <c r="K141" s="5">
        <v>1315</v>
      </c>
      <c r="L141" s="6">
        <f t="shared" si="88"/>
        <v>13</v>
      </c>
      <c r="M141" s="5">
        <v>1568</v>
      </c>
      <c r="N141" s="6">
        <f t="shared" si="89"/>
        <v>14</v>
      </c>
      <c r="O141" s="13">
        <v>26356</v>
      </c>
      <c r="P141" s="6">
        <f t="shared" si="90"/>
        <v>160</v>
      </c>
      <c r="Q141" s="5">
        <v>5670</v>
      </c>
      <c r="R141" s="6">
        <f t="shared" si="91"/>
        <v>35</v>
      </c>
      <c r="S141" s="5">
        <v>10079</v>
      </c>
      <c r="T141" s="6">
        <f t="shared" si="92"/>
        <v>18</v>
      </c>
      <c r="U141" s="5">
        <v>8960</v>
      </c>
      <c r="V141" s="6">
        <f t="shared" si="93"/>
        <v>99</v>
      </c>
      <c r="W141" s="5">
        <v>889</v>
      </c>
      <c r="X141" s="6">
        <f t="shared" si="94"/>
        <v>7</v>
      </c>
      <c r="Y141" s="7">
        <f t="shared" si="95"/>
        <v>200</v>
      </c>
      <c r="Z141" s="7">
        <f t="shared" si="96"/>
        <v>159</v>
      </c>
      <c r="AA141" s="7">
        <f t="shared" si="97"/>
        <v>359</v>
      </c>
      <c r="AB141" s="17">
        <f t="shared" si="98"/>
        <v>0</v>
      </c>
      <c r="AC141" s="17">
        <f t="shared" si="99"/>
        <v>1</v>
      </c>
      <c r="AD141" s="17">
        <f t="shared" si="100"/>
        <v>1</v>
      </c>
    </row>
    <row r="142" spans="1:30" x14ac:dyDescent="0.3">
      <c r="A142" s="9" t="s">
        <v>69</v>
      </c>
      <c r="B142" s="33">
        <v>45968</v>
      </c>
      <c r="C142" s="5">
        <v>51735</v>
      </c>
      <c r="D142" s="6">
        <f t="shared" si="84"/>
        <v>144</v>
      </c>
      <c r="E142" s="5">
        <v>7839</v>
      </c>
      <c r="F142" s="6">
        <f t="shared" si="85"/>
        <v>63</v>
      </c>
      <c r="G142" s="5">
        <v>24861</v>
      </c>
      <c r="H142" s="6">
        <f t="shared" si="86"/>
        <v>40</v>
      </c>
      <c r="I142" s="5">
        <v>10077</v>
      </c>
      <c r="J142" s="6">
        <f t="shared" si="87"/>
        <v>9</v>
      </c>
      <c r="K142" s="5">
        <v>1328</v>
      </c>
      <c r="L142" s="6">
        <f t="shared" si="88"/>
        <v>17</v>
      </c>
      <c r="M142" s="5">
        <v>1582</v>
      </c>
      <c r="N142" s="6">
        <f t="shared" si="89"/>
        <v>14</v>
      </c>
      <c r="O142" s="13">
        <v>26516</v>
      </c>
      <c r="P142" s="6">
        <f t="shared" si="90"/>
        <v>136</v>
      </c>
      <c r="Q142" s="5">
        <v>5705</v>
      </c>
      <c r="R142" s="6">
        <f t="shared" si="91"/>
        <v>25</v>
      </c>
      <c r="S142" s="5">
        <v>10097</v>
      </c>
      <c r="T142" s="6">
        <f t="shared" si="92"/>
        <v>16</v>
      </c>
      <c r="U142" s="5">
        <v>9059</v>
      </c>
      <c r="V142" s="6">
        <f t="shared" si="93"/>
        <v>87</v>
      </c>
      <c r="W142" s="5">
        <v>896</v>
      </c>
      <c r="X142" s="6">
        <f t="shared" si="94"/>
        <v>6</v>
      </c>
      <c r="Y142" s="7">
        <f t="shared" si="95"/>
        <v>143</v>
      </c>
      <c r="Z142" s="7">
        <f t="shared" si="96"/>
        <v>134</v>
      </c>
      <c r="AA142" s="7">
        <f t="shared" si="97"/>
        <v>277</v>
      </c>
      <c r="AB142" s="17">
        <f t="shared" si="98"/>
        <v>1</v>
      </c>
      <c r="AC142" s="17">
        <f t="shared" si="99"/>
        <v>2</v>
      </c>
      <c r="AD142" s="17">
        <f t="shared" si="100"/>
        <v>3</v>
      </c>
    </row>
    <row r="143" spans="1:30" x14ac:dyDescent="0.3">
      <c r="A143" s="9" t="s">
        <v>70</v>
      </c>
      <c r="B143" s="33">
        <v>45969</v>
      </c>
      <c r="C143" s="5">
        <v>51879</v>
      </c>
      <c r="D143" s="6">
        <f t="shared" si="84"/>
        <v>121</v>
      </c>
      <c r="E143" s="5">
        <v>7902</v>
      </c>
      <c r="F143" s="6">
        <f t="shared" si="85"/>
        <v>35</v>
      </c>
      <c r="G143" s="5">
        <v>24901</v>
      </c>
      <c r="H143" s="6">
        <f t="shared" si="86"/>
        <v>46</v>
      </c>
      <c r="I143" s="5">
        <v>10086</v>
      </c>
      <c r="J143" s="6">
        <f t="shared" si="87"/>
        <v>12</v>
      </c>
      <c r="K143" s="5">
        <v>1345</v>
      </c>
      <c r="L143" s="6">
        <f t="shared" si="88"/>
        <v>17</v>
      </c>
      <c r="M143" s="5">
        <v>1596</v>
      </c>
      <c r="N143" s="6">
        <f t="shared" si="89"/>
        <v>10</v>
      </c>
      <c r="O143" s="13">
        <v>26652</v>
      </c>
      <c r="P143" s="6">
        <f t="shared" si="90"/>
        <v>134</v>
      </c>
      <c r="Q143" s="5">
        <v>5730</v>
      </c>
      <c r="R143" s="6">
        <f t="shared" si="91"/>
        <v>26</v>
      </c>
      <c r="S143" s="5">
        <v>10113</v>
      </c>
      <c r="T143" s="6">
        <f t="shared" si="92"/>
        <v>13</v>
      </c>
      <c r="U143" s="5">
        <v>9146</v>
      </c>
      <c r="V143" s="6">
        <f t="shared" si="93"/>
        <v>87</v>
      </c>
      <c r="W143" s="5">
        <v>902</v>
      </c>
      <c r="X143" s="6">
        <f t="shared" si="94"/>
        <v>7</v>
      </c>
      <c r="Y143" s="7">
        <f t="shared" si="95"/>
        <v>120</v>
      </c>
      <c r="Z143" s="7">
        <f t="shared" si="96"/>
        <v>133</v>
      </c>
      <c r="AA143" s="7">
        <f t="shared" si="97"/>
        <v>253</v>
      </c>
      <c r="AB143" s="17">
        <f t="shared" si="98"/>
        <v>1</v>
      </c>
      <c r="AC143" s="17">
        <f t="shared" si="99"/>
        <v>1</v>
      </c>
      <c r="AD143" s="17">
        <f t="shared" si="100"/>
        <v>2</v>
      </c>
    </row>
    <row r="144" spans="1:30" x14ac:dyDescent="0.3">
      <c r="A144" s="9" t="s">
        <v>71</v>
      </c>
      <c r="B144" s="33">
        <v>45970</v>
      </c>
      <c r="C144" s="5">
        <v>52000</v>
      </c>
      <c r="D144" s="6">
        <f t="shared" si="84"/>
        <v>11</v>
      </c>
      <c r="E144" s="5">
        <v>7937</v>
      </c>
      <c r="F144" s="6">
        <f t="shared" si="85"/>
        <v>0</v>
      </c>
      <c r="G144" s="5">
        <v>24947</v>
      </c>
      <c r="H144" s="6">
        <f t="shared" si="86"/>
        <v>0</v>
      </c>
      <c r="I144" s="5">
        <v>10098</v>
      </c>
      <c r="J144" s="6">
        <f t="shared" si="87"/>
        <v>5</v>
      </c>
      <c r="K144" s="5">
        <v>1362</v>
      </c>
      <c r="L144" s="6">
        <f t="shared" si="88"/>
        <v>4</v>
      </c>
      <c r="M144" s="5">
        <v>1606</v>
      </c>
      <c r="N144" s="6">
        <f t="shared" si="89"/>
        <v>2</v>
      </c>
      <c r="O144" s="13">
        <v>26786</v>
      </c>
      <c r="P144" s="6">
        <f t="shared" si="90"/>
        <v>5</v>
      </c>
      <c r="Q144" s="5">
        <v>5756</v>
      </c>
      <c r="R144" s="6">
        <f t="shared" si="91"/>
        <v>0</v>
      </c>
      <c r="S144" s="5">
        <v>10126</v>
      </c>
      <c r="T144" s="6">
        <f t="shared" si="92"/>
        <v>0</v>
      </c>
      <c r="U144" s="5">
        <v>9233</v>
      </c>
      <c r="V144" s="6">
        <f t="shared" si="93"/>
        <v>0</v>
      </c>
      <c r="W144" s="5">
        <v>909</v>
      </c>
      <c r="X144" s="6">
        <f t="shared" si="94"/>
        <v>3</v>
      </c>
      <c r="Y144" s="7">
        <f t="shared" si="95"/>
        <v>11</v>
      </c>
      <c r="Z144" s="7">
        <f t="shared" si="96"/>
        <v>3</v>
      </c>
      <c r="AA144" s="7">
        <f t="shared" si="97"/>
        <v>14</v>
      </c>
      <c r="AB144" s="17">
        <f t="shared" si="98"/>
        <v>0</v>
      </c>
      <c r="AC144" s="17">
        <f t="shared" si="99"/>
        <v>2</v>
      </c>
      <c r="AD144" s="17">
        <f t="shared" si="100"/>
        <v>2</v>
      </c>
    </row>
    <row r="145" spans="1:30" x14ac:dyDescent="0.3">
      <c r="A145" s="9" t="s">
        <v>72</v>
      </c>
      <c r="B145" s="33">
        <v>45971</v>
      </c>
      <c r="C145" s="5">
        <v>52011</v>
      </c>
      <c r="D145" s="6">
        <f t="shared" si="84"/>
        <v>107</v>
      </c>
      <c r="E145" s="5">
        <v>7937</v>
      </c>
      <c r="F145" s="6">
        <f t="shared" si="85"/>
        <v>36</v>
      </c>
      <c r="G145" s="5">
        <v>24947</v>
      </c>
      <c r="H145" s="6">
        <f t="shared" si="86"/>
        <v>41</v>
      </c>
      <c r="I145" s="5">
        <v>10103</v>
      </c>
      <c r="J145" s="6">
        <f t="shared" si="87"/>
        <v>5</v>
      </c>
      <c r="K145" s="5">
        <v>1366</v>
      </c>
      <c r="L145" s="6">
        <f t="shared" si="88"/>
        <v>13</v>
      </c>
      <c r="M145" s="5">
        <v>1608</v>
      </c>
      <c r="N145" s="6">
        <f t="shared" si="89"/>
        <v>13</v>
      </c>
      <c r="O145" s="13">
        <v>26791</v>
      </c>
      <c r="P145" s="6">
        <f t="shared" si="90"/>
        <v>147</v>
      </c>
      <c r="Q145" s="5">
        <v>5756</v>
      </c>
      <c r="R145" s="6">
        <f t="shared" si="91"/>
        <v>33</v>
      </c>
      <c r="S145" s="5">
        <v>10126</v>
      </c>
      <c r="T145" s="6">
        <f t="shared" si="92"/>
        <v>14</v>
      </c>
      <c r="U145" s="5">
        <v>9233</v>
      </c>
      <c r="V145" s="6">
        <f t="shared" si="93"/>
        <v>91</v>
      </c>
      <c r="W145" s="5">
        <v>912</v>
      </c>
      <c r="X145" s="6">
        <f t="shared" si="94"/>
        <v>8</v>
      </c>
      <c r="Y145" s="7">
        <f t="shared" si="95"/>
        <v>108</v>
      </c>
      <c r="Z145" s="7">
        <f t="shared" si="96"/>
        <v>146</v>
      </c>
      <c r="AA145" s="7">
        <f t="shared" si="97"/>
        <v>254</v>
      </c>
      <c r="AB145" s="17">
        <f t="shared" si="98"/>
        <v>-1</v>
      </c>
      <c r="AC145" s="17">
        <f t="shared" si="99"/>
        <v>1</v>
      </c>
      <c r="AD145" s="17">
        <f t="shared" si="100"/>
        <v>0</v>
      </c>
    </row>
    <row r="146" spans="1:30" x14ac:dyDescent="0.3">
      <c r="A146" s="9" t="s">
        <v>66</v>
      </c>
      <c r="B146" s="33">
        <v>45972</v>
      </c>
      <c r="C146" s="5">
        <v>52118</v>
      </c>
      <c r="D146" s="6">
        <f t="shared" si="84"/>
        <v>107</v>
      </c>
      <c r="E146" s="5">
        <v>7973</v>
      </c>
      <c r="F146" s="6">
        <f t="shared" si="85"/>
        <v>35</v>
      </c>
      <c r="G146" s="5">
        <v>24988</v>
      </c>
      <c r="H146" s="6">
        <f t="shared" si="86"/>
        <v>43</v>
      </c>
      <c r="I146" s="5">
        <v>10108</v>
      </c>
      <c r="J146" s="6">
        <f t="shared" si="87"/>
        <v>2</v>
      </c>
      <c r="K146" s="5">
        <v>1379</v>
      </c>
      <c r="L146" s="6">
        <f t="shared" si="88"/>
        <v>12</v>
      </c>
      <c r="M146" s="5">
        <v>1621</v>
      </c>
      <c r="N146" s="6">
        <f t="shared" si="89"/>
        <v>14</v>
      </c>
      <c r="O146" s="13">
        <v>26938</v>
      </c>
      <c r="P146" s="6">
        <f t="shared" si="90"/>
        <v>130</v>
      </c>
      <c r="Q146" s="5">
        <v>5789</v>
      </c>
      <c r="R146" s="6">
        <f t="shared" si="91"/>
        <v>28</v>
      </c>
      <c r="S146" s="5">
        <v>10140</v>
      </c>
      <c r="T146" s="6">
        <f t="shared" si="92"/>
        <v>12</v>
      </c>
      <c r="U146" s="5">
        <v>9324</v>
      </c>
      <c r="V146" s="6">
        <f t="shared" si="93"/>
        <v>81</v>
      </c>
      <c r="W146" s="5">
        <v>920</v>
      </c>
      <c r="X146" s="6">
        <f t="shared" si="94"/>
        <v>8</v>
      </c>
      <c r="Y146" s="7">
        <f t="shared" si="95"/>
        <v>106</v>
      </c>
      <c r="Z146" s="7">
        <f t="shared" si="96"/>
        <v>129</v>
      </c>
      <c r="AA146" s="7">
        <f t="shared" si="97"/>
        <v>235</v>
      </c>
      <c r="AB146" s="17">
        <f t="shared" si="98"/>
        <v>1</v>
      </c>
      <c r="AC146" s="17">
        <f t="shared" si="99"/>
        <v>1</v>
      </c>
      <c r="AD146" s="17">
        <f t="shared" si="100"/>
        <v>2</v>
      </c>
    </row>
    <row r="147" spans="1:30" x14ac:dyDescent="0.3">
      <c r="A147" s="9" t="s">
        <v>67</v>
      </c>
      <c r="B147" s="33">
        <v>45973</v>
      </c>
      <c r="C147" s="5">
        <v>52225</v>
      </c>
      <c r="D147" s="6">
        <f t="shared" si="84"/>
        <v>101</v>
      </c>
      <c r="E147" s="5">
        <v>8008</v>
      </c>
      <c r="F147" s="6">
        <f t="shared" si="85"/>
        <v>38</v>
      </c>
      <c r="G147" s="5">
        <v>25031</v>
      </c>
      <c r="H147" s="6">
        <f t="shared" si="86"/>
        <v>29</v>
      </c>
      <c r="I147" s="5">
        <v>10110</v>
      </c>
      <c r="J147" s="6">
        <f t="shared" si="87"/>
        <v>3</v>
      </c>
      <c r="K147" s="5">
        <v>1391</v>
      </c>
      <c r="L147" s="6">
        <f t="shared" si="88"/>
        <v>13</v>
      </c>
      <c r="M147" s="5">
        <v>1635</v>
      </c>
      <c r="N147" s="6">
        <f t="shared" si="89"/>
        <v>18</v>
      </c>
      <c r="O147" s="13">
        <v>27068</v>
      </c>
      <c r="P147" s="6">
        <f t="shared" si="90"/>
        <v>136</v>
      </c>
      <c r="Q147" s="5">
        <v>5817</v>
      </c>
      <c r="R147" s="6">
        <f t="shared" si="91"/>
        <v>33</v>
      </c>
      <c r="S147" s="5">
        <v>10152</v>
      </c>
      <c r="T147" s="6">
        <f t="shared" si="92"/>
        <v>12</v>
      </c>
      <c r="U147" s="5">
        <v>9405</v>
      </c>
      <c r="V147" s="6">
        <f t="shared" si="93"/>
        <v>79</v>
      </c>
      <c r="W147" s="5">
        <v>928</v>
      </c>
      <c r="X147" s="6">
        <f t="shared" si="94"/>
        <v>8</v>
      </c>
      <c r="Y147" s="7">
        <f t="shared" si="95"/>
        <v>101</v>
      </c>
      <c r="Z147" s="7">
        <f t="shared" si="96"/>
        <v>132</v>
      </c>
      <c r="AA147" s="7">
        <f t="shared" si="97"/>
        <v>233</v>
      </c>
      <c r="AB147" s="17">
        <f t="shared" si="98"/>
        <v>0</v>
      </c>
      <c r="AC147" s="17">
        <f t="shared" si="99"/>
        <v>4</v>
      </c>
      <c r="AD147" s="17">
        <f t="shared" si="100"/>
        <v>4</v>
      </c>
    </row>
    <row r="148" spans="1:30" x14ac:dyDescent="0.3">
      <c r="A148" s="9" t="s">
        <v>68</v>
      </c>
      <c r="B148" s="33">
        <v>45974</v>
      </c>
      <c r="C148" s="5">
        <v>52326</v>
      </c>
      <c r="D148" s="6">
        <f t="shared" si="84"/>
        <v>95</v>
      </c>
      <c r="E148" s="5">
        <v>8046</v>
      </c>
      <c r="F148" s="6">
        <f t="shared" si="85"/>
        <v>39</v>
      </c>
      <c r="G148" s="5">
        <v>25060</v>
      </c>
      <c r="H148" s="6">
        <f t="shared" si="86"/>
        <v>26</v>
      </c>
      <c r="I148" s="5">
        <v>10113</v>
      </c>
      <c r="J148" s="6">
        <f t="shared" si="87"/>
        <v>5</v>
      </c>
      <c r="K148" s="5">
        <v>1404</v>
      </c>
      <c r="L148" s="6">
        <f t="shared" si="88"/>
        <v>12</v>
      </c>
      <c r="M148" s="5">
        <v>1653</v>
      </c>
      <c r="N148" s="6">
        <f t="shared" si="89"/>
        <v>13</v>
      </c>
      <c r="O148" s="13">
        <v>27204</v>
      </c>
      <c r="P148" s="6">
        <f t="shared" si="90"/>
        <v>121</v>
      </c>
      <c r="Q148" s="5">
        <v>5850</v>
      </c>
      <c r="R148" s="6">
        <f t="shared" si="91"/>
        <v>31</v>
      </c>
      <c r="S148" s="5">
        <v>10164</v>
      </c>
      <c r="T148" s="6">
        <f t="shared" si="92"/>
        <v>11</v>
      </c>
      <c r="U148" s="5">
        <v>9484</v>
      </c>
      <c r="V148" s="6">
        <f t="shared" si="93"/>
        <v>71</v>
      </c>
      <c r="W148" s="5">
        <v>936</v>
      </c>
      <c r="X148" s="6">
        <f t="shared" si="94"/>
        <v>6</v>
      </c>
      <c r="Y148" s="7">
        <f t="shared" si="95"/>
        <v>95</v>
      </c>
      <c r="Z148" s="7">
        <f t="shared" si="96"/>
        <v>119</v>
      </c>
      <c r="AA148" s="7">
        <f t="shared" si="97"/>
        <v>214</v>
      </c>
      <c r="AB148" s="17">
        <f t="shared" si="98"/>
        <v>0</v>
      </c>
      <c r="AC148" s="17">
        <f t="shared" si="99"/>
        <v>2</v>
      </c>
      <c r="AD148" s="17">
        <f t="shared" si="100"/>
        <v>2</v>
      </c>
    </row>
    <row r="149" spans="1:30" x14ac:dyDescent="0.3">
      <c r="A149" s="9" t="s">
        <v>69</v>
      </c>
      <c r="B149" s="33">
        <v>45975</v>
      </c>
      <c r="C149" s="5">
        <v>52421</v>
      </c>
      <c r="D149" s="6">
        <f t="shared" si="84"/>
        <v>83</v>
      </c>
      <c r="E149" s="5">
        <v>8085</v>
      </c>
      <c r="F149" s="6">
        <f t="shared" si="85"/>
        <v>42</v>
      </c>
      <c r="G149" s="5">
        <v>25086</v>
      </c>
      <c r="H149" s="6">
        <f t="shared" si="86"/>
        <v>15</v>
      </c>
      <c r="I149" s="5">
        <v>10118</v>
      </c>
      <c r="J149" s="6">
        <f t="shared" si="87"/>
        <v>4</v>
      </c>
      <c r="K149" s="5">
        <v>1416</v>
      </c>
      <c r="L149" s="6">
        <f t="shared" si="88"/>
        <v>12</v>
      </c>
      <c r="M149" s="5">
        <v>1666</v>
      </c>
      <c r="N149" s="6">
        <f t="shared" si="89"/>
        <v>9</v>
      </c>
      <c r="O149" s="13">
        <v>27325</v>
      </c>
      <c r="P149" s="6">
        <f t="shared" si="90"/>
        <v>139</v>
      </c>
      <c r="Q149" s="5">
        <v>5881</v>
      </c>
      <c r="R149" s="6">
        <f t="shared" si="91"/>
        <v>33</v>
      </c>
      <c r="S149" s="5">
        <v>10175</v>
      </c>
      <c r="T149" s="6">
        <f t="shared" si="92"/>
        <v>26</v>
      </c>
      <c r="U149" s="5">
        <v>9555</v>
      </c>
      <c r="V149" s="6">
        <f t="shared" si="93"/>
        <v>73</v>
      </c>
      <c r="W149" s="5">
        <v>942</v>
      </c>
      <c r="X149" s="6">
        <f t="shared" si="94"/>
        <v>6</v>
      </c>
      <c r="Y149" s="7">
        <f t="shared" si="95"/>
        <v>82</v>
      </c>
      <c r="Z149" s="7">
        <f t="shared" si="96"/>
        <v>138</v>
      </c>
      <c r="AA149" s="7">
        <f t="shared" si="97"/>
        <v>220</v>
      </c>
      <c r="AB149" s="17">
        <f t="shared" si="98"/>
        <v>1</v>
      </c>
      <c r="AC149" s="17">
        <f t="shared" si="99"/>
        <v>1</v>
      </c>
      <c r="AD149" s="17">
        <f t="shared" si="100"/>
        <v>2</v>
      </c>
    </row>
    <row r="150" spans="1:30" x14ac:dyDescent="0.3">
      <c r="A150" s="9" t="s">
        <v>70</v>
      </c>
      <c r="B150" s="33">
        <v>45976</v>
      </c>
      <c r="C150" s="5">
        <v>52504</v>
      </c>
      <c r="D150" s="6">
        <f t="shared" si="84"/>
        <v>110</v>
      </c>
      <c r="E150" s="5">
        <v>8127</v>
      </c>
      <c r="F150" s="6">
        <f t="shared" si="85"/>
        <v>49</v>
      </c>
      <c r="G150" s="5">
        <v>25101</v>
      </c>
      <c r="H150" s="6">
        <f t="shared" si="86"/>
        <v>40</v>
      </c>
      <c r="I150" s="5">
        <v>10122</v>
      </c>
      <c r="J150" s="6">
        <f t="shared" si="87"/>
        <v>2</v>
      </c>
      <c r="K150" s="5">
        <v>1428</v>
      </c>
      <c r="L150" s="6">
        <f t="shared" si="88"/>
        <v>11</v>
      </c>
      <c r="M150" s="5">
        <v>1675</v>
      </c>
      <c r="N150" s="6">
        <f t="shared" si="89"/>
        <v>7</v>
      </c>
      <c r="O150" s="13">
        <v>27464</v>
      </c>
      <c r="P150" s="6">
        <f t="shared" si="90"/>
        <v>127</v>
      </c>
      <c r="Q150" s="5">
        <v>5914</v>
      </c>
      <c r="R150" s="6">
        <f t="shared" si="91"/>
        <v>34</v>
      </c>
      <c r="S150" s="5">
        <v>10201</v>
      </c>
      <c r="T150" s="6">
        <f t="shared" si="92"/>
        <v>11</v>
      </c>
      <c r="U150" s="5">
        <v>9628</v>
      </c>
      <c r="V150" s="6">
        <f t="shared" si="93"/>
        <v>75</v>
      </c>
      <c r="W150" s="5">
        <v>948</v>
      </c>
      <c r="X150" s="6">
        <f t="shared" si="94"/>
        <v>6</v>
      </c>
      <c r="Y150" s="7">
        <f t="shared" si="95"/>
        <v>109</v>
      </c>
      <c r="Z150" s="7">
        <f t="shared" si="96"/>
        <v>126</v>
      </c>
      <c r="AA150" s="7">
        <f t="shared" si="97"/>
        <v>235</v>
      </c>
      <c r="AB150" s="17">
        <f t="shared" si="98"/>
        <v>1</v>
      </c>
      <c r="AC150" s="17">
        <f t="shared" si="99"/>
        <v>1</v>
      </c>
      <c r="AD150" s="17">
        <f t="shared" si="100"/>
        <v>2</v>
      </c>
    </row>
    <row r="151" spans="1:30" x14ac:dyDescent="0.3">
      <c r="A151" s="9" t="s">
        <v>71</v>
      </c>
      <c r="B151" s="33">
        <v>45977</v>
      </c>
      <c r="C151" s="5">
        <v>52614</v>
      </c>
      <c r="D151" s="6">
        <f t="shared" si="84"/>
        <v>11</v>
      </c>
      <c r="E151" s="5">
        <v>8176</v>
      </c>
      <c r="F151" s="6">
        <f t="shared" si="85"/>
        <v>6</v>
      </c>
      <c r="G151" s="5">
        <v>25141</v>
      </c>
      <c r="H151" s="6">
        <f t="shared" si="86"/>
        <v>0</v>
      </c>
      <c r="I151" s="5">
        <v>10124</v>
      </c>
      <c r="J151" s="6">
        <f t="shared" si="87"/>
        <v>0</v>
      </c>
      <c r="K151" s="5">
        <v>1439</v>
      </c>
      <c r="L151" s="6">
        <f t="shared" si="88"/>
        <v>3</v>
      </c>
      <c r="M151" s="5">
        <v>1682</v>
      </c>
      <c r="N151" s="6">
        <f t="shared" si="89"/>
        <v>2</v>
      </c>
      <c r="O151" s="13">
        <v>27591</v>
      </c>
      <c r="P151" s="6">
        <f t="shared" si="90"/>
        <v>3</v>
      </c>
      <c r="Q151" s="5">
        <v>5948</v>
      </c>
      <c r="R151" s="6">
        <f t="shared" si="91"/>
        <v>0</v>
      </c>
      <c r="S151" s="5">
        <v>10212</v>
      </c>
      <c r="T151" s="6">
        <f t="shared" si="92"/>
        <v>0</v>
      </c>
      <c r="U151" s="5">
        <v>9703</v>
      </c>
      <c r="V151" s="6">
        <f t="shared" si="93"/>
        <v>0</v>
      </c>
      <c r="W151" s="5">
        <v>954</v>
      </c>
      <c r="X151" s="6">
        <f t="shared" si="94"/>
        <v>1</v>
      </c>
      <c r="Y151" s="7">
        <f t="shared" si="95"/>
        <v>11</v>
      </c>
      <c r="Z151" s="7">
        <f t="shared" si="96"/>
        <v>1</v>
      </c>
      <c r="AA151" s="7">
        <f t="shared" si="97"/>
        <v>12</v>
      </c>
      <c r="AB151" s="17">
        <f t="shared" si="98"/>
        <v>0</v>
      </c>
      <c r="AC151" s="17">
        <f t="shared" si="99"/>
        <v>2</v>
      </c>
      <c r="AD151" s="17">
        <f t="shared" si="100"/>
        <v>2</v>
      </c>
    </row>
    <row r="152" spans="1:30" x14ac:dyDescent="0.3">
      <c r="A152" s="9" t="s">
        <v>72</v>
      </c>
      <c r="B152" s="33">
        <v>45978</v>
      </c>
      <c r="C152" s="5">
        <v>52625</v>
      </c>
      <c r="D152" s="6">
        <f t="shared" si="84"/>
        <v>58</v>
      </c>
      <c r="E152" s="5">
        <v>8182</v>
      </c>
      <c r="F152" s="6">
        <f t="shared" si="85"/>
        <v>34</v>
      </c>
      <c r="G152" s="5">
        <v>25141</v>
      </c>
      <c r="H152" s="6">
        <f t="shared" si="86"/>
        <v>0</v>
      </c>
      <c r="I152" s="5">
        <v>10124</v>
      </c>
      <c r="J152" s="6">
        <f t="shared" si="87"/>
        <v>2</v>
      </c>
      <c r="K152" s="5">
        <v>1442</v>
      </c>
      <c r="L152" s="6">
        <f t="shared" si="88"/>
        <v>12</v>
      </c>
      <c r="M152" s="5">
        <v>1684</v>
      </c>
      <c r="N152" s="6">
        <f t="shared" si="89"/>
        <v>9</v>
      </c>
      <c r="O152" s="13">
        <v>27594</v>
      </c>
      <c r="P152" s="6">
        <f t="shared" si="90"/>
        <v>143</v>
      </c>
      <c r="Q152" s="5">
        <v>5948</v>
      </c>
      <c r="R152" s="6">
        <f t="shared" si="91"/>
        <v>34</v>
      </c>
      <c r="S152" s="5">
        <v>10212</v>
      </c>
      <c r="T152" s="6">
        <f t="shared" si="92"/>
        <v>26</v>
      </c>
      <c r="U152" s="5">
        <v>9703</v>
      </c>
      <c r="V152" s="6">
        <f t="shared" si="93"/>
        <v>75</v>
      </c>
      <c r="W152" s="5">
        <v>955</v>
      </c>
      <c r="X152" s="6">
        <f t="shared" si="94"/>
        <v>8</v>
      </c>
      <c r="Y152" s="7">
        <f t="shared" si="95"/>
        <v>57</v>
      </c>
      <c r="Z152" s="7">
        <f t="shared" si="96"/>
        <v>143</v>
      </c>
      <c r="AA152" s="7">
        <f t="shared" si="97"/>
        <v>200</v>
      </c>
      <c r="AB152" s="17">
        <f t="shared" si="98"/>
        <v>1</v>
      </c>
      <c r="AC152" s="17">
        <f t="shared" si="99"/>
        <v>0</v>
      </c>
      <c r="AD152" s="17">
        <f t="shared" si="100"/>
        <v>1</v>
      </c>
    </row>
    <row r="153" spans="1:30" x14ac:dyDescent="0.3">
      <c r="A153" s="9" t="s">
        <v>66</v>
      </c>
      <c r="B153" s="33">
        <v>45979</v>
      </c>
      <c r="C153" s="5">
        <v>52683</v>
      </c>
      <c r="D153" s="6">
        <f t="shared" si="84"/>
        <v>82</v>
      </c>
      <c r="E153" s="5">
        <v>8216</v>
      </c>
      <c r="F153" s="6">
        <f t="shared" si="85"/>
        <v>51</v>
      </c>
      <c r="G153" s="5">
        <v>25141</v>
      </c>
      <c r="H153" s="6">
        <f t="shared" si="86"/>
        <v>0</v>
      </c>
      <c r="I153" s="5">
        <v>10126</v>
      </c>
      <c r="J153" s="6">
        <f t="shared" si="87"/>
        <v>2</v>
      </c>
      <c r="K153" s="5">
        <v>1454</v>
      </c>
      <c r="L153" s="6">
        <f t="shared" si="88"/>
        <v>14</v>
      </c>
      <c r="M153" s="5">
        <v>1693</v>
      </c>
      <c r="N153" s="6">
        <f t="shared" si="89"/>
        <v>14</v>
      </c>
      <c r="O153" s="13">
        <v>27737</v>
      </c>
      <c r="P153" s="6">
        <f t="shared" si="90"/>
        <v>140</v>
      </c>
      <c r="Q153" s="5">
        <v>5982</v>
      </c>
      <c r="R153" s="6">
        <f t="shared" si="91"/>
        <v>39</v>
      </c>
      <c r="S153" s="5">
        <v>10238</v>
      </c>
      <c r="T153" s="6">
        <f t="shared" si="92"/>
        <v>10</v>
      </c>
      <c r="U153" s="5">
        <v>9778</v>
      </c>
      <c r="V153" s="6">
        <f t="shared" si="93"/>
        <v>81</v>
      </c>
      <c r="W153" s="5">
        <v>963</v>
      </c>
      <c r="X153" s="6">
        <f t="shared" si="94"/>
        <v>7</v>
      </c>
      <c r="Y153" s="7">
        <f t="shared" si="95"/>
        <v>81</v>
      </c>
      <c r="Z153" s="7">
        <f t="shared" si="96"/>
        <v>137</v>
      </c>
      <c r="AA153" s="7">
        <f t="shared" si="97"/>
        <v>218</v>
      </c>
      <c r="AB153" s="17">
        <f t="shared" si="98"/>
        <v>1</v>
      </c>
      <c r="AC153" s="17">
        <f t="shared" si="99"/>
        <v>3</v>
      </c>
      <c r="AD153" s="17">
        <f t="shared" si="100"/>
        <v>4</v>
      </c>
    </row>
    <row r="154" spans="1:30" x14ac:dyDescent="0.3">
      <c r="A154" s="9" t="s">
        <v>67</v>
      </c>
      <c r="B154" s="33">
        <v>45980</v>
      </c>
      <c r="C154" s="5">
        <v>52765</v>
      </c>
      <c r="D154" s="6">
        <f t="shared" si="84"/>
        <v>127</v>
      </c>
      <c r="E154" s="5">
        <v>8267</v>
      </c>
      <c r="F154" s="6">
        <f t="shared" si="85"/>
        <v>99</v>
      </c>
      <c r="G154" s="5">
        <v>25141</v>
      </c>
      <c r="H154" s="6">
        <f t="shared" si="86"/>
        <v>0</v>
      </c>
      <c r="I154" s="5">
        <v>10128</v>
      </c>
      <c r="J154" s="6">
        <f t="shared" si="87"/>
        <v>2</v>
      </c>
      <c r="K154" s="5">
        <v>1468</v>
      </c>
      <c r="L154" s="6">
        <f t="shared" si="88"/>
        <v>12</v>
      </c>
      <c r="M154" s="5">
        <v>1707</v>
      </c>
      <c r="N154" s="6">
        <f t="shared" si="89"/>
        <v>13</v>
      </c>
      <c r="O154" s="13">
        <v>27877</v>
      </c>
      <c r="P154" s="6">
        <f t="shared" si="90"/>
        <v>127</v>
      </c>
      <c r="Q154" s="5">
        <v>6021</v>
      </c>
      <c r="R154" s="6">
        <f t="shared" si="91"/>
        <v>44</v>
      </c>
      <c r="S154" s="5">
        <v>10248</v>
      </c>
      <c r="T154" s="6">
        <f t="shared" si="92"/>
        <v>11</v>
      </c>
      <c r="U154" s="5">
        <v>9859</v>
      </c>
      <c r="V154" s="6">
        <f t="shared" si="93"/>
        <v>73</v>
      </c>
      <c r="W154" s="5">
        <v>970</v>
      </c>
      <c r="X154" s="6">
        <f t="shared" si="94"/>
        <v>6</v>
      </c>
      <c r="Y154" s="7">
        <f t="shared" si="95"/>
        <v>126</v>
      </c>
      <c r="Z154" s="7">
        <f t="shared" si="96"/>
        <v>134</v>
      </c>
      <c r="AA154" s="7">
        <f t="shared" si="97"/>
        <v>260</v>
      </c>
      <c r="AB154" s="17">
        <f t="shared" si="98"/>
        <v>1</v>
      </c>
      <c r="AC154" s="17">
        <f t="shared" si="99"/>
        <v>-7</v>
      </c>
      <c r="AD154" s="17">
        <f t="shared" si="100"/>
        <v>-6</v>
      </c>
    </row>
    <row r="155" spans="1:30" x14ac:dyDescent="0.3">
      <c r="A155" s="9" t="s">
        <v>68</v>
      </c>
      <c r="B155" s="33">
        <v>45981</v>
      </c>
      <c r="C155" s="5">
        <v>52892</v>
      </c>
      <c r="D155" s="6">
        <f t="shared" si="84"/>
        <v>122</v>
      </c>
      <c r="E155" s="5">
        <v>8366</v>
      </c>
      <c r="F155" s="6">
        <f t="shared" si="85"/>
        <v>92</v>
      </c>
      <c r="G155" s="5">
        <v>25141</v>
      </c>
      <c r="H155" s="6">
        <f t="shared" si="86"/>
        <v>0</v>
      </c>
      <c r="I155" s="5">
        <v>10130</v>
      </c>
      <c r="J155" s="6">
        <f t="shared" si="87"/>
        <v>2</v>
      </c>
      <c r="K155" s="5">
        <v>1480</v>
      </c>
      <c r="L155" s="6">
        <f t="shared" si="88"/>
        <v>13</v>
      </c>
      <c r="M155" s="5">
        <v>1720</v>
      </c>
      <c r="N155" s="6">
        <f t="shared" si="89"/>
        <v>14</v>
      </c>
      <c r="O155" s="13">
        <v>28004</v>
      </c>
      <c r="P155" s="6">
        <f t="shared" si="90"/>
        <v>125</v>
      </c>
      <c r="Q155" s="5">
        <v>6065</v>
      </c>
      <c r="R155" s="6">
        <f t="shared" si="91"/>
        <v>23</v>
      </c>
      <c r="S155" s="5">
        <v>10259</v>
      </c>
      <c r="T155" s="6">
        <f t="shared" si="92"/>
        <v>11</v>
      </c>
      <c r="U155" s="5">
        <v>9932</v>
      </c>
      <c r="V155" s="6">
        <f t="shared" si="93"/>
        <v>74</v>
      </c>
      <c r="W155" s="5">
        <v>976</v>
      </c>
      <c r="X155" s="6">
        <f t="shared" si="94"/>
        <v>7</v>
      </c>
      <c r="Y155" s="7">
        <f t="shared" si="95"/>
        <v>121</v>
      </c>
      <c r="Z155" s="7">
        <f t="shared" si="96"/>
        <v>115</v>
      </c>
      <c r="AA155" s="7">
        <f t="shared" si="97"/>
        <v>236</v>
      </c>
      <c r="AB155" s="17">
        <f t="shared" si="98"/>
        <v>1</v>
      </c>
      <c r="AC155" s="17">
        <f t="shared" si="99"/>
        <v>10</v>
      </c>
      <c r="AD155" s="17">
        <f t="shared" si="100"/>
        <v>11</v>
      </c>
    </row>
    <row r="156" spans="1:30" x14ac:dyDescent="0.3">
      <c r="A156" s="9" t="s">
        <v>69</v>
      </c>
      <c r="B156" s="33">
        <v>45982</v>
      </c>
      <c r="C156" s="5">
        <v>53014</v>
      </c>
      <c r="D156" s="6">
        <f t="shared" si="84"/>
        <v>107</v>
      </c>
      <c r="E156" s="5">
        <v>8458</v>
      </c>
      <c r="F156" s="6">
        <f t="shared" si="85"/>
        <v>79</v>
      </c>
      <c r="G156" s="5">
        <v>25141</v>
      </c>
      <c r="H156" s="6">
        <f t="shared" si="86"/>
        <v>0</v>
      </c>
      <c r="I156" s="5">
        <v>10132</v>
      </c>
      <c r="J156" s="6">
        <f t="shared" si="87"/>
        <v>2</v>
      </c>
      <c r="K156" s="5">
        <v>1493</v>
      </c>
      <c r="L156" s="6">
        <f t="shared" si="88"/>
        <v>12</v>
      </c>
      <c r="M156" s="5">
        <v>1734</v>
      </c>
      <c r="N156" s="6">
        <f t="shared" si="89"/>
        <v>13</v>
      </c>
      <c r="O156" s="13">
        <v>28129</v>
      </c>
      <c r="P156" s="6">
        <f t="shared" si="90"/>
        <v>106</v>
      </c>
      <c r="Q156" s="5">
        <v>6088</v>
      </c>
      <c r="R156" s="6">
        <f t="shared" si="91"/>
        <v>25</v>
      </c>
      <c r="S156" s="5">
        <v>10270</v>
      </c>
      <c r="T156" s="6">
        <f t="shared" si="92"/>
        <v>7</v>
      </c>
      <c r="U156" s="5">
        <v>10006</v>
      </c>
      <c r="V156" s="6">
        <f t="shared" si="93"/>
        <v>66</v>
      </c>
      <c r="W156" s="5">
        <v>983</v>
      </c>
      <c r="X156" s="6">
        <f t="shared" si="94"/>
        <v>6</v>
      </c>
      <c r="Y156" s="7">
        <f t="shared" si="95"/>
        <v>106</v>
      </c>
      <c r="Z156" s="7">
        <f t="shared" si="96"/>
        <v>104</v>
      </c>
      <c r="AA156" s="7">
        <f t="shared" si="97"/>
        <v>210</v>
      </c>
      <c r="AB156" s="17">
        <f t="shared" si="98"/>
        <v>1</v>
      </c>
      <c r="AC156" s="17">
        <f t="shared" si="99"/>
        <v>2</v>
      </c>
      <c r="AD156" s="17">
        <f t="shared" si="100"/>
        <v>3</v>
      </c>
    </row>
    <row r="157" spans="1:30" x14ac:dyDescent="0.3">
      <c r="A157" s="9" t="s">
        <v>70</v>
      </c>
      <c r="B157" s="33">
        <v>45983</v>
      </c>
      <c r="C157" s="5">
        <v>53121</v>
      </c>
      <c r="D157" s="6">
        <f t="shared" si="84"/>
        <v>84</v>
      </c>
      <c r="E157" s="5">
        <v>8537</v>
      </c>
      <c r="F157" s="6">
        <f t="shared" si="85"/>
        <v>57</v>
      </c>
      <c r="G157" s="5">
        <v>25141</v>
      </c>
      <c r="H157" s="6">
        <f t="shared" si="86"/>
        <v>0</v>
      </c>
      <c r="I157" s="5">
        <v>10134</v>
      </c>
      <c r="J157" s="6">
        <f t="shared" si="87"/>
        <v>1</v>
      </c>
      <c r="K157" s="5">
        <v>1505</v>
      </c>
      <c r="L157" s="6">
        <f t="shared" si="88"/>
        <v>11</v>
      </c>
      <c r="M157" s="5">
        <v>1747</v>
      </c>
      <c r="N157" s="6">
        <f t="shared" si="89"/>
        <v>13</v>
      </c>
      <c r="O157" s="13">
        <v>28235</v>
      </c>
      <c r="P157" s="6">
        <f t="shared" si="90"/>
        <v>106</v>
      </c>
      <c r="Q157" s="5">
        <v>6113</v>
      </c>
      <c r="R157" s="6">
        <f t="shared" si="91"/>
        <v>24</v>
      </c>
      <c r="S157" s="5">
        <v>10277</v>
      </c>
      <c r="T157" s="6">
        <f t="shared" si="92"/>
        <v>0</v>
      </c>
      <c r="U157" s="5">
        <v>10072</v>
      </c>
      <c r="V157" s="6">
        <f t="shared" si="93"/>
        <v>74</v>
      </c>
      <c r="W157" s="5">
        <v>989</v>
      </c>
      <c r="X157" s="6">
        <f t="shared" si="94"/>
        <v>6</v>
      </c>
      <c r="Y157" s="7">
        <f t="shared" si="95"/>
        <v>82</v>
      </c>
      <c r="Z157" s="7">
        <f t="shared" si="96"/>
        <v>104</v>
      </c>
      <c r="AA157" s="7">
        <f t="shared" si="97"/>
        <v>186</v>
      </c>
      <c r="AB157" s="17">
        <f t="shared" si="98"/>
        <v>2</v>
      </c>
      <c r="AC157" s="17">
        <f t="shared" si="99"/>
        <v>2</v>
      </c>
      <c r="AD157" s="17">
        <f t="shared" si="100"/>
        <v>4</v>
      </c>
    </row>
    <row r="158" spans="1:30" x14ac:dyDescent="0.3">
      <c r="A158" s="9" t="s">
        <v>71</v>
      </c>
      <c r="B158" s="33">
        <v>45984</v>
      </c>
      <c r="C158" s="5">
        <v>53205</v>
      </c>
      <c r="D158" s="6">
        <f t="shared" si="84"/>
        <v>8</v>
      </c>
      <c r="E158" s="5">
        <v>8594</v>
      </c>
      <c r="F158" s="6">
        <f t="shared" si="85"/>
        <v>1</v>
      </c>
      <c r="G158" s="5">
        <v>25141</v>
      </c>
      <c r="H158" s="6">
        <f t="shared" si="86"/>
        <v>0</v>
      </c>
      <c r="I158" s="5">
        <v>10135</v>
      </c>
      <c r="J158" s="6">
        <f t="shared" si="87"/>
        <v>0</v>
      </c>
      <c r="K158" s="5">
        <v>1516</v>
      </c>
      <c r="L158" s="6">
        <f t="shared" si="88"/>
        <v>5</v>
      </c>
      <c r="M158" s="5">
        <v>1760</v>
      </c>
      <c r="N158" s="6">
        <f t="shared" si="89"/>
        <v>2</v>
      </c>
      <c r="O158" s="13">
        <v>28341</v>
      </c>
      <c r="P158" s="6">
        <f t="shared" si="90"/>
        <v>4</v>
      </c>
      <c r="Q158" s="5">
        <v>6137</v>
      </c>
      <c r="R158" s="6">
        <f t="shared" si="91"/>
        <v>0</v>
      </c>
      <c r="S158" s="5">
        <v>10277</v>
      </c>
      <c r="T158" s="6">
        <f t="shared" si="92"/>
        <v>0</v>
      </c>
      <c r="U158" s="5">
        <v>10146</v>
      </c>
      <c r="V158" s="6">
        <f t="shared" si="93"/>
        <v>1</v>
      </c>
      <c r="W158" s="5">
        <v>995</v>
      </c>
      <c r="X158" s="6">
        <f t="shared" si="94"/>
        <v>3</v>
      </c>
      <c r="Y158" s="7">
        <f t="shared" si="95"/>
        <v>8</v>
      </c>
      <c r="Z158" s="7">
        <f t="shared" si="96"/>
        <v>4</v>
      </c>
      <c r="AA158" s="7">
        <f t="shared" si="97"/>
        <v>12</v>
      </c>
      <c r="AB158" s="17">
        <f t="shared" si="98"/>
        <v>0</v>
      </c>
      <c r="AC158" s="17">
        <f t="shared" si="99"/>
        <v>0</v>
      </c>
      <c r="AD158" s="17">
        <f t="shared" si="100"/>
        <v>0</v>
      </c>
    </row>
    <row r="159" spans="1:30" x14ac:dyDescent="0.3">
      <c r="A159" s="9" t="s">
        <v>72</v>
      </c>
      <c r="B159" s="33">
        <v>45985</v>
      </c>
      <c r="C159" s="5">
        <v>53213</v>
      </c>
      <c r="D159" s="6">
        <f t="shared" si="84"/>
        <v>69</v>
      </c>
      <c r="E159" s="5">
        <v>8595</v>
      </c>
      <c r="F159" s="6">
        <f t="shared" si="85"/>
        <v>40</v>
      </c>
      <c r="G159" s="5">
        <v>25141</v>
      </c>
      <c r="H159" s="6">
        <f t="shared" si="86"/>
        <v>0</v>
      </c>
      <c r="I159" s="5">
        <v>10135</v>
      </c>
      <c r="J159" s="6">
        <f t="shared" si="87"/>
        <v>1</v>
      </c>
      <c r="K159" s="5">
        <v>1521</v>
      </c>
      <c r="L159" s="6">
        <f t="shared" si="88"/>
        <v>12</v>
      </c>
      <c r="M159" s="5">
        <v>1762</v>
      </c>
      <c r="N159" s="6">
        <f t="shared" si="89"/>
        <v>15</v>
      </c>
      <c r="O159" s="13">
        <v>28345</v>
      </c>
      <c r="P159" s="6">
        <f t="shared" si="90"/>
        <v>104</v>
      </c>
      <c r="Q159" s="5">
        <v>6137</v>
      </c>
      <c r="R159" s="6">
        <f t="shared" si="91"/>
        <v>21</v>
      </c>
      <c r="S159" s="5">
        <v>10277</v>
      </c>
      <c r="T159" s="6">
        <f t="shared" si="92"/>
        <v>0</v>
      </c>
      <c r="U159" s="5">
        <v>10147</v>
      </c>
      <c r="V159" s="6">
        <f t="shared" si="93"/>
        <v>74</v>
      </c>
      <c r="W159" s="5">
        <v>998</v>
      </c>
      <c r="X159" s="6">
        <f t="shared" si="94"/>
        <v>6</v>
      </c>
      <c r="Y159" s="7">
        <f t="shared" si="95"/>
        <v>68</v>
      </c>
      <c r="Z159" s="7">
        <f t="shared" si="96"/>
        <v>101</v>
      </c>
      <c r="AA159" s="7">
        <f t="shared" si="97"/>
        <v>169</v>
      </c>
      <c r="AB159" s="17">
        <f t="shared" si="98"/>
        <v>1</v>
      </c>
      <c r="AC159" s="17">
        <f t="shared" si="99"/>
        <v>3</v>
      </c>
      <c r="AD159" s="17">
        <f t="shared" si="100"/>
        <v>4</v>
      </c>
    </row>
    <row r="160" spans="1:30" x14ac:dyDescent="0.3">
      <c r="A160" s="9" t="s">
        <v>66</v>
      </c>
      <c r="B160" s="33">
        <v>45986</v>
      </c>
      <c r="C160" s="5">
        <v>53282</v>
      </c>
      <c r="D160" s="6">
        <f t="shared" si="84"/>
        <v>66</v>
      </c>
      <c r="E160" s="5">
        <v>8635</v>
      </c>
      <c r="F160" s="6">
        <f t="shared" si="85"/>
        <v>32</v>
      </c>
      <c r="G160" s="5">
        <v>25141</v>
      </c>
      <c r="H160" s="6">
        <f t="shared" si="86"/>
        <v>0</v>
      </c>
      <c r="I160" s="5">
        <v>10136</v>
      </c>
      <c r="J160" s="6">
        <f t="shared" si="87"/>
        <v>0</v>
      </c>
      <c r="K160" s="5">
        <v>1533</v>
      </c>
      <c r="L160" s="6">
        <f t="shared" si="88"/>
        <v>16</v>
      </c>
      <c r="M160" s="5">
        <v>1777</v>
      </c>
      <c r="N160" s="6">
        <f t="shared" si="89"/>
        <v>17</v>
      </c>
      <c r="O160" s="13">
        <v>28449</v>
      </c>
      <c r="P160" s="6">
        <f t="shared" si="90"/>
        <v>109</v>
      </c>
      <c r="Q160" s="5">
        <v>6158</v>
      </c>
      <c r="R160" s="6">
        <f t="shared" si="91"/>
        <v>22</v>
      </c>
      <c r="S160" s="5">
        <v>10277</v>
      </c>
      <c r="T160" s="6">
        <f t="shared" si="92"/>
        <v>0</v>
      </c>
      <c r="U160" s="5">
        <v>10221</v>
      </c>
      <c r="V160" s="6">
        <f t="shared" si="93"/>
        <v>78</v>
      </c>
      <c r="W160" s="5">
        <v>1004</v>
      </c>
      <c r="X160" s="6">
        <f t="shared" si="94"/>
        <v>8</v>
      </c>
      <c r="Y160" s="7">
        <f t="shared" si="95"/>
        <v>65</v>
      </c>
      <c r="Z160" s="7">
        <f t="shared" si="96"/>
        <v>108</v>
      </c>
      <c r="AA160" s="7">
        <f t="shared" si="97"/>
        <v>173</v>
      </c>
      <c r="AB160" s="17">
        <f t="shared" si="98"/>
        <v>1</v>
      </c>
      <c r="AC160" s="17">
        <f t="shared" si="99"/>
        <v>1</v>
      </c>
      <c r="AD160" s="17">
        <f t="shared" si="100"/>
        <v>2</v>
      </c>
    </row>
    <row r="161" spans="1:30" x14ac:dyDescent="0.3">
      <c r="A161" s="9" t="s">
        <v>67</v>
      </c>
      <c r="B161" s="33">
        <v>45987</v>
      </c>
      <c r="C161" s="5">
        <v>53348</v>
      </c>
      <c r="D161" s="6">
        <f t="shared" si="84"/>
        <v>85</v>
      </c>
      <c r="E161" s="5">
        <v>8667</v>
      </c>
      <c r="F161" s="6">
        <f t="shared" si="85"/>
        <v>46</v>
      </c>
      <c r="G161" s="5">
        <v>25141</v>
      </c>
      <c r="H161" s="6">
        <f t="shared" si="86"/>
        <v>4</v>
      </c>
      <c r="I161" s="5">
        <v>10136</v>
      </c>
      <c r="J161" s="6">
        <f t="shared" si="87"/>
        <v>6</v>
      </c>
      <c r="K161" s="5">
        <v>1549</v>
      </c>
      <c r="L161" s="6">
        <f t="shared" si="88"/>
        <v>13</v>
      </c>
      <c r="M161" s="5">
        <v>1794</v>
      </c>
      <c r="N161" s="6">
        <f t="shared" si="89"/>
        <v>15</v>
      </c>
      <c r="O161" s="13">
        <v>28558</v>
      </c>
      <c r="P161" s="6">
        <f t="shared" si="90"/>
        <v>109</v>
      </c>
      <c r="Q161" s="5">
        <v>6180</v>
      </c>
      <c r="R161" s="6">
        <f t="shared" si="91"/>
        <v>26</v>
      </c>
      <c r="S161" s="5">
        <v>10277</v>
      </c>
      <c r="T161" s="6">
        <f t="shared" si="92"/>
        <v>0</v>
      </c>
      <c r="U161" s="5">
        <v>10299</v>
      </c>
      <c r="V161" s="6">
        <f t="shared" si="93"/>
        <v>73</v>
      </c>
      <c r="W161" s="5">
        <v>1012</v>
      </c>
      <c r="X161" s="6">
        <f t="shared" si="94"/>
        <v>7</v>
      </c>
      <c r="Y161" s="7">
        <f t="shared" si="95"/>
        <v>84</v>
      </c>
      <c r="Z161" s="7">
        <f t="shared" si="96"/>
        <v>106</v>
      </c>
      <c r="AA161" s="7">
        <f t="shared" si="97"/>
        <v>190</v>
      </c>
      <c r="AB161" s="17">
        <f t="shared" si="98"/>
        <v>1</v>
      </c>
      <c r="AC161" s="17">
        <f t="shared" si="99"/>
        <v>3</v>
      </c>
      <c r="AD161" s="17">
        <f t="shared" si="100"/>
        <v>4</v>
      </c>
    </row>
    <row r="162" spans="1:30" x14ac:dyDescent="0.3">
      <c r="A162" s="9" t="s">
        <v>68</v>
      </c>
      <c r="B162" s="33">
        <v>45988</v>
      </c>
      <c r="C162" s="5">
        <v>53433</v>
      </c>
      <c r="D162" s="6">
        <f t="shared" si="84"/>
        <v>77</v>
      </c>
      <c r="E162" s="5">
        <v>8713</v>
      </c>
      <c r="F162" s="6">
        <f t="shared" si="85"/>
        <v>43</v>
      </c>
      <c r="G162" s="5">
        <v>25145</v>
      </c>
      <c r="H162" s="6">
        <f t="shared" si="86"/>
        <v>0</v>
      </c>
      <c r="I162" s="5">
        <v>10142</v>
      </c>
      <c r="J162" s="6">
        <f t="shared" si="87"/>
        <v>5</v>
      </c>
      <c r="K162" s="5">
        <v>1562</v>
      </c>
      <c r="L162" s="6">
        <f t="shared" si="88"/>
        <v>15</v>
      </c>
      <c r="M162" s="5">
        <v>1809</v>
      </c>
      <c r="N162" s="6">
        <f t="shared" si="89"/>
        <v>15</v>
      </c>
      <c r="O162" s="13">
        <v>28667</v>
      </c>
      <c r="P162" s="6">
        <f t="shared" si="90"/>
        <v>104</v>
      </c>
      <c r="Q162" s="5">
        <v>6206</v>
      </c>
      <c r="R162" s="6">
        <f t="shared" si="91"/>
        <v>21</v>
      </c>
      <c r="S162" s="5">
        <v>10277</v>
      </c>
      <c r="T162" s="6">
        <f t="shared" si="92"/>
        <v>1</v>
      </c>
      <c r="U162" s="5">
        <v>10372</v>
      </c>
      <c r="V162" s="6">
        <f t="shared" si="93"/>
        <v>74</v>
      </c>
      <c r="W162" s="5">
        <v>1019</v>
      </c>
      <c r="X162" s="6">
        <f t="shared" si="94"/>
        <v>7</v>
      </c>
      <c r="Y162" s="7">
        <f t="shared" si="95"/>
        <v>78</v>
      </c>
      <c r="Z162" s="7">
        <f t="shared" si="96"/>
        <v>103</v>
      </c>
      <c r="AA162" s="7">
        <f t="shared" si="97"/>
        <v>181</v>
      </c>
      <c r="AB162" s="17">
        <f t="shared" si="98"/>
        <v>-1</v>
      </c>
      <c r="AC162" s="17">
        <f t="shared" si="99"/>
        <v>1</v>
      </c>
      <c r="AD162" s="17">
        <f t="shared" si="100"/>
        <v>0</v>
      </c>
    </row>
    <row r="163" spans="1:30" x14ac:dyDescent="0.3">
      <c r="A163" s="9" t="s">
        <v>69</v>
      </c>
      <c r="B163" s="33">
        <v>45989</v>
      </c>
      <c r="C163" s="5">
        <v>53510</v>
      </c>
      <c r="D163" s="6">
        <f t="shared" si="84"/>
        <v>65</v>
      </c>
      <c r="E163" s="5">
        <v>8756</v>
      </c>
      <c r="F163" s="6">
        <f t="shared" si="85"/>
        <v>35</v>
      </c>
      <c r="G163" s="5">
        <v>25145</v>
      </c>
      <c r="H163" s="6">
        <f t="shared" si="86"/>
        <v>0</v>
      </c>
      <c r="I163" s="5">
        <v>10147</v>
      </c>
      <c r="J163" s="6">
        <f t="shared" si="87"/>
        <v>0</v>
      </c>
      <c r="K163" s="5">
        <v>1577</v>
      </c>
      <c r="L163" s="6">
        <f t="shared" si="88"/>
        <v>14</v>
      </c>
      <c r="M163" s="5">
        <v>1824</v>
      </c>
      <c r="N163" s="6">
        <f t="shared" si="89"/>
        <v>14</v>
      </c>
      <c r="O163" s="13">
        <v>28771</v>
      </c>
      <c r="P163" s="6">
        <f t="shared" si="90"/>
        <v>113</v>
      </c>
      <c r="Q163" s="5">
        <v>6227</v>
      </c>
      <c r="R163" s="6">
        <f t="shared" si="91"/>
        <v>33</v>
      </c>
      <c r="S163" s="5">
        <v>10278</v>
      </c>
      <c r="T163" s="6">
        <f t="shared" si="92"/>
        <v>0</v>
      </c>
      <c r="U163" s="5">
        <v>10446</v>
      </c>
      <c r="V163" s="6">
        <f t="shared" si="93"/>
        <v>72</v>
      </c>
      <c r="W163" s="5">
        <v>1026</v>
      </c>
      <c r="X163" s="6">
        <f t="shared" si="94"/>
        <v>7</v>
      </c>
      <c r="Y163" s="7">
        <f t="shared" si="95"/>
        <v>63</v>
      </c>
      <c r="Z163" s="7">
        <f t="shared" si="96"/>
        <v>112</v>
      </c>
      <c r="AA163" s="7">
        <f t="shared" si="97"/>
        <v>175</v>
      </c>
      <c r="AB163" s="17">
        <f t="shared" si="98"/>
        <v>2</v>
      </c>
      <c r="AC163" s="17">
        <f t="shared" si="99"/>
        <v>1</v>
      </c>
      <c r="AD163" s="17">
        <f t="shared" si="100"/>
        <v>3</v>
      </c>
    </row>
    <row r="164" spans="1:30" x14ac:dyDescent="0.3">
      <c r="A164" s="9" t="s">
        <v>70</v>
      </c>
      <c r="B164" s="33">
        <v>45990</v>
      </c>
      <c r="C164" s="5">
        <v>53575</v>
      </c>
      <c r="D164" s="6">
        <f t="shared" si="84"/>
        <v>69</v>
      </c>
      <c r="E164" s="5">
        <v>8791</v>
      </c>
      <c r="F164" s="6">
        <f t="shared" si="85"/>
        <v>36</v>
      </c>
      <c r="G164" s="5">
        <v>25145</v>
      </c>
      <c r="H164" s="6">
        <f t="shared" si="86"/>
        <v>0</v>
      </c>
      <c r="I164" s="5">
        <v>10147</v>
      </c>
      <c r="J164" s="6">
        <f t="shared" si="87"/>
        <v>9</v>
      </c>
      <c r="K164" s="5">
        <v>1591</v>
      </c>
      <c r="L164" s="6">
        <f t="shared" si="88"/>
        <v>10</v>
      </c>
      <c r="M164" s="5">
        <v>1838</v>
      </c>
      <c r="N164" s="6">
        <f t="shared" si="89"/>
        <v>14</v>
      </c>
      <c r="O164" s="13">
        <v>28884</v>
      </c>
      <c r="P164" s="6">
        <f t="shared" si="90"/>
        <v>120</v>
      </c>
      <c r="Q164" s="5">
        <v>6260</v>
      </c>
      <c r="R164" s="6">
        <f t="shared" si="91"/>
        <v>32</v>
      </c>
      <c r="S164" s="5">
        <v>10278</v>
      </c>
      <c r="T164" s="6">
        <f t="shared" si="92"/>
        <v>0</v>
      </c>
      <c r="U164" s="5">
        <v>10518</v>
      </c>
      <c r="V164" s="6">
        <f t="shared" si="93"/>
        <v>79</v>
      </c>
      <c r="W164" s="5">
        <v>1033</v>
      </c>
      <c r="X164" s="6">
        <f t="shared" si="94"/>
        <v>6</v>
      </c>
      <c r="Y164" s="7">
        <f t="shared" si="95"/>
        <v>69</v>
      </c>
      <c r="Z164" s="7">
        <f t="shared" si="96"/>
        <v>117</v>
      </c>
      <c r="AA164" s="7">
        <f t="shared" si="97"/>
        <v>186</v>
      </c>
      <c r="AB164" s="17">
        <f t="shared" si="98"/>
        <v>0</v>
      </c>
      <c r="AC164" s="17">
        <f t="shared" si="99"/>
        <v>3</v>
      </c>
      <c r="AD164" s="17">
        <f t="shared" si="100"/>
        <v>3</v>
      </c>
    </row>
    <row r="165" spans="1:30" x14ac:dyDescent="0.3">
      <c r="A165" s="9" t="s">
        <v>71</v>
      </c>
      <c r="B165" s="33">
        <v>45991</v>
      </c>
      <c r="C165" s="5">
        <v>53644</v>
      </c>
      <c r="D165" s="6">
        <f t="shared" si="84"/>
        <v>9</v>
      </c>
      <c r="E165" s="5">
        <v>8827</v>
      </c>
      <c r="F165" s="6">
        <f t="shared" si="85"/>
        <v>0</v>
      </c>
      <c r="G165" s="5">
        <v>25145</v>
      </c>
      <c r="H165" s="6">
        <f t="shared" si="86"/>
        <v>0</v>
      </c>
      <c r="I165" s="5">
        <v>10156</v>
      </c>
      <c r="J165" s="6">
        <f t="shared" si="87"/>
        <v>0</v>
      </c>
      <c r="K165" s="5">
        <v>1601</v>
      </c>
      <c r="L165" s="6">
        <f t="shared" si="88"/>
        <v>7</v>
      </c>
      <c r="M165" s="5">
        <v>1852</v>
      </c>
      <c r="N165" s="6">
        <f t="shared" si="89"/>
        <v>2</v>
      </c>
      <c r="O165" s="13">
        <v>29004</v>
      </c>
      <c r="P165" s="6">
        <f t="shared" si="90"/>
        <v>5</v>
      </c>
      <c r="Q165" s="5">
        <v>6292</v>
      </c>
      <c r="R165" s="6">
        <f t="shared" si="91"/>
        <v>0</v>
      </c>
      <c r="S165" s="5">
        <v>10278</v>
      </c>
      <c r="T165" s="6">
        <f t="shared" si="92"/>
        <v>0</v>
      </c>
      <c r="U165" s="5">
        <v>10597</v>
      </c>
      <c r="V165" s="6">
        <f t="shared" si="93"/>
        <v>1</v>
      </c>
      <c r="W165" s="5">
        <v>1039</v>
      </c>
      <c r="X165" s="6">
        <f t="shared" si="94"/>
        <v>3</v>
      </c>
      <c r="Y165" s="7">
        <f t="shared" si="95"/>
        <v>9</v>
      </c>
      <c r="Z165" s="7">
        <f t="shared" si="96"/>
        <v>4</v>
      </c>
      <c r="AA165" s="7">
        <f t="shared" si="97"/>
        <v>13</v>
      </c>
      <c r="AB165" s="17">
        <f t="shared" si="98"/>
        <v>0</v>
      </c>
      <c r="AC165" s="17">
        <f t="shared" si="99"/>
        <v>1</v>
      </c>
      <c r="AD165" s="17">
        <f t="shared" si="100"/>
        <v>1</v>
      </c>
    </row>
    <row r="166" spans="1:30" x14ac:dyDescent="0.3">
      <c r="A166" s="9" t="s">
        <v>72</v>
      </c>
      <c r="B166" s="33">
        <v>45992</v>
      </c>
      <c r="C166" s="5">
        <v>53653</v>
      </c>
      <c r="D166" s="6" t="str">
        <f t="shared" si="84"/>
        <v/>
      </c>
      <c r="E166" s="5">
        <v>8827</v>
      </c>
      <c r="F166" s="6" t="str">
        <f t="shared" si="85"/>
        <v/>
      </c>
      <c r="G166" s="5">
        <v>25145</v>
      </c>
      <c r="H166" s="6" t="str">
        <f t="shared" si="86"/>
        <v/>
      </c>
      <c r="I166" s="5">
        <v>10156</v>
      </c>
      <c r="J166" s="6" t="str">
        <f t="shared" si="87"/>
        <v/>
      </c>
      <c r="K166" s="5">
        <v>1608</v>
      </c>
      <c r="L166" s="6" t="str">
        <f t="shared" si="88"/>
        <v/>
      </c>
      <c r="M166" s="5">
        <v>1854</v>
      </c>
      <c r="N166" s="6" t="str">
        <f t="shared" si="89"/>
        <v/>
      </c>
      <c r="O166" s="13">
        <v>29009</v>
      </c>
      <c r="P166" s="6" t="str">
        <f t="shared" si="90"/>
        <v/>
      </c>
      <c r="Q166" s="5">
        <v>6292</v>
      </c>
      <c r="R166" s="6" t="str">
        <f t="shared" si="91"/>
        <v/>
      </c>
      <c r="S166" s="5">
        <v>10278</v>
      </c>
      <c r="T166" s="6" t="str">
        <f t="shared" si="92"/>
        <v/>
      </c>
      <c r="U166" s="5">
        <v>10598</v>
      </c>
      <c r="V166" s="6" t="str">
        <f t="shared" si="93"/>
        <v/>
      </c>
      <c r="W166" s="5">
        <v>1042</v>
      </c>
      <c r="X166" s="6" t="str">
        <f t="shared" si="94"/>
        <v/>
      </c>
      <c r="Y166" s="7">
        <f t="shared" si="95"/>
        <v>0</v>
      </c>
      <c r="Z166" s="7">
        <f t="shared" si="96"/>
        <v>0</v>
      </c>
      <c r="AA166" s="7">
        <f t="shared" si="97"/>
        <v>0</v>
      </c>
      <c r="AB166" s="17" t="e">
        <f t="shared" si="98"/>
        <v>#VALUE!</v>
      </c>
      <c r="AC166" s="17" t="e">
        <f t="shared" si="99"/>
        <v>#VALUE!</v>
      </c>
      <c r="AD166" s="17" t="e">
        <f t="shared" si="100"/>
        <v>#VALUE!</v>
      </c>
    </row>
    <row r="167" spans="1:30" x14ac:dyDescent="0.3">
      <c r="A167" s="9" t="s">
        <v>66</v>
      </c>
      <c r="B167" s="33">
        <v>45993</v>
      </c>
      <c r="C167" s="5"/>
      <c r="D167" s="6" t="str">
        <f t="shared" si="84"/>
        <v/>
      </c>
      <c r="E167" s="5"/>
      <c r="F167" s="6" t="str">
        <f t="shared" si="85"/>
        <v/>
      </c>
      <c r="G167" s="5"/>
      <c r="H167" s="6" t="str">
        <f t="shared" si="86"/>
        <v/>
      </c>
      <c r="I167" s="5"/>
      <c r="J167" s="6" t="str">
        <f t="shared" si="87"/>
        <v/>
      </c>
      <c r="K167" s="5"/>
      <c r="L167" s="6" t="str">
        <f t="shared" si="88"/>
        <v/>
      </c>
      <c r="M167" s="5"/>
      <c r="N167" s="6" t="str">
        <f t="shared" si="89"/>
        <v/>
      </c>
      <c r="O167" s="13"/>
      <c r="P167" s="6" t="str">
        <f t="shared" si="90"/>
        <v/>
      </c>
      <c r="Q167" s="5"/>
      <c r="R167" s="6" t="str">
        <f t="shared" si="91"/>
        <v/>
      </c>
      <c r="S167" s="5"/>
      <c r="T167" s="6" t="str">
        <f t="shared" si="92"/>
        <v/>
      </c>
      <c r="U167" s="5"/>
      <c r="V167" s="6" t="str">
        <f t="shared" si="93"/>
        <v/>
      </c>
      <c r="W167" s="5"/>
      <c r="X167" s="6" t="str">
        <f t="shared" si="94"/>
        <v/>
      </c>
      <c r="Y167" s="7">
        <f t="shared" si="95"/>
        <v>0</v>
      </c>
      <c r="Z167" s="7">
        <f t="shared" si="96"/>
        <v>0</v>
      </c>
      <c r="AA167" s="7">
        <f t="shared" si="97"/>
        <v>0</v>
      </c>
      <c r="AB167" s="17" t="e">
        <f t="shared" si="98"/>
        <v>#VALUE!</v>
      </c>
      <c r="AC167" s="17" t="e">
        <f t="shared" si="99"/>
        <v>#VALUE!</v>
      </c>
      <c r="AD167" s="17" t="e">
        <f t="shared" si="100"/>
        <v>#VALUE!</v>
      </c>
    </row>
    <row r="168" spans="1:30" ht="23.4" x14ac:dyDescent="0.3">
      <c r="A168" s="152" t="s">
        <v>73</v>
      </c>
      <c r="B168" s="153"/>
      <c r="C168" s="8"/>
      <c r="D168" s="11">
        <f>SUM(D136:D166)</f>
        <v>2866</v>
      </c>
      <c r="E168" s="8"/>
      <c r="F168" s="11">
        <f>SUM(F136:F166)</f>
        <v>1316</v>
      </c>
      <c r="G168" s="8"/>
      <c r="H168" s="11">
        <f>SUM(H136:H166)</f>
        <v>650</v>
      </c>
      <c r="I168" s="8"/>
      <c r="J168" s="11">
        <f>SUM(J136:J166)</f>
        <v>203</v>
      </c>
      <c r="K168" s="8"/>
      <c r="L168" s="11">
        <f>SUM(L136:L166)</f>
        <v>344</v>
      </c>
      <c r="M168" s="8"/>
      <c r="N168" s="14">
        <f>SUM(N136:N166)</f>
        <v>337</v>
      </c>
      <c r="O168" s="15"/>
      <c r="P168" s="11">
        <f>SUM(P136:P166)</f>
        <v>3274</v>
      </c>
      <c r="Q168" s="8"/>
      <c r="R168" s="11">
        <f>SUM(R136:R166)</f>
        <v>731</v>
      </c>
      <c r="S168" s="8"/>
      <c r="T168" s="11">
        <f>SUM(T136:T166)</f>
        <v>341</v>
      </c>
      <c r="U168" s="8"/>
      <c r="V168" s="11">
        <f>SUM(V136:V166)</f>
        <v>1972</v>
      </c>
      <c r="W168" s="8"/>
      <c r="X168" s="11">
        <f>SUM(X136:X166)</f>
        <v>180</v>
      </c>
      <c r="Y168" s="7">
        <f>SUM(F168,H168,J168,L168,N168)</f>
        <v>2850</v>
      </c>
      <c r="Z168" s="7">
        <f>SUM(R168,T168,V168,X168)</f>
        <v>3224</v>
      </c>
      <c r="AA168" s="7">
        <f>SUM(F168,H168,J168,L168,N168,R168,T168,V168,X168)</f>
        <v>6074</v>
      </c>
      <c r="AB168" s="17">
        <f>Y168-D168</f>
        <v>-16</v>
      </c>
      <c r="AC168" s="17">
        <f>P168-Z168</f>
        <v>50</v>
      </c>
      <c r="AD168" s="17">
        <f>(D168+P168)-AA168</f>
        <v>66</v>
      </c>
    </row>
  </sheetData>
  <mergeCells count="40">
    <mergeCell ref="A168:B168"/>
    <mergeCell ref="A37:B37"/>
    <mergeCell ref="A1:AA1"/>
    <mergeCell ref="A2:A5"/>
    <mergeCell ref="B2:B5"/>
    <mergeCell ref="C2:D2"/>
    <mergeCell ref="E2:N2"/>
    <mergeCell ref="Y2:Y5"/>
    <mergeCell ref="Z2:Z5"/>
    <mergeCell ref="AA2:AA5"/>
    <mergeCell ref="C3:D3"/>
    <mergeCell ref="O2:P2"/>
    <mergeCell ref="Q2:X2"/>
    <mergeCell ref="E3:F3"/>
    <mergeCell ref="G3:H3"/>
    <mergeCell ref="I3:J3"/>
    <mergeCell ref="K3:L3"/>
    <mergeCell ref="C4:D4"/>
    <mergeCell ref="M3:N3"/>
    <mergeCell ref="E4:F4"/>
    <mergeCell ref="G4:H4"/>
    <mergeCell ref="I4:J4"/>
    <mergeCell ref="K4:L4"/>
    <mergeCell ref="M4:N4"/>
    <mergeCell ref="A135:B135"/>
    <mergeCell ref="A102:B102"/>
    <mergeCell ref="AB2:AB5"/>
    <mergeCell ref="AC2:AC5"/>
    <mergeCell ref="AD2:AD5"/>
    <mergeCell ref="O4:P4"/>
    <mergeCell ref="Q4:R4"/>
    <mergeCell ref="S4:T4"/>
    <mergeCell ref="U4:V4"/>
    <mergeCell ref="W4:X4"/>
    <mergeCell ref="O3:P3"/>
    <mergeCell ref="A70:B70"/>
    <mergeCell ref="Q3:R3"/>
    <mergeCell ref="S3:T3"/>
    <mergeCell ref="U3:V3"/>
    <mergeCell ref="W3:X3"/>
  </mergeCells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68"/>
  <sheetViews>
    <sheetView showGridLines="0" topLeftCell="D1" zoomScale="80" zoomScaleNormal="80" workbookViewId="0">
      <pane ySplit="5" topLeftCell="A145" activePane="bottomLeft" state="frozen"/>
      <selection activeCell="J4" sqref="J4:K4"/>
      <selection pane="bottomLeft" activeCell="AB157" sqref="AB157"/>
    </sheetView>
  </sheetViews>
  <sheetFormatPr defaultRowHeight="14.4" x14ac:dyDescent="0.3"/>
  <cols>
    <col min="1" max="1" width="6.44140625" bestFit="1" customWidth="1"/>
    <col min="2" max="2" width="10.44140625" bestFit="1" customWidth="1"/>
    <col min="3" max="3" width="8" style="3" bestFit="1" customWidth="1"/>
    <col min="4" max="4" width="12" style="3" bestFit="1" customWidth="1"/>
    <col min="5" max="5" width="13" style="2" bestFit="1" customWidth="1"/>
    <col min="6" max="6" width="10.6640625" style="2" bestFit="1" customWidth="1"/>
    <col min="7" max="7" width="8" style="2" bestFit="1" customWidth="1"/>
    <col min="8" max="8" width="10.6640625" style="2" bestFit="1" customWidth="1"/>
    <col min="9" max="9" width="7.88671875" style="2" bestFit="1" customWidth="1"/>
    <col min="10" max="10" width="10.5546875" style="2" bestFit="1" customWidth="1"/>
    <col min="11" max="11" width="8" style="2" bestFit="1" customWidth="1"/>
    <col min="12" max="12" width="10.6640625" style="2" bestFit="1" customWidth="1"/>
    <col min="13" max="13" width="7.88671875" style="2" bestFit="1" customWidth="1"/>
    <col min="14" max="14" width="10.5546875" style="2" bestFit="1" customWidth="1"/>
    <col min="15" max="15" width="8" style="2" bestFit="1" customWidth="1"/>
    <col min="16" max="16" width="10.6640625" style="2" bestFit="1" customWidth="1"/>
    <col min="17" max="17" width="7.88671875" style="2" bestFit="1" customWidth="1"/>
    <col min="18" max="18" width="10.5546875" style="2" bestFit="1" customWidth="1"/>
    <col min="19" max="19" width="7.88671875" style="2" bestFit="1" customWidth="1"/>
    <col min="20" max="20" width="12" customWidth="1"/>
    <col min="21" max="21" width="7.88671875" style="2" bestFit="1" customWidth="1"/>
    <col min="22" max="22" width="10.5546875" style="2" bestFit="1" customWidth="1"/>
    <col min="23" max="23" width="7.88671875" style="2" bestFit="1" customWidth="1"/>
    <col min="24" max="24" width="10.5546875" bestFit="1" customWidth="1"/>
    <col min="25" max="26" width="9.33203125" customWidth="1"/>
    <col min="27" max="27" width="7.44140625" customWidth="1"/>
    <col min="28" max="28" width="8.33203125" bestFit="1" customWidth="1"/>
    <col min="29" max="29" width="10.6640625" bestFit="1" customWidth="1"/>
    <col min="30" max="30" width="8.33203125" bestFit="1" customWidth="1"/>
  </cols>
  <sheetData>
    <row r="1" spans="1:30" ht="21" x14ac:dyDescent="0.3">
      <c r="A1" s="172" t="s">
        <v>52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4"/>
      <c r="AB1" s="4"/>
      <c r="AC1" s="4"/>
      <c r="AD1" s="4"/>
    </row>
    <row r="2" spans="1:30" s="1" customFormat="1" ht="15.6" customHeight="1" x14ac:dyDescent="0.3">
      <c r="A2" s="154" t="s">
        <v>74</v>
      </c>
      <c r="B2" s="160" t="s">
        <v>0</v>
      </c>
      <c r="C2" s="185" t="s">
        <v>41</v>
      </c>
      <c r="D2" s="186"/>
      <c r="E2" s="185" t="s">
        <v>53</v>
      </c>
      <c r="F2" s="187"/>
      <c r="G2" s="187"/>
      <c r="H2" s="187"/>
      <c r="I2" s="187"/>
      <c r="J2" s="187"/>
      <c r="K2" s="187"/>
      <c r="L2" s="187"/>
      <c r="M2" s="187"/>
      <c r="N2" s="186"/>
      <c r="O2" s="185" t="s">
        <v>41</v>
      </c>
      <c r="P2" s="186"/>
      <c r="Q2" s="185" t="s">
        <v>54</v>
      </c>
      <c r="R2" s="187"/>
      <c r="S2" s="187"/>
      <c r="T2" s="187"/>
      <c r="U2" s="187"/>
      <c r="V2" s="187"/>
      <c r="W2" s="187"/>
      <c r="X2" s="186"/>
      <c r="Y2" s="176" t="s">
        <v>45</v>
      </c>
      <c r="Z2" s="176" t="s">
        <v>46</v>
      </c>
      <c r="AA2" s="176" t="s">
        <v>42</v>
      </c>
      <c r="AB2" s="176" t="s">
        <v>76</v>
      </c>
      <c r="AC2" s="176" t="s">
        <v>77</v>
      </c>
      <c r="AD2" s="176" t="s">
        <v>78</v>
      </c>
    </row>
    <row r="3" spans="1:30" ht="15.6" customHeight="1" x14ac:dyDescent="0.3">
      <c r="A3" s="155"/>
      <c r="B3" s="161"/>
      <c r="C3" s="188">
        <v>0</v>
      </c>
      <c r="D3" s="189"/>
      <c r="E3" s="179">
        <v>1</v>
      </c>
      <c r="F3" s="179"/>
      <c r="G3" s="179">
        <v>2</v>
      </c>
      <c r="H3" s="179"/>
      <c r="I3" s="179">
        <v>3</v>
      </c>
      <c r="J3" s="179"/>
      <c r="K3" s="179">
        <v>4</v>
      </c>
      <c r="L3" s="179"/>
      <c r="M3" s="179">
        <v>5</v>
      </c>
      <c r="N3" s="179"/>
      <c r="O3" s="179">
        <v>0</v>
      </c>
      <c r="P3" s="179"/>
      <c r="Q3" s="179">
        <v>1</v>
      </c>
      <c r="R3" s="179"/>
      <c r="S3" s="179">
        <v>2</v>
      </c>
      <c r="T3" s="179"/>
      <c r="U3" s="179">
        <v>3</v>
      </c>
      <c r="V3" s="179"/>
      <c r="W3" s="179">
        <v>4</v>
      </c>
      <c r="X3" s="179"/>
      <c r="Y3" s="177"/>
      <c r="Z3" s="177"/>
      <c r="AA3" s="177"/>
      <c r="AB3" s="177"/>
      <c r="AC3" s="177"/>
      <c r="AD3" s="177"/>
    </row>
    <row r="4" spans="1:30" ht="15.6" customHeight="1" x14ac:dyDescent="0.3">
      <c r="A4" s="155"/>
      <c r="B4" s="161"/>
      <c r="C4" s="183" t="s">
        <v>22</v>
      </c>
      <c r="D4" s="179"/>
      <c r="E4" s="179" t="s">
        <v>23</v>
      </c>
      <c r="F4" s="179"/>
      <c r="G4" s="179" t="s">
        <v>24</v>
      </c>
      <c r="H4" s="179"/>
      <c r="I4" s="181" t="s">
        <v>25</v>
      </c>
      <c r="J4" s="184"/>
      <c r="K4" s="179" t="s">
        <v>26</v>
      </c>
      <c r="L4" s="179"/>
      <c r="M4" s="179" t="s">
        <v>27</v>
      </c>
      <c r="N4" s="179"/>
      <c r="O4" s="179" t="s">
        <v>28</v>
      </c>
      <c r="P4" s="180"/>
      <c r="Q4" s="179" t="s">
        <v>29</v>
      </c>
      <c r="R4" s="179"/>
      <c r="S4" s="181" t="s">
        <v>30</v>
      </c>
      <c r="T4" s="182"/>
      <c r="U4" s="179" t="s">
        <v>31</v>
      </c>
      <c r="V4" s="179"/>
      <c r="W4" s="181" t="s">
        <v>32</v>
      </c>
      <c r="X4" s="182"/>
      <c r="Y4" s="177"/>
      <c r="Z4" s="177"/>
      <c r="AA4" s="177"/>
      <c r="AB4" s="177"/>
      <c r="AC4" s="177"/>
      <c r="AD4" s="177"/>
    </row>
    <row r="5" spans="1:30" ht="46.95" customHeight="1" x14ac:dyDescent="0.3">
      <c r="A5" s="156"/>
      <c r="B5" s="162"/>
      <c r="C5" s="27" t="s">
        <v>37</v>
      </c>
      <c r="D5" s="28" t="s">
        <v>38</v>
      </c>
      <c r="E5" s="27" t="s">
        <v>37</v>
      </c>
      <c r="F5" s="28" t="s">
        <v>38</v>
      </c>
      <c r="G5" s="27" t="s">
        <v>37</v>
      </c>
      <c r="H5" s="28" t="s">
        <v>38</v>
      </c>
      <c r="I5" s="27" t="s">
        <v>37</v>
      </c>
      <c r="J5" s="28" t="s">
        <v>38</v>
      </c>
      <c r="K5" s="27" t="s">
        <v>37</v>
      </c>
      <c r="L5" s="28" t="s">
        <v>38</v>
      </c>
      <c r="M5" s="27" t="s">
        <v>39</v>
      </c>
      <c r="N5" s="30" t="s">
        <v>38</v>
      </c>
      <c r="O5" s="29" t="s">
        <v>37</v>
      </c>
      <c r="P5" s="28" t="s">
        <v>38</v>
      </c>
      <c r="Q5" s="27" t="s">
        <v>37</v>
      </c>
      <c r="R5" s="28" t="s">
        <v>38</v>
      </c>
      <c r="S5" s="27" t="s">
        <v>37</v>
      </c>
      <c r="T5" s="28" t="s">
        <v>38</v>
      </c>
      <c r="U5" s="27" t="s">
        <v>37</v>
      </c>
      <c r="V5" s="28" t="s">
        <v>38</v>
      </c>
      <c r="W5" s="27" t="s">
        <v>37</v>
      </c>
      <c r="X5" s="28" t="s">
        <v>38</v>
      </c>
      <c r="Y5" s="178"/>
      <c r="Z5" s="178"/>
      <c r="AA5" s="178"/>
      <c r="AB5" s="178"/>
      <c r="AC5" s="178"/>
      <c r="AD5" s="178"/>
    </row>
    <row r="6" spans="1:30" hidden="1" x14ac:dyDescent="0.3">
      <c r="A6" s="9" t="s">
        <v>66</v>
      </c>
      <c r="B6" s="10">
        <v>45839</v>
      </c>
      <c r="C6" s="5">
        <v>14413</v>
      </c>
      <c r="D6" s="6">
        <f>IF(C7&lt;&gt;"",C7-C6,"")</f>
        <v>395</v>
      </c>
      <c r="E6" s="5">
        <v>99</v>
      </c>
      <c r="F6" s="6">
        <f>IF(E7&lt;&gt;"",E7-E6,"")</f>
        <v>74</v>
      </c>
      <c r="G6" s="5">
        <v>6083</v>
      </c>
      <c r="H6" s="6">
        <f t="shared" ref="H6:H14" si="0">IF(G7&lt;&gt;"",G7-G6,"")</f>
        <v>100</v>
      </c>
      <c r="I6" s="5">
        <v>2043</v>
      </c>
      <c r="J6" s="6">
        <f>IF(I7&lt;&gt;"",I7-I6,"")</f>
        <v>47</v>
      </c>
      <c r="K6" s="5">
        <v>4001</v>
      </c>
      <c r="L6" s="6">
        <f>IF(K7&lt;&gt;"",K7-K6,"")</f>
        <v>167</v>
      </c>
      <c r="M6" s="5">
        <v>150</v>
      </c>
      <c r="N6" s="12">
        <f t="shared" ref="N6:N14" si="1">IF(M7&lt;&gt;"",M7-M6,"")</f>
        <v>6</v>
      </c>
      <c r="O6" s="13">
        <v>6610</v>
      </c>
      <c r="P6" s="6">
        <f t="shared" ref="P6:P14" si="2">IF(O7&lt;&gt;"",O7-O6,"")</f>
        <v>212</v>
      </c>
      <c r="Q6" s="5">
        <v>685</v>
      </c>
      <c r="R6" s="6">
        <f t="shared" ref="R6:R35" si="3">IF(Q7&lt;&gt;"",Q7-Q6,"")</f>
        <v>20</v>
      </c>
      <c r="S6" s="5">
        <v>1112</v>
      </c>
      <c r="T6" s="6">
        <f t="shared" ref="T6:T14" si="4">IF(S7&lt;&gt;"",S7-S6,"")</f>
        <v>48</v>
      </c>
      <c r="U6" s="5">
        <v>0</v>
      </c>
      <c r="V6" s="6">
        <f t="shared" ref="V6:V35" si="5">IF(U7&lt;&gt;"",U7-U6,"")</f>
        <v>0</v>
      </c>
      <c r="W6" s="5">
        <v>87</v>
      </c>
      <c r="X6" s="6">
        <f t="shared" ref="X6:X14" si="6">IF(W7&lt;&gt;"",W7-W6,"")</f>
        <v>4</v>
      </c>
      <c r="Y6" s="7">
        <f>SUM(F6,H6,J6,L6,N6)</f>
        <v>394</v>
      </c>
      <c r="Z6" s="7">
        <f t="shared" ref="Z6:Z36" si="7">SUM(R6,T6,V6,X6)</f>
        <v>72</v>
      </c>
      <c r="AA6" s="7">
        <f t="shared" ref="AA6:AA36" si="8">SUM(F6,H6,J6,L6,N6,R6,T6,V6,X6)</f>
        <v>466</v>
      </c>
      <c r="AB6" s="17">
        <f>Y6-D6</f>
        <v>-1</v>
      </c>
      <c r="AC6" s="17">
        <f>Z6-P6</f>
        <v>-140</v>
      </c>
      <c r="AD6" s="17">
        <f>AA6-(D6+P6)</f>
        <v>-141</v>
      </c>
    </row>
    <row r="7" spans="1:30" hidden="1" x14ac:dyDescent="0.3">
      <c r="A7" s="9" t="s">
        <v>67</v>
      </c>
      <c r="B7" s="10">
        <v>45840</v>
      </c>
      <c r="C7" s="5">
        <v>14808</v>
      </c>
      <c r="D7" s="6">
        <f>IF(C8&lt;&gt;"",C8-C7,"")</f>
        <v>480</v>
      </c>
      <c r="E7" s="5">
        <v>173</v>
      </c>
      <c r="F7" s="6">
        <f>IF(E8&lt;&gt;"",E8-E7,"")</f>
        <v>77</v>
      </c>
      <c r="G7" s="5">
        <v>6183</v>
      </c>
      <c r="H7" s="6">
        <f t="shared" si="0"/>
        <v>187</v>
      </c>
      <c r="I7" s="5">
        <v>2090</v>
      </c>
      <c r="J7" s="6">
        <f>IF(I8&lt;&gt;"",I8-I7,"")</f>
        <v>45</v>
      </c>
      <c r="K7" s="5">
        <v>4168</v>
      </c>
      <c r="L7" s="6">
        <f>IF(K8&lt;&gt;"",K8-K7,"")</f>
        <v>141</v>
      </c>
      <c r="M7" s="5">
        <v>156</v>
      </c>
      <c r="N7" s="12">
        <f t="shared" si="1"/>
        <v>6</v>
      </c>
      <c r="O7" s="13">
        <v>6822</v>
      </c>
      <c r="P7" s="6">
        <f t="shared" si="2"/>
        <v>224</v>
      </c>
      <c r="Q7" s="5">
        <v>705</v>
      </c>
      <c r="R7" s="6">
        <f t="shared" si="3"/>
        <v>29</v>
      </c>
      <c r="S7" s="5">
        <v>1160</v>
      </c>
      <c r="T7" s="6">
        <f t="shared" si="4"/>
        <v>45</v>
      </c>
      <c r="U7" s="5">
        <v>0</v>
      </c>
      <c r="V7" s="6">
        <f t="shared" si="5"/>
        <v>0</v>
      </c>
      <c r="W7" s="5">
        <v>91</v>
      </c>
      <c r="X7" s="6">
        <f t="shared" si="6"/>
        <v>5</v>
      </c>
      <c r="Y7" s="7">
        <f t="shared" ref="Y7:Y36" si="9">SUM(F7,H7,J7,L7,N7)</f>
        <v>456</v>
      </c>
      <c r="Z7" s="7">
        <f t="shared" si="7"/>
        <v>79</v>
      </c>
      <c r="AA7" s="7">
        <f t="shared" si="8"/>
        <v>535</v>
      </c>
      <c r="AB7" s="17">
        <f t="shared" ref="AB7:AB36" si="10">Y7-D7</f>
        <v>-24</v>
      </c>
      <c r="AC7" s="17">
        <f t="shared" ref="AC7:AC37" si="11">Z7-P7</f>
        <v>-145</v>
      </c>
      <c r="AD7" s="17">
        <f t="shared" ref="AD7:AD36" si="12">AA7-(D7+P7)</f>
        <v>-169</v>
      </c>
    </row>
    <row r="8" spans="1:30" hidden="1" x14ac:dyDescent="0.3">
      <c r="A8" s="9" t="s">
        <v>68</v>
      </c>
      <c r="B8" s="10">
        <v>45841</v>
      </c>
      <c r="C8" s="5">
        <v>15288</v>
      </c>
      <c r="D8" s="6">
        <f t="shared" ref="D8:F12" si="13">IF(C9&lt;&gt;"",C9-C8,"")</f>
        <v>565</v>
      </c>
      <c r="E8" s="5">
        <v>250</v>
      </c>
      <c r="F8" s="6">
        <f t="shared" si="13"/>
        <v>88</v>
      </c>
      <c r="G8" s="5">
        <v>6370</v>
      </c>
      <c r="H8" s="6">
        <f t="shared" si="0"/>
        <v>219</v>
      </c>
      <c r="I8" s="5">
        <v>2135</v>
      </c>
      <c r="J8" s="6">
        <f t="shared" ref="J8:L9" si="14">IF(I9&lt;&gt;"",I9-I8,"")</f>
        <v>56</v>
      </c>
      <c r="K8" s="5">
        <v>4309</v>
      </c>
      <c r="L8" s="6">
        <f t="shared" si="14"/>
        <v>166</v>
      </c>
      <c r="M8" s="5">
        <v>162</v>
      </c>
      <c r="N8" s="12">
        <f t="shared" si="1"/>
        <v>4</v>
      </c>
      <c r="O8" s="13">
        <v>7046</v>
      </c>
      <c r="P8" s="6">
        <f t="shared" si="2"/>
        <v>276</v>
      </c>
      <c r="Q8" s="5">
        <v>734</v>
      </c>
      <c r="R8" s="6">
        <f t="shared" si="3"/>
        <v>36</v>
      </c>
      <c r="S8" s="5">
        <v>1205</v>
      </c>
      <c r="T8" s="6">
        <f t="shared" si="4"/>
        <v>57</v>
      </c>
      <c r="U8" s="5">
        <v>0</v>
      </c>
      <c r="V8" s="6">
        <f t="shared" si="5"/>
        <v>0</v>
      </c>
      <c r="W8" s="5">
        <v>96</v>
      </c>
      <c r="X8" s="6">
        <f t="shared" si="6"/>
        <v>4</v>
      </c>
      <c r="Y8" s="7">
        <f t="shared" si="9"/>
        <v>533</v>
      </c>
      <c r="Z8" s="7">
        <f>SUM(R8,T8,V8,X8)</f>
        <v>97</v>
      </c>
      <c r="AA8" s="7">
        <f t="shared" si="8"/>
        <v>630</v>
      </c>
      <c r="AB8" s="17">
        <f t="shared" si="10"/>
        <v>-32</v>
      </c>
      <c r="AC8" s="17">
        <f t="shared" si="11"/>
        <v>-179</v>
      </c>
      <c r="AD8" s="17">
        <f t="shared" si="12"/>
        <v>-211</v>
      </c>
    </row>
    <row r="9" spans="1:30" hidden="1" x14ac:dyDescent="0.3">
      <c r="A9" s="9" t="s">
        <v>69</v>
      </c>
      <c r="B9" s="10">
        <v>45842</v>
      </c>
      <c r="C9" s="5">
        <v>15853</v>
      </c>
      <c r="D9" s="6">
        <f t="shared" si="13"/>
        <v>357</v>
      </c>
      <c r="E9" s="5">
        <v>338</v>
      </c>
      <c r="F9" s="6">
        <f t="shared" si="13"/>
        <v>53</v>
      </c>
      <c r="G9" s="5">
        <v>6589</v>
      </c>
      <c r="H9" s="6">
        <f t="shared" si="0"/>
        <v>102</v>
      </c>
      <c r="I9" s="5">
        <v>2191</v>
      </c>
      <c r="J9" s="6">
        <f t="shared" si="14"/>
        <v>13</v>
      </c>
      <c r="K9" s="5">
        <v>4475</v>
      </c>
      <c r="L9" s="6">
        <f t="shared" si="14"/>
        <v>44</v>
      </c>
      <c r="M9" s="5">
        <v>166</v>
      </c>
      <c r="N9" s="12">
        <f t="shared" si="1"/>
        <v>15</v>
      </c>
      <c r="O9" s="13">
        <v>7322</v>
      </c>
      <c r="P9" s="6">
        <f t="shared" si="2"/>
        <v>193</v>
      </c>
      <c r="Q9" s="5">
        <v>770</v>
      </c>
      <c r="R9" s="6">
        <f t="shared" si="3"/>
        <v>20</v>
      </c>
      <c r="S9" s="5">
        <v>1262</v>
      </c>
      <c r="T9" s="6">
        <f t="shared" si="4"/>
        <v>30</v>
      </c>
      <c r="U9" s="5">
        <v>0</v>
      </c>
      <c r="V9" s="6">
        <f t="shared" si="5"/>
        <v>0</v>
      </c>
      <c r="W9" s="5">
        <v>100</v>
      </c>
      <c r="X9" s="6">
        <f t="shared" si="6"/>
        <v>5</v>
      </c>
      <c r="Y9" s="7">
        <f t="shared" si="9"/>
        <v>227</v>
      </c>
      <c r="Z9" s="7">
        <f t="shared" si="7"/>
        <v>55</v>
      </c>
      <c r="AA9" s="7">
        <f t="shared" si="8"/>
        <v>282</v>
      </c>
      <c r="AB9" s="17">
        <f t="shared" si="10"/>
        <v>-130</v>
      </c>
      <c r="AC9" s="17">
        <f>Z9-P9</f>
        <v>-138</v>
      </c>
      <c r="AD9" s="17">
        <f t="shared" si="12"/>
        <v>-268</v>
      </c>
    </row>
    <row r="10" spans="1:30" hidden="1" x14ac:dyDescent="0.3">
      <c r="A10" s="9" t="s">
        <v>70</v>
      </c>
      <c r="B10" s="10">
        <v>45843</v>
      </c>
      <c r="C10" s="5">
        <v>16210</v>
      </c>
      <c r="D10" s="6">
        <f>IF(C11&lt;&gt;"",C11-C10,"")</f>
        <v>313</v>
      </c>
      <c r="E10" s="5">
        <v>391</v>
      </c>
      <c r="F10" s="6">
        <f>IF(E11&lt;&gt;"",E11-E10,"")</f>
        <v>49</v>
      </c>
      <c r="G10" s="5">
        <v>6691</v>
      </c>
      <c r="H10" s="6">
        <f t="shared" si="0"/>
        <v>128</v>
      </c>
      <c r="I10" s="5">
        <v>2204</v>
      </c>
      <c r="J10" s="6">
        <f>IF(I11&lt;&gt;"",I11-I10,"")</f>
        <v>52</v>
      </c>
      <c r="K10" s="5">
        <v>4519</v>
      </c>
      <c r="L10" s="6">
        <f>IF(K11&lt;&gt;"",K11-K10,"")</f>
        <v>161</v>
      </c>
      <c r="M10" s="5">
        <v>181</v>
      </c>
      <c r="N10" s="12">
        <f t="shared" si="1"/>
        <v>10</v>
      </c>
      <c r="O10" s="13">
        <v>7515</v>
      </c>
      <c r="P10" s="6">
        <f t="shared" si="2"/>
        <v>132</v>
      </c>
      <c r="Q10" s="5">
        <v>790</v>
      </c>
      <c r="R10" s="6">
        <f t="shared" si="3"/>
        <v>23</v>
      </c>
      <c r="S10" s="5">
        <v>1292</v>
      </c>
      <c r="T10" s="6">
        <f t="shared" si="4"/>
        <v>31</v>
      </c>
      <c r="U10" s="5">
        <v>0</v>
      </c>
      <c r="V10" s="6">
        <f t="shared" si="5"/>
        <v>0</v>
      </c>
      <c r="W10" s="5">
        <v>105</v>
      </c>
      <c r="X10" s="6">
        <f t="shared" si="6"/>
        <v>8</v>
      </c>
      <c r="Y10" s="7">
        <f t="shared" si="9"/>
        <v>400</v>
      </c>
      <c r="Z10" s="7">
        <f t="shared" si="7"/>
        <v>62</v>
      </c>
      <c r="AA10" s="7">
        <f t="shared" si="8"/>
        <v>462</v>
      </c>
      <c r="AB10" s="17">
        <f t="shared" si="10"/>
        <v>87</v>
      </c>
      <c r="AC10" s="17">
        <f t="shared" si="11"/>
        <v>-70</v>
      </c>
      <c r="AD10" s="17">
        <f t="shared" si="12"/>
        <v>17</v>
      </c>
    </row>
    <row r="11" spans="1:30" hidden="1" x14ac:dyDescent="0.3">
      <c r="A11" s="9" t="s">
        <v>71</v>
      </c>
      <c r="B11" s="10">
        <v>45844</v>
      </c>
      <c r="C11" s="5">
        <v>16523</v>
      </c>
      <c r="D11" s="6">
        <f t="shared" si="13"/>
        <v>0</v>
      </c>
      <c r="E11" s="5">
        <v>440</v>
      </c>
      <c r="F11" s="6">
        <f t="shared" si="13"/>
        <v>0</v>
      </c>
      <c r="G11" s="5">
        <v>6819</v>
      </c>
      <c r="H11" s="6">
        <f t="shared" si="0"/>
        <v>0</v>
      </c>
      <c r="I11" s="5">
        <v>2256</v>
      </c>
      <c r="J11" s="6">
        <f t="shared" ref="J11:L12" si="15">IF(I12&lt;&gt;"",I12-I11,"")</f>
        <v>0</v>
      </c>
      <c r="K11" s="5">
        <v>4680</v>
      </c>
      <c r="L11" s="6">
        <f t="shared" si="15"/>
        <v>0</v>
      </c>
      <c r="M11" s="5">
        <v>191</v>
      </c>
      <c r="N11" s="12">
        <f t="shared" si="1"/>
        <v>0</v>
      </c>
      <c r="O11" s="13">
        <v>7647</v>
      </c>
      <c r="P11" s="6">
        <f t="shared" si="2"/>
        <v>0</v>
      </c>
      <c r="Q11" s="5">
        <v>813</v>
      </c>
      <c r="R11" s="6">
        <f t="shared" si="3"/>
        <v>0</v>
      </c>
      <c r="S11" s="5">
        <v>1323</v>
      </c>
      <c r="T11" s="6">
        <f t="shared" si="4"/>
        <v>0</v>
      </c>
      <c r="U11" s="5">
        <v>0</v>
      </c>
      <c r="V11" s="6">
        <f t="shared" si="5"/>
        <v>0</v>
      </c>
      <c r="W11" s="5">
        <v>113</v>
      </c>
      <c r="X11" s="6">
        <f t="shared" si="6"/>
        <v>0</v>
      </c>
      <c r="Y11" s="7">
        <f t="shared" si="9"/>
        <v>0</v>
      </c>
      <c r="Z11" s="7">
        <f t="shared" si="7"/>
        <v>0</v>
      </c>
      <c r="AA11" s="7">
        <f>SUM(F11,H11,J11,L11,N11,R11,T11,V11,X11)</f>
        <v>0</v>
      </c>
      <c r="AB11" s="17">
        <f t="shared" si="10"/>
        <v>0</v>
      </c>
      <c r="AC11" s="17">
        <f t="shared" si="11"/>
        <v>0</v>
      </c>
      <c r="AD11" s="17">
        <f t="shared" si="12"/>
        <v>0</v>
      </c>
    </row>
    <row r="12" spans="1:30" hidden="1" x14ac:dyDescent="0.3">
      <c r="A12" s="9" t="s">
        <v>72</v>
      </c>
      <c r="B12" s="10">
        <v>45845</v>
      </c>
      <c r="C12" s="5">
        <v>16523</v>
      </c>
      <c r="D12" s="6">
        <f t="shared" si="13"/>
        <v>640</v>
      </c>
      <c r="E12" s="5">
        <v>440</v>
      </c>
      <c r="F12" s="6">
        <f t="shared" si="13"/>
        <v>95</v>
      </c>
      <c r="G12" s="5">
        <v>6819</v>
      </c>
      <c r="H12" s="6">
        <f t="shared" si="0"/>
        <v>247</v>
      </c>
      <c r="I12" s="5">
        <v>2256</v>
      </c>
      <c r="J12" s="6">
        <f t="shared" si="15"/>
        <v>59</v>
      </c>
      <c r="K12" s="5">
        <v>4680</v>
      </c>
      <c r="L12" s="6">
        <f t="shared" si="15"/>
        <v>195</v>
      </c>
      <c r="M12" s="5">
        <v>191</v>
      </c>
      <c r="N12" s="12">
        <f t="shared" si="1"/>
        <v>6</v>
      </c>
      <c r="O12" s="13">
        <v>7647</v>
      </c>
      <c r="P12" s="6">
        <f t="shared" si="2"/>
        <v>291</v>
      </c>
      <c r="Q12" s="5">
        <v>813</v>
      </c>
      <c r="R12" s="6">
        <f t="shared" si="3"/>
        <v>45</v>
      </c>
      <c r="S12" s="5">
        <v>1323</v>
      </c>
      <c r="T12" s="6">
        <f t="shared" si="4"/>
        <v>62</v>
      </c>
      <c r="U12" s="5">
        <v>0</v>
      </c>
      <c r="V12" s="6">
        <f t="shared" si="5"/>
        <v>0</v>
      </c>
      <c r="W12" s="5">
        <v>113</v>
      </c>
      <c r="X12" s="6">
        <f t="shared" si="6"/>
        <v>5</v>
      </c>
      <c r="Y12" s="7">
        <f t="shared" si="9"/>
        <v>602</v>
      </c>
      <c r="Z12" s="7">
        <f t="shared" si="7"/>
        <v>112</v>
      </c>
      <c r="AA12" s="7">
        <f t="shared" si="8"/>
        <v>714</v>
      </c>
      <c r="AB12" s="17">
        <f t="shared" si="10"/>
        <v>-38</v>
      </c>
      <c r="AC12" s="17">
        <f t="shared" si="11"/>
        <v>-179</v>
      </c>
      <c r="AD12" s="17">
        <f t="shared" si="12"/>
        <v>-217</v>
      </c>
    </row>
    <row r="13" spans="1:30" hidden="1" x14ac:dyDescent="0.3">
      <c r="A13" s="9" t="s">
        <v>66</v>
      </c>
      <c r="B13" s="10">
        <v>45846</v>
      </c>
      <c r="C13" s="5">
        <v>17163</v>
      </c>
      <c r="D13" s="6">
        <f>IF(C14&lt;&gt;"",C14-C13,"")</f>
        <v>598</v>
      </c>
      <c r="E13" s="5">
        <v>535</v>
      </c>
      <c r="F13" s="6">
        <f>IF(E14&lt;&gt;"",E14-E13,"")</f>
        <v>99</v>
      </c>
      <c r="G13" s="5">
        <v>7066</v>
      </c>
      <c r="H13" s="6">
        <f t="shared" si="0"/>
        <v>226</v>
      </c>
      <c r="I13" s="5">
        <v>2315</v>
      </c>
      <c r="J13" s="6">
        <f>IF(I14&lt;&gt;"",I14-I13,"")</f>
        <v>51</v>
      </c>
      <c r="K13" s="5">
        <v>4875</v>
      </c>
      <c r="L13" s="6">
        <f>IF(K14&lt;&gt;"",K14-K13,"")</f>
        <v>181</v>
      </c>
      <c r="M13" s="5">
        <v>197</v>
      </c>
      <c r="N13" s="12">
        <f t="shared" si="1"/>
        <v>8</v>
      </c>
      <c r="O13" s="13">
        <v>7938</v>
      </c>
      <c r="P13" s="6">
        <f t="shared" si="2"/>
        <v>249</v>
      </c>
      <c r="Q13" s="5">
        <v>858</v>
      </c>
      <c r="R13" s="6">
        <f t="shared" si="3"/>
        <v>39</v>
      </c>
      <c r="S13" s="5">
        <v>1385</v>
      </c>
      <c r="T13" s="6">
        <f t="shared" si="4"/>
        <v>47</v>
      </c>
      <c r="U13" s="5">
        <v>0</v>
      </c>
      <c r="V13" s="6">
        <f t="shared" si="5"/>
        <v>0</v>
      </c>
      <c r="W13" s="5">
        <v>118</v>
      </c>
      <c r="X13" s="6">
        <f t="shared" si="6"/>
        <v>5</v>
      </c>
      <c r="Y13" s="7">
        <f t="shared" si="9"/>
        <v>565</v>
      </c>
      <c r="Z13" s="7">
        <f t="shared" si="7"/>
        <v>91</v>
      </c>
      <c r="AA13" s="7">
        <f t="shared" si="8"/>
        <v>656</v>
      </c>
      <c r="AB13" s="17">
        <f t="shared" si="10"/>
        <v>-33</v>
      </c>
      <c r="AC13" s="17">
        <f t="shared" si="11"/>
        <v>-158</v>
      </c>
      <c r="AD13" s="17">
        <f t="shared" si="12"/>
        <v>-191</v>
      </c>
    </row>
    <row r="14" spans="1:30" hidden="1" x14ac:dyDescent="0.3">
      <c r="A14" s="9" t="s">
        <v>67</v>
      </c>
      <c r="B14" s="10">
        <v>45847</v>
      </c>
      <c r="C14" s="5">
        <v>17761</v>
      </c>
      <c r="D14" s="6">
        <f>IF(C15&lt;&gt;"",C15-C14,"")</f>
        <v>699</v>
      </c>
      <c r="E14" s="5">
        <v>634</v>
      </c>
      <c r="F14" s="6">
        <f>IF(E15&lt;&gt;"",E15-E14,"")</f>
        <v>120</v>
      </c>
      <c r="G14" s="5">
        <v>7292</v>
      </c>
      <c r="H14" s="6">
        <f t="shared" si="0"/>
        <v>241</v>
      </c>
      <c r="I14" s="5">
        <v>2366</v>
      </c>
      <c r="J14" s="6">
        <f>IF(I15&lt;&gt;"",I15-I14,"")</f>
        <v>54</v>
      </c>
      <c r="K14" s="5">
        <v>5056</v>
      </c>
      <c r="L14" s="6">
        <f>IF(K15&lt;&gt;"",K15-K14,"")</f>
        <v>238</v>
      </c>
      <c r="M14" s="5">
        <v>205</v>
      </c>
      <c r="N14" s="12">
        <f t="shared" si="1"/>
        <v>9</v>
      </c>
      <c r="O14" s="13">
        <v>8187</v>
      </c>
      <c r="P14" s="6">
        <f t="shared" si="2"/>
        <v>287</v>
      </c>
      <c r="Q14" s="5">
        <v>897</v>
      </c>
      <c r="R14" s="6">
        <f t="shared" si="3"/>
        <v>44</v>
      </c>
      <c r="S14" s="5">
        <v>1432</v>
      </c>
      <c r="T14" s="6">
        <f t="shared" si="4"/>
        <v>46</v>
      </c>
      <c r="U14" s="5">
        <v>0</v>
      </c>
      <c r="V14" s="6">
        <f t="shared" si="5"/>
        <v>0</v>
      </c>
      <c r="W14" s="5">
        <v>123</v>
      </c>
      <c r="X14" s="6">
        <f t="shared" si="6"/>
        <v>8</v>
      </c>
      <c r="Y14" s="7">
        <f t="shared" si="9"/>
        <v>662</v>
      </c>
      <c r="Z14" s="7">
        <f t="shared" si="7"/>
        <v>98</v>
      </c>
      <c r="AA14" s="7">
        <f t="shared" si="8"/>
        <v>760</v>
      </c>
      <c r="AB14" s="17">
        <f t="shared" si="10"/>
        <v>-37</v>
      </c>
      <c r="AC14" s="17">
        <f t="shared" si="11"/>
        <v>-189</v>
      </c>
      <c r="AD14" s="17">
        <f t="shared" si="12"/>
        <v>-226</v>
      </c>
    </row>
    <row r="15" spans="1:30" hidden="1" x14ac:dyDescent="0.3">
      <c r="A15" s="9" t="s">
        <v>68</v>
      </c>
      <c r="B15" s="10">
        <v>45848</v>
      </c>
      <c r="C15" s="5">
        <v>18460</v>
      </c>
      <c r="D15" s="6">
        <f t="shared" ref="D15:F30" si="16">IF(C16&lt;&gt;"",C16-C15,"")</f>
        <v>630</v>
      </c>
      <c r="E15" s="5">
        <v>754</v>
      </c>
      <c r="F15" s="6">
        <f t="shared" si="16"/>
        <v>115</v>
      </c>
      <c r="G15" s="5">
        <v>7533</v>
      </c>
      <c r="H15" s="6">
        <f t="shared" ref="H15:H35" si="17">IF(G16&lt;&gt;"",G16-G15,"")</f>
        <v>246</v>
      </c>
      <c r="I15" s="5">
        <v>2420</v>
      </c>
      <c r="J15" s="6">
        <f t="shared" ref="J15:L30" si="18">IF(I16&lt;&gt;"",I16-I15,"")</f>
        <v>31</v>
      </c>
      <c r="K15" s="5">
        <v>5294</v>
      </c>
      <c r="L15" s="6">
        <f t="shared" si="18"/>
        <v>198</v>
      </c>
      <c r="M15" s="5">
        <v>214</v>
      </c>
      <c r="N15" s="12">
        <f t="shared" ref="N15:N35" si="19">IF(M16&lt;&gt;"",M16-M15,"")</f>
        <v>12</v>
      </c>
      <c r="O15" s="13">
        <v>8474</v>
      </c>
      <c r="P15" s="6">
        <f t="shared" ref="P15:P35" si="20">IF(O16&lt;&gt;"",O16-O15,"")</f>
        <v>210</v>
      </c>
      <c r="Q15" s="5">
        <v>941</v>
      </c>
      <c r="R15" s="6">
        <f t="shared" si="3"/>
        <v>30</v>
      </c>
      <c r="S15" s="5">
        <v>1478</v>
      </c>
      <c r="T15" s="6">
        <f t="shared" ref="T15:T35" si="21">IF(S16&lt;&gt;"",S16-S15,"")</f>
        <v>24</v>
      </c>
      <c r="U15" s="5">
        <v>0</v>
      </c>
      <c r="V15" s="6">
        <f t="shared" si="5"/>
        <v>0</v>
      </c>
      <c r="W15" s="5">
        <v>131</v>
      </c>
      <c r="X15" s="6">
        <f t="shared" ref="X15:X35" si="22">IF(W16&lt;&gt;"",W16-W15,"")</f>
        <v>4</v>
      </c>
      <c r="Y15" s="7">
        <f t="shared" si="9"/>
        <v>602</v>
      </c>
      <c r="Z15" s="7">
        <f t="shared" si="7"/>
        <v>58</v>
      </c>
      <c r="AA15" s="7">
        <f t="shared" si="8"/>
        <v>660</v>
      </c>
      <c r="AB15" s="17">
        <f t="shared" si="10"/>
        <v>-28</v>
      </c>
      <c r="AC15" s="17">
        <f t="shared" si="11"/>
        <v>-152</v>
      </c>
      <c r="AD15" s="17">
        <f t="shared" si="12"/>
        <v>-180</v>
      </c>
    </row>
    <row r="16" spans="1:30" hidden="1" x14ac:dyDescent="0.3">
      <c r="A16" s="9" t="s">
        <v>69</v>
      </c>
      <c r="B16" s="10">
        <v>45849</v>
      </c>
      <c r="C16" s="5">
        <v>19090</v>
      </c>
      <c r="D16" s="6">
        <f t="shared" si="16"/>
        <v>757</v>
      </c>
      <c r="E16" s="5">
        <v>869</v>
      </c>
      <c r="F16" s="6">
        <f t="shared" si="16"/>
        <v>124</v>
      </c>
      <c r="G16" s="5">
        <v>7779</v>
      </c>
      <c r="H16" s="6">
        <f t="shared" si="17"/>
        <v>272</v>
      </c>
      <c r="I16" s="5">
        <v>2451</v>
      </c>
      <c r="J16" s="6">
        <f t="shared" si="18"/>
        <v>55</v>
      </c>
      <c r="K16" s="5">
        <v>5492</v>
      </c>
      <c r="L16" s="6">
        <f t="shared" si="18"/>
        <v>252</v>
      </c>
      <c r="M16" s="5">
        <v>226</v>
      </c>
      <c r="N16" s="12">
        <f t="shared" si="19"/>
        <v>11</v>
      </c>
      <c r="O16" s="13">
        <v>8684</v>
      </c>
      <c r="P16" s="6">
        <f t="shared" si="20"/>
        <v>260</v>
      </c>
      <c r="Q16" s="5">
        <v>971</v>
      </c>
      <c r="R16" s="6">
        <f t="shared" si="3"/>
        <v>40</v>
      </c>
      <c r="S16" s="5">
        <v>1502</v>
      </c>
      <c r="T16" s="6">
        <f t="shared" si="21"/>
        <v>39</v>
      </c>
      <c r="U16" s="5">
        <v>0</v>
      </c>
      <c r="V16" s="6">
        <f t="shared" si="5"/>
        <v>0</v>
      </c>
      <c r="W16" s="5">
        <v>135</v>
      </c>
      <c r="X16" s="6">
        <f t="shared" si="22"/>
        <v>6</v>
      </c>
      <c r="Y16" s="7">
        <f t="shared" si="9"/>
        <v>714</v>
      </c>
      <c r="Z16" s="7">
        <f t="shared" si="7"/>
        <v>85</v>
      </c>
      <c r="AA16" s="7">
        <f t="shared" si="8"/>
        <v>799</v>
      </c>
      <c r="AB16" s="17">
        <f t="shared" si="10"/>
        <v>-43</v>
      </c>
      <c r="AC16" s="17">
        <f t="shared" si="11"/>
        <v>-175</v>
      </c>
      <c r="AD16" s="17">
        <f t="shared" si="12"/>
        <v>-218</v>
      </c>
    </row>
    <row r="17" spans="1:30" hidden="1" x14ac:dyDescent="0.3">
      <c r="A17" s="9" t="s">
        <v>70</v>
      </c>
      <c r="B17" s="10">
        <v>45850</v>
      </c>
      <c r="C17" s="5">
        <v>19847</v>
      </c>
      <c r="D17" s="6">
        <f t="shared" si="16"/>
        <v>862</v>
      </c>
      <c r="E17" s="5">
        <v>993</v>
      </c>
      <c r="F17" s="6">
        <f t="shared" si="16"/>
        <v>135</v>
      </c>
      <c r="G17" s="5">
        <v>8051</v>
      </c>
      <c r="H17" s="6">
        <f t="shared" si="17"/>
        <v>331</v>
      </c>
      <c r="I17" s="5">
        <v>2506</v>
      </c>
      <c r="J17" s="6">
        <f t="shared" si="18"/>
        <v>63</v>
      </c>
      <c r="K17" s="5">
        <v>5744</v>
      </c>
      <c r="L17" s="6">
        <f t="shared" si="18"/>
        <v>274</v>
      </c>
      <c r="M17" s="5">
        <v>237</v>
      </c>
      <c r="N17" s="12">
        <f t="shared" si="19"/>
        <v>14</v>
      </c>
      <c r="O17" s="13">
        <v>8944</v>
      </c>
      <c r="P17" s="6">
        <f t="shared" si="20"/>
        <v>302</v>
      </c>
      <c r="Q17" s="5">
        <v>1011</v>
      </c>
      <c r="R17" s="6">
        <f t="shared" si="3"/>
        <v>48</v>
      </c>
      <c r="S17" s="5">
        <v>1541</v>
      </c>
      <c r="T17" s="6">
        <f t="shared" si="21"/>
        <v>50</v>
      </c>
      <c r="U17" s="5">
        <v>0</v>
      </c>
      <c r="V17" s="6">
        <f t="shared" si="5"/>
        <v>0</v>
      </c>
      <c r="W17" s="5">
        <v>141</v>
      </c>
      <c r="X17" s="6">
        <f>IF(W18&lt;&gt;"",W18-W17,"")</f>
        <v>6</v>
      </c>
      <c r="Y17" s="7">
        <f t="shared" si="9"/>
        <v>817</v>
      </c>
      <c r="Z17" s="7">
        <f t="shared" si="7"/>
        <v>104</v>
      </c>
      <c r="AA17" s="7">
        <f t="shared" si="8"/>
        <v>921</v>
      </c>
      <c r="AB17" s="17">
        <f t="shared" si="10"/>
        <v>-45</v>
      </c>
      <c r="AC17" s="17">
        <f t="shared" si="11"/>
        <v>-198</v>
      </c>
      <c r="AD17" s="17">
        <f t="shared" si="12"/>
        <v>-243</v>
      </c>
    </row>
    <row r="18" spans="1:30" hidden="1" x14ac:dyDescent="0.3">
      <c r="A18" s="9" t="s">
        <v>71</v>
      </c>
      <c r="B18" s="10">
        <v>45851</v>
      </c>
      <c r="C18" s="5">
        <v>20709</v>
      </c>
      <c r="D18" s="6">
        <f t="shared" si="16"/>
        <v>0</v>
      </c>
      <c r="E18" s="5">
        <v>1128</v>
      </c>
      <c r="F18" s="6">
        <f t="shared" si="16"/>
        <v>0</v>
      </c>
      <c r="G18" s="5">
        <v>8382</v>
      </c>
      <c r="H18" s="6">
        <f t="shared" si="17"/>
        <v>0</v>
      </c>
      <c r="I18" s="5">
        <v>2569</v>
      </c>
      <c r="J18" s="6">
        <f t="shared" si="18"/>
        <v>0</v>
      </c>
      <c r="K18" s="5">
        <v>6018</v>
      </c>
      <c r="L18" s="6">
        <f t="shared" si="18"/>
        <v>0</v>
      </c>
      <c r="M18" s="5">
        <v>251</v>
      </c>
      <c r="N18" s="12">
        <f t="shared" si="19"/>
        <v>0</v>
      </c>
      <c r="O18" s="13">
        <v>9246</v>
      </c>
      <c r="P18" s="6">
        <f t="shared" si="20"/>
        <v>0</v>
      </c>
      <c r="Q18" s="5">
        <v>1059</v>
      </c>
      <c r="R18" s="6">
        <f t="shared" si="3"/>
        <v>0</v>
      </c>
      <c r="S18" s="5">
        <v>1591</v>
      </c>
      <c r="T18" s="6">
        <f t="shared" si="21"/>
        <v>0</v>
      </c>
      <c r="U18" s="5">
        <v>0</v>
      </c>
      <c r="V18" s="6">
        <f t="shared" si="5"/>
        <v>0</v>
      </c>
      <c r="W18" s="5">
        <v>147</v>
      </c>
      <c r="X18" s="6">
        <f t="shared" si="22"/>
        <v>0</v>
      </c>
      <c r="Y18" s="7">
        <f t="shared" si="9"/>
        <v>0</v>
      </c>
      <c r="Z18" s="7">
        <f t="shared" si="7"/>
        <v>0</v>
      </c>
      <c r="AA18" s="7">
        <f t="shared" si="8"/>
        <v>0</v>
      </c>
      <c r="AB18" s="17">
        <f t="shared" si="10"/>
        <v>0</v>
      </c>
      <c r="AC18" s="17">
        <f t="shared" si="11"/>
        <v>0</v>
      </c>
      <c r="AD18" s="17">
        <f t="shared" si="12"/>
        <v>0</v>
      </c>
    </row>
    <row r="19" spans="1:30" hidden="1" x14ac:dyDescent="0.3">
      <c r="A19" s="9" t="s">
        <v>72</v>
      </c>
      <c r="B19" s="10">
        <v>45852</v>
      </c>
      <c r="C19" s="5">
        <v>20709</v>
      </c>
      <c r="D19" s="6">
        <f t="shared" si="16"/>
        <v>616</v>
      </c>
      <c r="E19" s="5">
        <v>1128</v>
      </c>
      <c r="F19" s="6">
        <f t="shared" si="16"/>
        <v>114</v>
      </c>
      <c r="G19" s="5">
        <v>8382</v>
      </c>
      <c r="H19" s="6">
        <f t="shared" si="17"/>
        <v>214</v>
      </c>
      <c r="I19" s="5">
        <v>2569</v>
      </c>
      <c r="J19" s="6">
        <f t="shared" si="18"/>
        <v>44</v>
      </c>
      <c r="K19" s="5">
        <v>6018</v>
      </c>
      <c r="L19" s="6">
        <f t="shared" si="18"/>
        <v>204</v>
      </c>
      <c r="M19" s="5">
        <v>251</v>
      </c>
      <c r="N19" s="12">
        <f t="shared" si="19"/>
        <v>11</v>
      </c>
      <c r="O19" s="13">
        <v>9246</v>
      </c>
      <c r="P19" s="6">
        <f t="shared" si="20"/>
        <v>246</v>
      </c>
      <c r="Q19" s="5">
        <v>1059</v>
      </c>
      <c r="R19" s="6">
        <f t="shared" si="3"/>
        <v>35</v>
      </c>
      <c r="S19" s="5">
        <v>1591</v>
      </c>
      <c r="T19" s="6">
        <f t="shared" si="21"/>
        <v>29</v>
      </c>
      <c r="U19" s="5">
        <v>0</v>
      </c>
      <c r="V19" s="6">
        <f t="shared" si="5"/>
        <v>0</v>
      </c>
      <c r="W19" s="5">
        <v>147</v>
      </c>
      <c r="X19" s="6">
        <f t="shared" si="22"/>
        <v>7</v>
      </c>
      <c r="Y19" s="7">
        <f t="shared" si="9"/>
        <v>587</v>
      </c>
      <c r="Z19" s="7">
        <f t="shared" si="7"/>
        <v>71</v>
      </c>
      <c r="AA19" s="7">
        <f t="shared" si="8"/>
        <v>658</v>
      </c>
      <c r="AB19" s="17">
        <f t="shared" si="10"/>
        <v>-29</v>
      </c>
      <c r="AC19" s="17">
        <f t="shared" si="11"/>
        <v>-175</v>
      </c>
      <c r="AD19" s="17">
        <f t="shared" si="12"/>
        <v>-204</v>
      </c>
    </row>
    <row r="20" spans="1:30" hidden="1" x14ac:dyDescent="0.3">
      <c r="A20" s="9" t="s">
        <v>66</v>
      </c>
      <c r="B20" s="10">
        <v>45853</v>
      </c>
      <c r="C20" s="5">
        <v>21325</v>
      </c>
      <c r="D20" s="6">
        <f t="shared" si="16"/>
        <v>708</v>
      </c>
      <c r="E20" s="5">
        <v>1242</v>
      </c>
      <c r="F20" s="6">
        <f t="shared" si="16"/>
        <v>121</v>
      </c>
      <c r="G20" s="5">
        <v>8596</v>
      </c>
      <c r="H20" s="6">
        <f t="shared" si="17"/>
        <v>273</v>
      </c>
      <c r="I20" s="5">
        <v>2613</v>
      </c>
      <c r="J20" s="6">
        <f t="shared" si="18"/>
        <v>47</v>
      </c>
      <c r="K20" s="5">
        <v>6222</v>
      </c>
      <c r="L20" s="6">
        <f t="shared" si="18"/>
        <v>226</v>
      </c>
      <c r="M20" s="5">
        <v>262</v>
      </c>
      <c r="N20" s="12">
        <f t="shared" si="19"/>
        <v>13</v>
      </c>
      <c r="O20" s="13">
        <v>9492</v>
      </c>
      <c r="P20" s="6">
        <f t="shared" si="20"/>
        <v>277</v>
      </c>
      <c r="Q20" s="5">
        <v>1094</v>
      </c>
      <c r="R20" s="6">
        <f t="shared" si="3"/>
        <v>49</v>
      </c>
      <c r="S20" s="5">
        <v>1620</v>
      </c>
      <c r="T20" s="6">
        <f t="shared" si="21"/>
        <v>38</v>
      </c>
      <c r="U20" s="5">
        <v>0</v>
      </c>
      <c r="V20" s="6">
        <f t="shared" si="5"/>
        <v>0</v>
      </c>
      <c r="W20" s="5">
        <v>154</v>
      </c>
      <c r="X20" s="6">
        <f t="shared" si="22"/>
        <v>7</v>
      </c>
      <c r="Y20" s="7">
        <f t="shared" si="9"/>
        <v>680</v>
      </c>
      <c r="Z20" s="7">
        <f t="shared" si="7"/>
        <v>94</v>
      </c>
      <c r="AA20" s="7">
        <f t="shared" si="8"/>
        <v>774</v>
      </c>
      <c r="AB20" s="17">
        <f t="shared" si="10"/>
        <v>-28</v>
      </c>
      <c r="AC20" s="17">
        <f t="shared" si="11"/>
        <v>-183</v>
      </c>
      <c r="AD20" s="17">
        <f t="shared" si="12"/>
        <v>-211</v>
      </c>
    </row>
    <row r="21" spans="1:30" hidden="1" x14ac:dyDescent="0.3">
      <c r="A21" s="9" t="s">
        <v>67</v>
      </c>
      <c r="B21" s="10">
        <v>45854</v>
      </c>
      <c r="C21" s="5">
        <v>22033</v>
      </c>
      <c r="D21" s="6">
        <f t="shared" si="16"/>
        <v>607</v>
      </c>
      <c r="E21" s="5">
        <v>1363</v>
      </c>
      <c r="F21" s="6">
        <f t="shared" si="16"/>
        <v>105</v>
      </c>
      <c r="G21" s="5">
        <v>8869</v>
      </c>
      <c r="H21" s="6">
        <f t="shared" si="17"/>
        <v>237</v>
      </c>
      <c r="I21" s="5">
        <v>2660</v>
      </c>
      <c r="J21" s="6">
        <f t="shared" si="18"/>
        <v>33</v>
      </c>
      <c r="K21" s="5">
        <v>6448</v>
      </c>
      <c r="L21" s="6">
        <f t="shared" si="18"/>
        <v>200</v>
      </c>
      <c r="M21" s="5">
        <v>275</v>
      </c>
      <c r="N21" s="12">
        <f t="shared" si="19"/>
        <v>14</v>
      </c>
      <c r="O21" s="13">
        <v>9769</v>
      </c>
      <c r="P21" s="6">
        <f t="shared" si="20"/>
        <v>269</v>
      </c>
      <c r="Q21" s="5">
        <v>1143</v>
      </c>
      <c r="R21" s="6">
        <f t="shared" si="3"/>
        <v>65</v>
      </c>
      <c r="S21" s="5">
        <v>1658</v>
      </c>
      <c r="T21" s="6">
        <f t="shared" si="21"/>
        <v>35</v>
      </c>
      <c r="U21" s="5">
        <v>0</v>
      </c>
      <c r="V21" s="6">
        <f t="shared" si="5"/>
        <v>0</v>
      </c>
      <c r="W21" s="5">
        <v>161</v>
      </c>
      <c r="X21" s="6">
        <f t="shared" si="22"/>
        <v>5</v>
      </c>
      <c r="Y21" s="7">
        <f>SUM(F21,H21,J21,L21,N21)</f>
        <v>589</v>
      </c>
      <c r="Z21" s="7">
        <f t="shared" si="7"/>
        <v>105</v>
      </c>
      <c r="AA21" s="7">
        <f t="shared" si="8"/>
        <v>694</v>
      </c>
      <c r="AB21" s="17">
        <f t="shared" si="10"/>
        <v>-18</v>
      </c>
      <c r="AC21" s="17">
        <f t="shared" si="11"/>
        <v>-164</v>
      </c>
      <c r="AD21" s="17">
        <f t="shared" si="12"/>
        <v>-182</v>
      </c>
    </row>
    <row r="22" spans="1:30" hidden="1" x14ac:dyDescent="0.3">
      <c r="A22" s="9" t="s">
        <v>68</v>
      </c>
      <c r="B22" s="10">
        <v>45855</v>
      </c>
      <c r="C22" s="5">
        <v>22640</v>
      </c>
      <c r="D22" s="6">
        <f t="shared" si="16"/>
        <v>677</v>
      </c>
      <c r="E22" s="5">
        <v>1468</v>
      </c>
      <c r="F22" s="6">
        <f t="shared" si="16"/>
        <v>111</v>
      </c>
      <c r="G22" s="5">
        <v>9106</v>
      </c>
      <c r="H22" s="6">
        <f t="shared" si="17"/>
        <v>273</v>
      </c>
      <c r="I22" s="5">
        <v>2693</v>
      </c>
      <c r="J22" s="6">
        <f t="shared" si="18"/>
        <v>43</v>
      </c>
      <c r="K22" s="5">
        <v>6648</v>
      </c>
      <c r="L22" s="6">
        <f t="shared" si="18"/>
        <v>216</v>
      </c>
      <c r="M22" s="5">
        <v>289</v>
      </c>
      <c r="N22" s="12">
        <f t="shared" si="19"/>
        <v>11</v>
      </c>
      <c r="O22" s="13">
        <v>10038</v>
      </c>
      <c r="P22" s="6">
        <f t="shared" si="20"/>
        <v>359</v>
      </c>
      <c r="Q22" s="5">
        <v>1208</v>
      </c>
      <c r="R22" s="6">
        <f t="shared" si="3"/>
        <v>77</v>
      </c>
      <c r="S22" s="5">
        <v>1693</v>
      </c>
      <c r="T22" s="6">
        <f t="shared" si="21"/>
        <v>48</v>
      </c>
      <c r="U22" s="5">
        <v>0</v>
      </c>
      <c r="V22" s="6">
        <f t="shared" si="5"/>
        <v>0</v>
      </c>
      <c r="W22" s="5">
        <v>166</v>
      </c>
      <c r="X22" s="6">
        <f t="shared" si="22"/>
        <v>7</v>
      </c>
      <c r="Y22" s="7">
        <f t="shared" si="9"/>
        <v>654</v>
      </c>
      <c r="Z22" s="7">
        <f>SUM(R22,T22,V22,X22)</f>
        <v>132</v>
      </c>
      <c r="AA22" s="7">
        <f>SUM(F22,H22,J22,L22,N22,R22,T22,V22,X22)</f>
        <v>786</v>
      </c>
      <c r="AB22" s="17">
        <f t="shared" si="10"/>
        <v>-23</v>
      </c>
      <c r="AC22" s="17">
        <f t="shared" si="11"/>
        <v>-227</v>
      </c>
      <c r="AD22" s="17">
        <f t="shared" si="12"/>
        <v>-250</v>
      </c>
    </row>
    <row r="23" spans="1:30" hidden="1" x14ac:dyDescent="0.3">
      <c r="A23" s="9" t="s">
        <v>69</v>
      </c>
      <c r="B23" s="10">
        <v>45856</v>
      </c>
      <c r="C23" s="5">
        <v>23317</v>
      </c>
      <c r="D23" s="6">
        <f t="shared" si="16"/>
        <v>507</v>
      </c>
      <c r="E23" s="5">
        <v>1579</v>
      </c>
      <c r="F23" s="6">
        <f t="shared" si="16"/>
        <v>109</v>
      </c>
      <c r="G23" s="5">
        <v>9379</v>
      </c>
      <c r="H23" s="6">
        <f t="shared" si="17"/>
        <v>267</v>
      </c>
      <c r="I23" s="5">
        <v>2736</v>
      </c>
      <c r="J23" s="6">
        <f t="shared" si="18"/>
        <v>50</v>
      </c>
      <c r="K23" s="5">
        <v>6864</v>
      </c>
      <c r="L23" s="6">
        <f t="shared" si="18"/>
        <v>215</v>
      </c>
      <c r="M23" s="5">
        <v>300</v>
      </c>
      <c r="N23" s="12">
        <f t="shared" si="19"/>
        <v>11</v>
      </c>
      <c r="O23" s="13">
        <v>10397</v>
      </c>
      <c r="P23" s="6">
        <f t="shared" si="20"/>
        <v>370</v>
      </c>
      <c r="Q23" s="5">
        <v>1285</v>
      </c>
      <c r="R23" s="6">
        <f t="shared" si="3"/>
        <v>78</v>
      </c>
      <c r="S23" s="5">
        <v>1741</v>
      </c>
      <c r="T23" s="6">
        <f t="shared" si="21"/>
        <v>62</v>
      </c>
      <c r="U23" s="5">
        <v>0</v>
      </c>
      <c r="V23" s="6">
        <f t="shared" si="5"/>
        <v>0</v>
      </c>
      <c r="W23" s="5">
        <v>173</v>
      </c>
      <c r="X23" s="6">
        <f t="shared" si="22"/>
        <v>7</v>
      </c>
      <c r="Y23" s="7">
        <f t="shared" si="9"/>
        <v>652</v>
      </c>
      <c r="Z23" s="7">
        <f t="shared" si="7"/>
        <v>147</v>
      </c>
      <c r="AA23" s="7">
        <f t="shared" si="8"/>
        <v>799</v>
      </c>
      <c r="AB23" s="17">
        <f t="shared" si="10"/>
        <v>145</v>
      </c>
      <c r="AC23" s="17">
        <f t="shared" si="11"/>
        <v>-223</v>
      </c>
      <c r="AD23" s="17">
        <f t="shared" si="12"/>
        <v>-78</v>
      </c>
    </row>
    <row r="24" spans="1:30" hidden="1" x14ac:dyDescent="0.3">
      <c r="A24" s="9" t="s">
        <v>70</v>
      </c>
      <c r="B24" s="10">
        <v>45857</v>
      </c>
      <c r="C24" s="5">
        <v>23824</v>
      </c>
      <c r="D24" s="6">
        <f t="shared" si="16"/>
        <v>702</v>
      </c>
      <c r="E24" s="5">
        <v>1688</v>
      </c>
      <c r="F24" s="6">
        <f t="shared" si="16"/>
        <v>105</v>
      </c>
      <c r="G24" s="5">
        <v>9646</v>
      </c>
      <c r="H24" s="6">
        <f t="shared" si="17"/>
        <v>226</v>
      </c>
      <c r="I24" s="5">
        <v>2786</v>
      </c>
      <c r="J24" s="6">
        <f t="shared" si="18"/>
        <v>52</v>
      </c>
      <c r="K24" s="5">
        <v>7079</v>
      </c>
      <c r="L24" s="6">
        <f t="shared" si="18"/>
        <v>210</v>
      </c>
      <c r="M24" s="5">
        <v>311</v>
      </c>
      <c r="N24" s="12">
        <f t="shared" si="19"/>
        <v>10</v>
      </c>
      <c r="O24" s="13">
        <v>10767</v>
      </c>
      <c r="P24" s="6">
        <f t="shared" si="20"/>
        <v>280</v>
      </c>
      <c r="Q24" s="5">
        <v>1363</v>
      </c>
      <c r="R24" s="6">
        <f t="shared" si="3"/>
        <v>47</v>
      </c>
      <c r="S24" s="5">
        <v>1803</v>
      </c>
      <c r="T24" s="6">
        <f t="shared" si="21"/>
        <v>52</v>
      </c>
      <c r="U24" s="5">
        <v>0</v>
      </c>
      <c r="V24" s="6">
        <f t="shared" si="5"/>
        <v>0</v>
      </c>
      <c r="W24" s="5">
        <v>180</v>
      </c>
      <c r="X24" s="6">
        <f t="shared" si="22"/>
        <v>8</v>
      </c>
      <c r="Y24" s="7">
        <f t="shared" si="9"/>
        <v>603</v>
      </c>
      <c r="Z24" s="7">
        <f t="shared" si="7"/>
        <v>107</v>
      </c>
      <c r="AA24" s="7">
        <f t="shared" si="8"/>
        <v>710</v>
      </c>
      <c r="AB24" s="17">
        <f t="shared" si="10"/>
        <v>-99</v>
      </c>
      <c r="AC24" s="17">
        <f t="shared" si="11"/>
        <v>-173</v>
      </c>
      <c r="AD24" s="17">
        <f t="shared" si="12"/>
        <v>-272</v>
      </c>
    </row>
    <row r="25" spans="1:30" hidden="1" x14ac:dyDescent="0.3">
      <c r="A25" s="9" t="s">
        <v>71</v>
      </c>
      <c r="B25" s="10">
        <v>45858</v>
      </c>
      <c r="C25" s="5">
        <v>24526</v>
      </c>
      <c r="D25" s="6">
        <f t="shared" si="16"/>
        <v>0</v>
      </c>
      <c r="E25" s="5">
        <v>1793</v>
      </c>
      <c r="F25" s="6">
        <f t="shared" si="16"/>
        <v>0</v>
      </c>
      <c r="G25" s="5">
        <v>9872</v>
      </c>
      <c r="H25" s="6">
        <f t="shared" si="17"/>
        <v>0</v>
      </c>
      <c r="I25" s="5">
        <v>2838</v>
      </c>
      <c r="J25" s="6">
        <f t="shared" si="18"/>
        <v>0</v>
      </c>
      <c r="K25" s="5">
        <v>7289</v>
      </c>
      <c r="L25" s="6">
        <f t="shared" si="18"/>
        <v>0</v>
      </c>
      <c r="M25" s="5">
        <v>321</v>
      </c>
      <c r="N25" s="12">
        <f t="shared" si="19"/>
        <v>0</v>
      </c>
      <c r="O25" s="13">
        <v>11047</v>
      </c>
      <c r="P25" s="6">
        <f t="shared" si="20"/>
        <v>0</v>
      </c>
      <c r="Q25" s="5">
        <v>1410</v>
      </c>
      <c r="R25" s="6">
        <f t="shared" si="3"/>
        <v>0</v>
      </c>
      <c r="S25" s="5">
        <v>1855</v>
      </c>
      <c r="T25" s="6">
        <f t="shared" si="21"/>
        <v>0</v>
      </c>
      <c r="U25" s="5">
        <v>0</v>
      </c>
      <c r="V25" s="6">
        <f t="shared" si="5"/>
        <v>0</v>
      </c>
      <c r="W25" s="5">
        <v>188</v>
      </c>
      <c r="X25" s="6">
        <f t="shared" si="22"/>
        <v>0</v>
      </c>
      <c r="Y25" s="7">
        <f t="shared" si="9"/>
        <v>0</v>
      </c>
      <c r="Z25" s="7">
        <f t="shared" si="7"/>
        <v>0</v>
      </c>
      <c r="AA25" s="7">
        <f t="shared" si="8"/>
        <v>0</v>
      </c>
      <c r="AB25" s="17">
        <f t="shared" si="10"/>
        <v>0</v>
      </c>
      <c r="AC25" s="17">
        <f t="shared" si="11"/>
        <v>0</v>
      </c>
      <c r="AD25" s="17">
        <f t="shared" si="12"/>
        <v>0</v>
      </c>
    </row>
    <row r="26" spans="1:30" hidden="1" x14ac:dyDescent="0.3">
      <c r="A26" s="9" t="s">
        <v>72</v>
      </c>
      <c r="B26" s="10">
        <v>45859</v>
      </c>
      <c r="C26" s="5">
        <v>24526</v>
      </c>
      <c r="D26" s="6">
        <f t="shared" si="16"/>
        <v>799</v>
      </c>
      <c r="E26" s="5">
        <v>1793</v>
      </c>
      <c r="F26" s="6">
        <f t="shared" si="16"/>
        <v>110</v>
      </c>
      <c r="G26" s="5">
        <v>9872</v>
      </c>
      <c r="H26" s="6">
        <f t="shared" si="17"/>
        <v>250</v>
      </c>
      <c r="I26" s="5">
        <v>2838</v>
      </c>
      <c r="J26" s="6">
        <f t="shared" si="18"/>
        <v>58</v>
      </c>
      <c r="K26" s="5">
        <v>7289</v>
      </c>
      <c r="L26" s="6">
        <f t="shared" si="18"/>
        <v>229</v>
      </c>
      <c r="M26" s="5">
        <v>321</v>
      </c>
      <c r="N26" s="12">
        <f t="shared" si="19"/>
        <v>13</v>
      </c>
      <c r="O26" s="13">
        <v>11047</v>
      </c>
      <c r="P26" s="6">
        <f t="shared" si="20"/>
        <v>347</v>
      </c>
      <c r="Q26" s="5">
        <v>1410</v>
      </c>
      <c r="R26" s="6">
        <f t="shared" si="3"/>
        <v>73</v>
      </c>
      <c r="S26" s="5">
        <v>1855</v>
      </c>
      <c r="T26" s="6">
        <f t="shared" si="21"/>
        <v>65</v>
      </c>
      <c r="U26" s="5">
        <v>0</v>
      </c>
      <c r="V26" s="6">
        <f t="shared" si="5"/>
        <v>0</v>
      </c>
      <c r="W26" s="5">
        <v>188</v>
      </c>
      <c r="X26" s="6">
        <f t="shared" si="22"/>
        <v>8</v>
      </c>
      <c r="Y26" s="7">
        <f t="shared" si="9"/>
        <v>660</v>
      </c>
      <c r="Z26" s="7">
        <f t="shared" si="7"/>
        <v>146</v>
      </c>
      <c r="AA26" s="7">
        <f t="shared" si="8"/>
        <v>806</v>
      </c>
      <c r="AB26" s="17">
        <f t="shared" si="10"/>
        <v>-139</v>
      </c>
      <c r="AC26" s="17">
        <f t="shared" si="11"/>
        <v>-201</v>
      </c>
      <c r="AD26" s="17">
        <f t="shared" si="12"/>
        <v>-340</v>
      </c>
    </row>
    <row r="27" spans="1:30" hidden="1" x14ac:dyDescent="0.3">
      <c r="A27" s="9" t="s">
        <v>66</v>
      </c>
      <c r="B27" s="10">
        <v>45860</v>
      </c>
      <c r="C27" s="5">
        <v>25325</v>
      </c>
      <c r="D27" s="6">
        <f t="shared" si="16"/>
        <v>771</v>
      </c>
      <c r="E27" s="5">
        <v>1903</v>
      </c>
      <c r="F27" s="6">
        <f t="shared" si="16"/>
        <v>122</v>
      </c>
      <c r="G27" s="5">
        <v>10122</v>
      </c>
      <c r="H27" s="6">
        <f t="shared" si="17"/>
        <v>314</v>
      </c>
      <c r="I27" s="5">
        <v>2896</v>
      </c>
      <c r="J27" s="6">
        <f t="shared" si="18"/>
        <v>53</v>
      </c>
      <c r="K27" s="5">
        <v>7518</v>
      </c>
      <c r="L27" s="6">
        <f t="shared" si="18"/>
        <v>226</v>
      </c>
      <c r="M27" s="5">
        <v>334</v>
      </c>
      <c r="N27" s="12">
        <f t="shared" si="19"/>
        <v>11</v>
      </c>
      <c r="O27" s="13">
        <v>11394</v>
      </c>
      <c r="P27" s="6">
        <f t="shared" si="20"/>
        <v>349</v>
      </c>
      <c r="Q27" s="5">
        <v>1483</v>
      </c>
      <c r="R27" s="6">
        <f t="shared" si="3"/>
        <v>74</v>
      </c>
      <c r="S27" s="5">
        <v>1920</v>
      </c>
      <c r="T27" s="6">
        <f t="shared" si="21"/>
        <v>65</v>
      </c>
      <c r="U27" s="5">
        <v>0</v>
      </c>
      <c r="V27" s="6">
        <f t="shared" si="5"/>
        <v>0</v>
      </c>
      <c r="W27" s="5">
        <v>196</v>
      </c>
      <c r="X27" s="6">
        <f t="shared" si="22"/>
        <v>7</v>
      </c>
      <c r="Y27" s="7">
        <f t="shared" si="9"/>
        <v>726</v>
      </c>
      <c r="Z27" s="7">
        <f t="shared" si="7"/>
        <v>146</v>
      </c>
      <c r="AA27" s="7">
        <f t="shared" si="8"/>
        <v>872</v>
      </c>
      <c r="AB27" s="17">
        <f t="shared" si="10"/>
        <v>-45</v>
      </c>
      <c r="AC27" s="17">
        <f t="shared" si="11"/>
        <v>-203</v>
      </c>
      <c r="AD27" s="17">
        <f t="shared" si="12"/>
        <v>-248</v>
      </c>
    </row>
    <row r="28" spans="1:30" hidden="1" x14ac:dyDescent="0.3">
      <c r="A28" s="9" t="s">
        <v>67</v>
      </c>
      <c r="B28" s="10">
        <v>45861</v>
      </c>
      <c r="C28" s="5">
        <v>26096</v>
      </c>
      <c r="D28" s="6">
        <f t="shared" si="16"/>
        <v>603</v>
      </c>
      <c r="E28" s="5">
        <v>2025</v>
      </c>
      <c r="F28" s="6">
        <f t="shared" si="16"/>
        <v>94</v>
      </c>
      <c r="G28" s="5">
        <v>10436</v>
      </c>
      <c r="H28" s="6">
        <f t="shared" si="17"/>
        <v>242</v>
      </c>
      <c r="I28" s="5">
        <v>2949</v>
      </c>
      <c r="J28" s="6">
        <f t="shared" si="18"/>
        <v>42</v>
      </c>
      <c r="K28" s="5">
        <v>7744</v>
      </c>
      <c r="L28" s="6">
        <f t="shared" si="18"/>
        <v>192</v>
      </c>
      <c r="M28" s="5">
        <v>345</v>
      </c>
      <c r="N28" s="12">
        <f t="shared" si="19"/>
        <v>8</v>
      </c>
      <c r="O28" s="13">
        <v>11743</v>
      </c>
      <c r="P28" s="6">
        <f t="shared" si="20"/>
        <v>266</v>
      </c>
      <c r="Q28" s="5">
        <v>1557</v>
      </c>
      <c r="R28" s="6">
        <f t="shared" si="3"/>
        <v>58</v>
      </c>
      <c r="S28" s="5">
        <v>1985</v>
      </c>
      <c r="T28" s="6">
        <f t="shared" si="21"/>
        <v>39</v>
      </c>
      <c r="U28" s="5">
        <v>0</v>
      </c>
      <c r="V28" s="6">
        <f t="shared" si="5"/>
        <v>0</v>
      </c>
      <c r="W28" s="5">
        <v>203</v>
      </c>
      <c r="X28" s="6">
        <f t="shared" si="22"/>
        <v>5</v>
      </c>
      <c r="Y28" s="7">
        <f t="shared" si="9"/>
        <v>578</v>
      </c>
      <c r="Z28" s="7">
        <f t="shared" si="7"/>
        <v>102</v>
      </c>
      <c r="AA28" s="7">
        <f t="shared" si="8"/>
        <v>680</v>
      </c>
      <c r="AB28" s="17">
        <f t="shared" si="10"/>
        <v>-25</v>
      </c>
      <c r="AC28" s="17">
        <f t="shared" si="11"/>
        <v>-164</v>
      </c>
      <c r="AD28" s="17">
        <f t="shared" si="12"/>
        <v>-189</v>
      </c>
    </row>
    <row r="29" spans="1:30" hidden="1" x14ac:dyDescent="0.3">
      <c r="A29" s="9" t="s">
        <v>68</v>
      </c>
      <c r="B29" s="10">
        <v>45862</v>
      </c>
      <c r="C29" s="5">
        <v>26699</v>
      </c>
      <c r="D29" s="6">
        <f t="shared" si="16"/>
        <v>740</v>
      </c>
      <c r="E29" s="5">
        <v>2119</v>
      </c>
      <c r="F29" s="6">
        <f t="shared" si="16"/>
        <v>110</v>
      </c>
      <c r="G29" s="5">
        <v>10678</v>
      </c>
      <c r="H29" s="6">
        <f t="shared" si="17"/>
        <v>262</v>
      </c>
      <c r="I29" s="5">
        <v>2991</v>
      </c>
      <c r="J29" s="6">
        <f t="shared" si="18"/>
        <v>61</v>
      </c>
      <c r="K29" s="5">
        <v>7936</v>
      </c>
      <c r="L29" s="6">
        <f t="shared" si="18"/>
        <v>250</v>
      </c>
      <c r="M29" s="5">
        <v>353</v>
      </c>
      <c r="N29" s="12">
        <f t="shared" si="19"/>
        <v>13</v>
      </c>
      <c r="O29" s="13">
        <v>12009</v>
      </c>
      <c r="P29" s="6">
        <f t="shared" si="20"/>
        <v>334</v>
      </c>
      <c r="Q29" s="5">
        <v>1615</v>
      </c>
      <c r="R29" s="6">
        <f t="shared" si="3"/>
        <v>73</v>
      </c>
      <c r="S29" s="5">
        <v>2024</v>
      </c>
      <c r="T29" s="6">
        <f t="shared" si="21"/>
        <v>49</v>
      </c>
      <c r="U29" s="5">
        <v>0</v>
      </c>
      <c r="V29" s="6">
        <f t="shared" si="5"/>
        <v>0</v>
      </c>
      <c r="W29" s="5">
        <v>208</v>
      </c>
      <c r="X29" s="6">
        <f t="shared" si="22"/>
        <v>5</v>
      </c>
      <c r="Y29" s="7">
        <f t="shared" si="9"/>
        <v>696</v>
      </c>
      <c r="Z29" s="7">
        <f t="shared" si="7"/>
        <v>127</v>
      </c>
      <c r="AA29" s="7">
        <f t="shared" si="8"/>
        <v>823</v>
      </c>
      <c r="AB29" s="17">
        <f t="shared" si="10"/>
        <v>-44</v>
      </c>
      <c r="AC29" s="17">
        <f t="shared" si="11"/>
        <v>-207</v>
      </c>
      <c r="AD29" s="17">
        <f t="shared" si="12"/>
        <v>-251</v>
      </c>
    </row>
    <row r="30" spans="1:30" hidden="1" x14ac:dyDescent="0.3">
      <c r="A30" s="9" t="s">
        <v>69</v>
      </c>
      <c r="B30" s="10">
        <v>45863</v>
      </c>
      <c r="C30" s="5">
        <v>27439</v>
      </c>
      <c r="D30" s="6">
        <f t="shared" si="16"/>
        <v>859</v>
      </c>
      <c r="E30" s="5">
        <v>2229</v>
      </c>
      <c r="F30" s="6">
        <f t="shared" si="16"/>
        <v>121</v>
      </c>
      <c r="G30" s="5">
        <v>10940</v>
      </c>
      <c r="H30" s="6">
        <f t="shared" si="17"/>
        <v>350</v>
      </c>
      <c r="I30" s="5">
        <v>3052</v>
      </c>
      <c r="J30" s="6">
        <f t="shared" si="18"/>
        <v>63</v>
      </c>
      <c r="K30" s="5">
        <v>8186</v>
      </c>
      <c r="L30" s="6">
        <f t="shared" si="18"/>
        <v>276</v>
      </c>
      <c r="M30" s="5">
        <v>366</v>
      </c>
      <c r="N30" s="12">
        <f t="shared" si="19"/>
        <v>14</v>
      </c>
      <c r="O30" s="13">
        <v>12343</v>
      </c>
      <c r="P30" s="6">
        <f t="shared" si="20"/>
        <v>325</v>
      </c>
      <c r="Q30" s="5">
        <v>1688</v>
      </c>
      <c r="R30" s="6">
        <f t="shared" si="3"/>
        <v>70</v>
      </c>
      <c r="S30" s="5">
        <v>2073</v>
      </c>
      <c r="T30" s="6">
        <f t="shared" si="21"/>
        <v>48</v>
      </c>
      <c r="U30" s="5">
        <v>0</v>
      </c>
      <c r="V30" s="6">
        <f t="shared" si="5"/>
        <v>0</v>
      </c>
      <c r="W30" s="5">
        <v>213</v>
      </c>
      <c r="X30" s="6">
        <f t="shared" si="22"/>
        <v>13</v>
      </c>
      <c r="Y30" s="7">
        <f t="shared" si="9"/>
        <v>824</v>
      </c>
      <c r="Z30" s="7">
        <f t="shared" si="7"/>
        <v>131</v>
      </c>
      <c r="AA30" s="7">
        <f t="shared" si="8"/>
        <v>955</v>
      </c>
      <c r="AB30" s="17">
        <f t="shared" si="10"/>
        <v>-35</v>
      </c>
      <c r="AC30" s="17">
        <f t="shared" si="11"/>
        <v>-194</v>
      </c>
      <c r="AD30" s="17">
        <f t="shared" si="12"/>
        <v>-229</v>
      </c>
    </row>
    <row r="31" spans="1:30" hidden="1" x14ac:dyDescent="0.3">
      <c r="A31" s="9" t="s">
        <v>70</v>
      </c>
      <c r="B31" s="10">
        <v>45864</v>
      </c>
      <c r="C31" s="5">
        <v>28298</v>
      </c>
      <c r="D31" s="6">
        <f t="shared" ref="D31:F35" si="23">IF(C32&lt;&gt;"",C32-C31,"")</f>
        <v>712</v>
      </c>
      <c r="E31" s="5">
        <v>2350</v>
      </c>
      <c r="F31" s="6">
        <f t="shared" si="23"/>
        <v>105</v>
      </c>
      <c r="G31" s="5">
        <v>11290</v>
      </c>
      <c r="H31" s="6">
        <f t="shared" si="17"/>
        <v>235</v>
      </c>
      <c r="I31" s="5">
        <v>3115</v>
      </c>
      <c r="J31" s="6">
        <f t="shared" ref="J31:L35" si="24">IF(I32&lt;&gt;"",I32-I31,"")</f>
        <v>70</v>
      </c>
      <c r="K31" s="5">
        <v>8462</v>
      </c>
      <c r="L31" s="6">
        <f t="shared" si="24"/>
        <v>162</v>
      </c>
      <c r="M31" s="5">
        <v>380</v>
      </c>
      <c r="N31" s="12">
        <f t="shared" si="19"/>
        <v>14</v>
      </c>
      <c r="O31" s="13">
        <v>12668</v>
      </c>
      <c r="P31" s="6">
        <f t="shared" si="20"/>
        <v>321</v>
      </c>
      <c r="Q31" s="5">
        <v>1758</v>
      </c>
      <c r="R31" s="6">
        <f t="shared" si="3"/>
        <v>31</v>
      </c>
      <c r="S31" s="5">
        <v>2121</v>
      </c>
      <c r="T31" s="6">
        <f t="shared" si="21"/>
        <v>68</v>
      </c>
      <c r="U31" s="5">
        <v>0</v>
      </c>
      <c r="V31" s="6">
        <f t="shared" si="5"/>
        <v>0</v>
      </c>
      <c r="W31" s="5">
        <v>226</v>
      </c>
      <c r="X31" s="6">
        <f t="shared" si="22"/>
        <v>3</v>
      </c>
      <c r="Y31" s="7">
        <f t="shared" si="9"/>
        <v>586</v>
      </c>
      <c r="Z31" s="7">
        <f t="shared" si="7"/>
        <v>102</v>
      </c>
      <c r="AA31" s="7">
        <f t="shared" si="8"/>
        <v>688</v>
      </c>
      <c r="AB31" s="17">
        <f t="shared" si="10"/>
        <v>-126</v>
      </c>
      <c r="AC31" s="17">
        <f t="shared" si="11"/>
        <v>-219</v>
      </c>
      <c r="AD31" s="17">
        <f t="shared" si="12"/>
        <v>-345</v>
      </c>
    </row>
    <row r="32" spans="1:30" hidden="1" x14ac:dyDescent="0.3">
      <c r="A32" s="9" t="s">
        <v>71</v>
      </c>
      <c r="B32" s="10">
        <v>45865</v>
      </c>
      <c r="C32" s="5">
        <v>29010</v>
      </c>
      <c r="D32" s="6">
        <f t="shared" si="23"/>
        <v>0</v>
      </c>
      <c r="E32" s="5">
        <v>2455</v>
      </c>
      <c r="F32" s="6">
        <f t="shared" si="23"/>
        <v>0</v>
      </c>
      <c r="G32" s="5">
        <v>11525</v>
      </c>
      <c r="H32" s="6">
        <f t="shared" si="17"/>
        <v>0</v>
      </c>
      <c r="I32" s="5">
        <v>3185</v>
      </c>
      <c r="J32" s="6">
        <f t="shared" si="24"/>
        <v>0</v>
      </c>
      <c r="K32" s="5">
        <v>8624</v>
      </c>
      <c r="L32" s="6">
        <f t="shared" si="24"/>
        <v>0</v>
      </c>
      <c r="M32" s="5">
        <v>394</v>
      </c>
      <c r="N32" s="12">
        <f t="shared" si="19"/>
        <v>0</v>
      </c>
      <c r="O32" s="13">
        <v>12989</v>
      </c>
      <c r="P32" s="6">
        <f t="shared" si="20"/>
        <v>0</v>
      </c>
      <c r="Q32" s="5">
        <v>1789</v>
      </c>
      <c r="R32" s="6">
        <f t="shared" si="3"/>
        <v>0</v>
      </c>
      <c r="S32" s="5">
        <v>2189</v>
      </c>
      <c r="T32" s="6">
        <f t="shared" si="21"/>
        <v>0</v>
      </c>
      <c r="U32" s="5">
        <v>0</v>
      </c>
      <c r="V32" s="6">
        <f t="shared" si="5"/>
        <v>0</v>
      </c>
      <c r="W32" s="5">
        <v>229</v>
      </c>
      <c r="X32" s="6">
        <f t="shared" si="22"/>
        <v>0</v>
      </c>
      <c r="Y32" s="7">
        <f t="shared" si="9"/>
        <v>0</v>
      </c>
      <c r="Z32" s="7">
        <f t="shared" si="7"/>
        <v>0</v>
      </c>
      <c r="AA32" s="7">
        <f t="shared" si="8"/>
        <v>0</v>
      </c>
      <c r="AB32" s="17">
        <f t="shared" si="10"/>
        <v>0</v>
      </c>
      <c r="AC32" s="17">
        <f t="shared" si="11"/>
        <v>0</v>
      </c>
      <c r="AD32" s="17">
        <f t="shared" si="12"/>
        <v>0</v>
      </c>
    </row>
    <row r="33" spans="1:30" hidden="1" x14ac:dyDescent="0.3">
      <c r="A33" s="9" t="s">
        <v>72</v>
      </c>
      <c r="B33" s="10">
        <v>45866</v>
      </c>
      <c r="C33" s="5">
        <v>29010</v>
      </c>
      <c r="D33" s="6">
        <f t="shared" si="23"/>
        <v>682</v>
      </c>
      <c r="E33" s="5">
        <v>2455</v>
      </c>
      <c r="F33" s="6">
        <f t="shared" si="23"/>
        <v>106</v>
      </c>
      <c r="G33" s="5">
        <v>11525</v>
      </c>
      <c r="H33" s="6">
        <f t="shared" si="17"/>
        <v>333</v>
      </c>
      <c r="I33" s="5">
        <v>3185</v>
      </c>
      <c r="J33" s="6">
        <f t="shared" si="24"/>
        <v>52</v>
      </c>
      <c r="K33" s="5">
        <v>8624</v>
      </c>
      <c r="L33" s="6">
        <f t="shared" si="24"/>
        <v>229</v>
      </c>
      <c r="M33" s="5">
        <v>394</v>
      </c>
      <c r="N33" s="12">
        <f t="shared" si="19"/>
        <v>9</v>
      </c>
      <c r="O33" s="13">
        <v>12989</v>
      </c>
      <c r="P33" s="6">
        <f t="shared" si="20"/>
        <v>284</v>
      </c>
      <c r="Q33" s="5">
        <v>1789</v>
      </c>
      <c r="R33" s="6">
        <f t="shared" si="3"/>
        <v>94</v>
      </c>
      <c r="S33" s="5">
        <v>2189</v>
      </c>
      <c r="T33" s="6">
        <f t="shared" si="21"/>
        <v>47</v>
      </c>
      <c r="U33" s="5">
        <v>0</v>
      </c>
      <c r="V33" s="6">
        <f t="shared" si="5"/>
        <v>0</v>
      </c>
      <c r="W33" s="5">
        <v>229</v>
      </c>
      <c r="X33" s="6">
        <f t="shared" si="22"/>
        <v>3</v>
      </c>
      <c r="Y33" s="7">
        <f t="shared" si="9"/>
        <v>729</v>
      </c>
      <c r="Z33" s="7">
        <f t="shared" si="7"/>
        <v>144</v>
      </c>
      <c r="AA33" s="7">
        <f t="shared" si="8"/>
        <v>873</v>
      </c>
      <c r="AB33" s="17">
        <f t="shared" si="10"/>
        <v>47</v>
      </c>
      <c r="AC33" s="17">
        <f t="shared" si="11"/>
        <v>-140</v>
      </c>
      <c r="AD33" s="17">
        <f t="shared" si="12"/>
        <v>-93</v>
      </c>
    </row>
    <row r="34" spans="1:30" hidden="1" x14ac:dyDescent="0.3">
      <c r="A34" s="9" t="s">
        <v>66</v>
      </c>
      <c r="B34" s="10">
        <v>45867</v>
      </c>
      <c r="C34" s="5">
        <v>29692</v>
      </c>
      <c r="D34" s="6">
        <f t="shared" si="23"/>
        <v>725</v>
      </c>
      <c r="E34" s="5">
        <v>2561</v>
      </c>
      <c r="F34" s="6">
        <f t="shared" si="23"/>
        <v>112</v>
      </c>
      <c r="G34" s="5">
        <v>11858</v>
      </c>
      <c r="H34" s="6">
        <f t="shared" si="17"/>
        <v>289</v>
      </c>
      <c r="I34" s="5">
        <v>3237</v>
      </c>
      <c r="J34" s="6">
        <f t="shared" si="24"/>
        <v>72</v>
      </c>
      <c r="K34" s="5">
        <v>8853</v>
      </c>
      <c r="L34" s="6">
        <f t="shared" si="24"/>
        <v>202</v>
      </c>
      <c r="M34" s="5">
        <v>403</v>
      </c>
      <c r="N34" s="12">
        <f t="shared" si="19"/>
        <v>10</v>
      </c>
      <c r="O34" s="13">
        <v>13273</v>
      </c>
      <c r="P34" s="6">
        <f t="shared" si="20"/>
        <v>339</v>
      </c>
      <c r="Q34" s="5">
        <v>1883</v>
      </c>
      <c r="R34" s="6">
        <f t="shared" si="3"/>
        <v>84</v>
      </c>
      <c r="S34" s="5">
        <v>2236</v>
      </c>
      <c r="T34" s="6">
        <f t="shared" si="21"/>
        <v>67</v>
      </c>
      <c r="U34" s="5">
        <v>0</v>
      </c>
      <c r="V34" s="6">
        <f t="shared" si="5"/>
        <v>0</v>
      </c>
      <c r="W34" s="5">
        <v>232</v>
      </c>
      <c r="X34" s="6">
        <f t="shared" si="22"/>
        <v>5</v>
      </c>
      <c r="Y34" s="7">
        <f t="shared" si="9"/>
        <v>685</v>
      </c>
      <c r="Z34" s="7">
        <f t="shared" si="7"/>
        <v>156</v>
      </c>
      <c r="AA34" s="7">
        <f t="shared" si="8"/>
        <v>841</v>
      </c>
      <c r="AB34" s="17">
        <f t="shared" si="10"/>
        <v>-40</v>
      </c>
      <c r="AC34" s="17">
        <f t="shared" si="11"/>
        <v>-183</v>
      </c>
      <c r="AD34" s="17">
        <f t="shared" si="12"/>
        <v>-223</v>
      </c>
    </row>
    <row r="35" spans="1:30" hidden="1" x14ac:dyDescent="0.3">
      <c r="A35" s="9" t="s">
        <v>67</v>
      </c>
      <c r="B35" s="10">
        <v>45868</v>
      </c>
      <c r="C35" s="5">
        <v>30417</v>
      </c>
      <c r="D35" s="6">
        <f t="shared" si="23"/>
        <v>832</v>
      </c>
      <c r="E35" s="5">
        <v>2673</v>
      </c>
      <c r="F35" s="6">
        <f t="shared" si="23"/>
        <v>118</v>
      </c>
      <c r="G35" s="5">
        <v>12147</v>
      </c>
      <c r="H35" s="6">
        <f t="shared" si="17"/>
        <v>337</v>
      </c>
      <c r="I35" s="5">
        <v>3309</v>
      </c>
      <c r="J35" s="6">
        <f t="shared" si="24"/>
        <v>68</v>
      </c>
      <c r="K35" s="5">
        <v>9055</v>
      </c>
      <c r="L35" s="6">
        <f t="shared" si="24"/>
        <v>257</v>
      </c>
      <c r="M35" s="5">
        <v>413</v>
      </c>
      <c r="N35" s="12">
        <f t="shared" si="19"/>
        <v>14</v>
      </c>
      <c r="O35" s="13">
        <v>13612</v>
      </c>
      <c r="P35" s="6">
        <f t="shared" si="20"/>
        <v>321</v>
      </c>
      <c r="Q35" s="5">
        <v>1967</v>
      </c>
      <c r="R35" s="6">
        <f t="shared" si="3"/>
        <v>40</v>
      </c>
      <c r="S35" s="5">
        <v>2303</v>
      </c>
      <c r="T35" s="6">
        <f t="shared" si="21"/>
        <v>64</v>
      </c>
      <c r="U35" s="5">
        <v>0</v>
      </c>
      <c r="V35" s="6">
        <f t="shared" si="5"/>
        <v>0</v>
      </c>
      <c r="W35" s="5">
        <v>237</v>
      </c>
      <c r="X35" s="6">
        <f t="shared" si="22"/>
        <v>4</v>
      </c>
      <c r="Y35" s="7">
        <f t="shared" si="9"/>
        <v>794</v>
      </c>
      <c r="Z35" s="7">
        <f t="shared" si="7"/>
        <v>108</v>
      </c>
      <c r="AA35" s="7">
        <f t="shared" si="8"/>
        <v>902</v>
      </c>
      <c r="AB35" s="17">
        <f t="shared" si="10"/>
        <v>-38</v>
      </c>
      <c r="AC35" s="17">
        <f t="shared" si="11"/>
        <v>-213</v>
      </c>
      <c r="AD35" s="17">
        <f t="shared" si="12"/>
        <v>-251</v>
      </c>
    </row>
    <row r="36" spans="1:30" hidden="1" x14ac:dyDescent="0.3">
      <c r="A36" s="9" t="s">
        <v>68</v>
      </c>
      <c r="B36" s="10">
        <v>45869</v>
      </c>
      <c r="C36" s="5">
        <v>31249</v>
      </c>
      <c r="D36" s="6" t="e">
        <f>IF(#REF!&lt;&gt;"",#REF!-C36,"")</f>
        <v>#REF!</v>
      </c>
      <c r="E36" s="5">
        <v>2791</v>
      </c>
      <c r="F36" s="6" t="e">
        <f>IF(#REF!&lt;&gt;"",#REF!-E36,"")</f>
        <v>#REF!</v>
      </c>
      <c r="G36" s="5">
        <v>12484</v>
      </c>
      <c r="H36" s="6" t="e">
        <f>IF(#REF!&lt;&gt;"",#REF!-G36,"")</f>
        <v>#REF!</v>
      </c>
      <c r="I36" s="5">
        <v>3377</v>
      </c>
      <c r="J36" s="6" t="e">
        <f>IF(#REF!&lt;&gt;"",#REF!-I36,"")</f>
        <v>#REF!</v>
      </c>
      <c r="K36" s="5">
        <v>9312</v>
      </c>
      <c r="L36" s="6" t="e">
        <f>IF(#REF!&lt;&gt;"",#REF!-K36,"")</f>
        <v>#REF!</v>
      </c>
      <c r="M36" s="5">
        <v>427</v>
      </c>
      <c r="N36" s="12" t="e">
        <f>IF(#REF!&lt;&gt;"",#REF!-M36,"")</f>
        <v>#REF!</v>
      </c>
      <c r="O36" s="13">
        <v>13933</v>
      </c>
      <c r="P36" s="6" t="e">
        <f>IF(#REF!&lt;&gt;"",#REF!-O36,"")</f>
        <v>#REF!</v>
      </c>
      <c r="Q36" s="5">
        <v>2007</v>
      </c>
      <c r="R36" s="6" t="e">
        <f>IF(#REF!&lt;&gt;"",#REF!-Q36,"")</f>
        <v>#REF!</v>
      </c>
      <c r="S36" s="5">
        <v>2367</v>
      </c>
      <c r="T36" s="6" t="e">
        <f>IF(#REF!&lt;&gt;"",#REF!-S36,"")</f>
        <v>#REF!</v>
      </c>
      <c r="U36" s="5">
        <v>0</v>
      </c>
      <c r="V36" s="6" t="e">
        <f>IF(#REF!&lt;&gt;"",#REF!-U36,"")</f>
        <v>#REF!</v>
      </c>
      <c r="W36" s="5">
        <v>241</v>
      </c>
      <c r="X36" s="6" t="e">
        <f>IF(#REF!&lt;&gt;"",#REF!-W36,"")</f>
        <v>#REF!</v>
      </c>
      <c r="Y36" s="7" t="e">
        <f t="shared" si="9"/>
        <v>#REF!</v>
      </c>
      <c r="Z36" s="7" t="e">
        <f t="shared" si="7"/>
        <v>#REF!</v>
      </c>
      <c r="AA36" s="7" t="e">
        <f t="shared" si="8"/>
        <v>#REF!</v>
      </c>
      <c r="AB36" s="17" t="e">
        <f t="shared" si="10"/>
        <v>#REF!</v>
      </c>
      <c r="AC36" s="17" t="e">
        <f t="shared" si="11"/>
        <v>#REF!</v>
      </c>
      <c r="AD36" s="17" t="e">
        <f t="shared" si="12"/>
        <v>#REF!</v>
      </c>
    </row>
    <row r="37" spans="1:30" ht="41.4" hidden="1" customHeight="1" x14ac:dyDescent="0.3">
      <c r="A37" s="152" t="s">
        <v>73</v>
      </c>
      <c r="B37" s="153"/>
      <c r="C37" s="8"/>
      <c r="D37" s="11">
        <f>SUM(D4:D35)</f>
        <v>16836</v>
      </c>
      <c r="E37" s="8"/>
      <c r="F37" s="11">
        <f>SUM(F4:F35)</f>
        <v>2692</v>
      </c>
      <c r="G37" s="8"/>
      <c r="H37" s="11">
        <f>SUM(H4:H35)</f>
        <v>6401</v>
      </c>
      <c r="I37" s="8"/>
      <c r="J37" s="11">
        <f>SUM(J4:J35)</f>
        <v>1334</v>
      </c>
      <c r="K37" s="8"/>
      <c r="L37" s="11">
        <f>SUM(L6:L35)</f>
        <v>5311</v>
      </c>
      <c r="M37" s="8"/>
      <c r="N37" s="14">
        <f>SUM(N4:N35)</f>
        <v>277</v>
      </c>
      <c r="O37" s="15"/>
      <c r="P37" s="11">
        <f>SUM(P4:P35)</f>
        <v>7323</v>
      </c>
      <c r="Q37" s="8"/>
      <c r="R37" s="11">
        <f>SUM(R4:R35)</f>
        <v>1322</v>
      </c>
      <c r="S37" s="8"/>
      <c r="T37" s="11">
        <f>SUM(T4:T35)</f>
        <v>1255</v>
      </c>
      <c r="U37" s="8"/>
      <c r="V37" s="11">
        <f>SUM(V4:V35)</f>
        <v>0</v>
      </c>
      <c r="W37" s="8"/>
      <c r="X37" s="11">
        <f>SUM(X4:X35)</f>
        <v>154</v>
      </c>
      <c r="Y37" s="7">
        <f>SUM(F37,H37,J37,L37,N37)</f>
        <v>16015</v>
      </c>
      <c r="Z37" s="7">
        <f>SUM(R37,T37,V37,X37)</f>
        <v>2731</v>
      </c>
      <c r="AA37" s="7">
        <f>SUM(F37,H37,J37,L37,N37,R37,T37,V37,X37)</f>
        <v>18746</v>
      </c>
      <c r="AB37" s="17">
        <f>Y37-D37</f>
        <v>-821</v>
      </c>
      <c r="AC37" s="17">
        <f t="shared" si="11"/>
        <v>-4592</v>
      </c>
      <c r="AD37" s="17">
        <f>AA37-(D37+P37)</f>
        <v>-5413</v>
      </c>
    </row>
    <row r="38" spans="1:30" hidden="1" x14ac:dyDescent="0.3">
      <c r="A38" s="9" t="s">
        <v>69</v>
      </c>
      <c r="B38" s="33">
        <v>45870</v>
      </c>
      <c r="C38" s="27">
        <v>32042</v>
      </c>
      <c r="D38" s="28">
        <f>IF(C39&lt;&gt;"",C39-C38,"")</f>
        <v>648</v>
      </c>
      <c r="E38" s="27">
        <v>2913</v>
      </c>
      <c r="F38" s="28">
        <f>IF(E39&lt;&gt;"",E39-E38,"")</f>
        <v>113</v>
      </c>
      <c r="G38" s="27">
        <v>12808</v>
      </c>
      <c r="H38" s="28">
        <f t="shared" ref="H38:H46" si="25">IF(G39&lt;&gt;"",G39-G38,"")</f>
        <v>230</v>
      </c>
      <c r="I38" s="27">
        <v>3437</v>
      </c>
      <c r="J38" s="28">
        <f>IF(I39&lt;&gt;"",I39-I38,"")</f>
        <v>49</v>
      </c>
      <c r="K38" s="27">
        <v>9558</v>
      </c>
      <c r="L38" s="28">
        <f>IF(K39&lt;&gt;"",K39-K38,"")</f>
        <v>221</v>
      </c>
      <c r="M38" s="27">
        <v>437</v>
      </c>
      <c r="N38" s="30">
        <f t="shared" ref="N38:N46" si="26">IF(M39&lt;&gt;"",M39-M38,"")</f>
        <v>9</v>
      </c>
      <c r="O38" s="29">
        <v>14242</v>
      </c>
      <c r="P38" s="28">
        <f t="shared" ref="P38:P46" si="27">IF(O39&lt;&gt;"",O39-O38,"")</f>
        <v>291</v>
      </c>
      <c r="Q38" s="27">
        <v>2055</v>
      </c>
      <c r="R38" s="28">
        <f t="shared" ref="R38:R68" si="28">IF(Q39&lt;&gt;"",Q39-Q38,"")</f>
        <v>41</v>
      </c>
      <c r="S38" s="27">
        <v>2424</v>
      </c>
      <c r="T38" s="28">
        <f t="shared" ref="T38:T46" si="29">IF(S39&lt;&gt;"",S39-S38,"")</f>
        <v>49</v>
      </c>
      <c r="U38" s="27"/>
      <c r="V38" s="28"/>
      <c r="W38" s="27">
        <v>247</v>
      </c>
      <c r="X38" s="28">
        <f t="shared" ref="X38:X46" si="30">IF(W39&lt;&gt;"",W39-W38,"")</f>
        <v>5</v>
      </c>
      <c r="Y38" s="24">
        <f>SUM(F38,H38,J38,L38,N38)</f>
        <v>622</v>
      </c>
      <c r="Z38" s="24">
        <f t="shared" ref="Z38:Z69" si="31">SUM(R38,T38,V38,X38)</f>
        <v>95</v>
      </c>
      <c r="AA38" s="24">
        <f t="shared" ref="AA38:AA69" si="32">SUM(F38,H38,J38,L38,N38,R38,T38,V38,X38)</f>
        <v>717</v>
      </c>
      <c r="AB38" s="25">
        <f>D38-Y38</f>
        <v>26</v>
      </c>
      <c r="AC38" s="25">
        <f>P38-Z38</f>
        <v>196</v>
      </c>
      <c r="AD38" s="25">
        <f>(D38+P38)-AA38</f>
        <v>222</v>
      </c>
    </row>
    <row r="39" spans="1:30" hidden="1" x14ac:dyDescent="0.3">
      <c r="A39" s="9" t="s">
        <v>70</v>
      </c>
      <c r="B39" s="33">
        <v>45871</v>
      </c>
      <c r="C39" s="27">
        <v>32690</v>
      </c>
      <c r="D39" s="28">
        <f>IF(C40&lt;&gt;"",C40-C39,"")</f>
        <v>683</v>
      </c>
      <c r="E39" s="27">
        <v>3026</v>
      </c>
      <c r="F39" s="28">
        <f>IF(E40&lt;&gt;"",E40-E39,"")</f>
        <v>98</v>
      </c>
      <c r="G39" s="27">
        <v>13038</v>
      </c>
      <c r="H39" s="28">
        <f t="shared" si="25"/>
        <v>273</v>
      </c>
      <c r="I39" s="27">
        <v>3486</v>
      </c>
      <c r="J39" s="28">
        <f>IF(I40&lt;&gt;"",I40-I39,"")</f>
        <v>47</v>
      </c>
      <c r="K39" s="27">
        <v>9779</v>
      </c>
      <c r="L39" s="28">
        <f>IF(K40&lt;&gt;"",K40-K39,"")</f>
        <v>206</v>
      </c>
      <c r="M39" s="27">
        <v>446</v>
      </c>
      <c r="N39" s="30">
        <f t="shared" si="26"/>
        <v>20</v>
      </c>
      <c r="O39" s="29">
        <v>14533</v>
      </c>
      <c r="P39" s="28">
        <f t="shared" si="27"/>
        <v>268</v>
      </c>
      <c r="Q39" s="27">
        <v>2096</v>
      </c>
      <c r="R39" s="28">
        <f t="shared" si="28"/>
        <v>35</v>
      </c>
      <c r="S39" s="27">
        <v>2473</v>
      </c>
      <c r="T39" s="28">
        <f t="shared" si="29"/>
        <v>48</v>
      </c>
      <c r="U39" s="27"/>
      <c r="V39" s="28"/>
      <c r="W39" s="27">
        <v>252</v>
      </c>
      <c r="X39" s="28">
        <f t="shared" si="30"/>
        <v>5</v>
      </c>
      <c r="Y39" s="24">
        <f t="shared" ref="Y39:Y69" si="33">SUM(F39,H39,J39,L39,N39)</f>
        <v>644</v>
      </c>
      <c r="Z39" s="24">
        <f>SUM(R39,T39,U39,X39)</f>
        <v>88</v>
      </c>
      <c r="AA39" s="24">
        <f>SUM(F39,H39,J39,L39,N39,R39,T39,U39,X39)</f>
        <v>732</v>
      </c>
      <c r="AB39" s="25">
        <f t="shared" ref="AB39:AB69" si="34">D39-Y39</f>
        <v>39</v>
      </c>
      <c r="AC39" s="25">
        <f t="shared" ref="AC39:AC69" si="35">P39-Z39</f>
        <v>180</v>
      </c>
      <c r="AD39" s="25">
        <f t="shared" ref="AD39:AD69" si="36">(D39+P39)-AA39</f>
        <v>219</v>
      </c>
    </row>
    <row r="40" spans="1:30" hidden="1" x14ac:dyDescent="0.3">
      <c r="A40" s="9" t="s">
        <v>71</v>
      </c>
      <c r="B40" s="33">
        <v>45872</v>
      </c>
      <c r="C40" s="27">
        <v>33373</v>
      </c>
      <c r="D40" s="28">
        <f t="shared" ref="D40:F44" si="37">IF(C41&lt;&gt;"",C41-C40,"")</f>
        <v>0</v>
      </c>
      <c r="E40" s="27">
        <v>3124</v>
      </c>
      <c r="F40" s="28">
        <f t="shared" si="37"/>
        <v>0</v>
      </c>
      <c r="G40" s="27">
        <v>13311</v>
      </c>
      <c r="H40" s="28">
        <f t="shared" si="25"/>
        <v>0</v>
      </c>
      <c r="I40" s="27">
        <v>3533</v>
      </c>
      <c r="J40" s="28">
        <f t="shared" ref="J40:L41" si="38">IF(I41&lt;&gt;"",I41-I40,"")</f>
        <v>0</v>
      </c>
      <c r="K40" s="27">
        <v>9985</v>
      </c>
      <c r="L40" s="28">
        <f t="shared" si="38"/>
        <v>0</v>
      </c>
      <c r="M40" s="27">
        <v>466</v>
      </c>
      <c r="N40" s="30">
        <f t="shared" si="26"/>
        <v>0</v>
      </c>
      <c r="O40" s="29">
        <v>14801</v>
      </c>
      <c r="P40" s="28">
        <f t="shared" si="27"/>
        <v>0</v>
      </c>
      <c r="Q40" s="27">
        <v>2131</v>
      </c>
      <c r="R40" s="28">
        <f t="shared" si="28"/>
        <v>0</v>
      </c>
      <c r="S40" s="27">
        <v>2521</v>
      </c>
      <c r="T40" s="28">
        <f t="shared" si="29"/>
        <v>0</v>
      </c>
      <c r="U40" s="27"/>
      <c r="V40" s="28"/>
      <c r="W40" s="27">
        <v>257</v>
      </c>
      <c r="X40" s="28">
        <f t="shared" si="30"/>
        <v>0</v>
      </c>
      <c r="Y40" s="24">
        <f t="shared" si="33"/>
        <v>0</v>
      </c>
      <c r="Z40" s="24">
        <f>SUM(R40,T40,V40,X40)</f>
        <v>0</v>
      </c>
      <c r="AA40" s="24">
        <f t="shared" si="32"/>
        <v>0</v>
      </c>
      <c r="AB40" s="25">
        <f t="shared" si="34"/>
        <v>0</v>
      </c>
      <c r="AC40" s="25">
        <f t="shared" si="35"/>
        <v>0</v>
      </c>
      <c r="AD40" s="25">
        <f t="shared" si="36"/>
        <v>0</v>
      </c>
    </row>
    <row r="41" spans="1:30" hidden="1" x14ac:dyDescent="0.3">
      <c r="A41" s="9" t="s">
        <v>72</v>
      </c>
      <c r="B41" s="33">
        <v>45873</v>
      </c>
      <c r="C41" s="27">
        <v>33373</v>
      </c>
      <c r="D41" s="28">
        <f t="shared" si="37"/>
        <v>697</v>
      </c>
      <c r="E41" s="27">
        <v>3124</v>
      </c>
      <c r="F41" s="28">
        <f t="shared" si="37"/>
        <v>100</v>
      </c>
      <c r="G41" s="27">
        <v>13311</v>
      </c>
      <c r="H41" s="28">
        <f t="shared" si="25"/>
        <v>289</v>
      </c>
      <c r="I41" s="27">
        <v>3533</v>
      </c>
      <c r="J41" s="28">
        <f t="shared" si="38"/>
        <v>73</v>
      </c>
      <c r="K41" s="27">
        <v>9985</v>
      </c>
      <c r="L41" s="28">
        <f t="shared" si="38"/>
        <v>183</v>
      </c>
      <c r="M41" s="27">
        <v>466</v>
      </c>
      <c r="N41" s="30">
        <f t="shared" si="26"/>
        <v>9</v>
      </c>
      <c r="O41" s="29">
        <v>14801</v>
      </c>
      <c r="P41" s="28">
        <f t="shared" si="27"/>
        <v>314</v>
      </c>
      <c r="Q41" s="27">
        <v>2131</v>
      </c>
      <c r="R41" s="28">
        <f t="shared" si="28"/>
        <v>45</v>
      </c>
      <c r="S41" s="27">
        <v>2521</v>
      </c>
      <c r="T41" s="28">
        <f t="shared" si="29"/>
        <v>72</v>
      </c>
      <c r="U41" s="27"/>
      <c r="V41" s="28"/>
      <c r="W41" s="27">
        <v>257</v>
      </c>
      <c r="X41" s="28">
        <f t="shared" si="30"/>
        <v>5</v>
      </c>
      <c r="Y41" s="24">
        <f t="shared" si="33"/>
        <v>654</v>
      </c>
      <c r="Z41" s="24">
        <f t="shared" si="31"/>
        <v>122</v>
      </c>
      <c r="AA41" s="24">
        <f t="shared" si="32"/>
        <v>776</v>
      </c>
      <c r="AB41" s="25">
        <f t="shared" si="34"/>
        <v>43</v>
      </c>
      <c r="AC41" s="25">
        <f t="shared" si="35"/>
        <v>192</v>
      </c>
      <c r="AD41" s="25">
        <f t="shared" si="36"/>
        <v>235</v>
      </c>
    </row>
    <row r="42" spans="1:30" hidden="1" x14ac:dyDescent="0.3">
      <c r="A42" s="9" t="s">
        <v>66</v>
      </c>
      <c r="B42" s="33">
        <v>45874</v>
      </c>
      <c r="C42" s="27">
        <v>34070</v>
      </c>
      <c r="D42" s="28">
        <f>IF(C43&lt;&gt;"",C43-C42,"")</f>
        <v>746</v>
      </c>
      <c r="E42" s="27">
        <v>3224</v>
      </c>
      <c r="F42" s="28">
        <f>IF(E43&lt;&gt;"",E43-E42,"")</f>
        <v>112</v>
      </c>
      <c r="G42" s="27">
        <v>13600</v>
      </c>
      <c r="H42" s="28">
        <f t="shared" si="25"/>
        <v>300</v>
      </c>
      <c r="I42" s="27">
        <v>3606</v>
      </c>
      <c r="J42" s="28">
        <f>IF(I43&lt;&gt;"",I43-I42,"")</f>
        <v>69</v>
      </c>
      <c r="K42" s="27">
        <v>10168</v>
      </c>
      <c r="L42" s="28">
        <f>IF(K43&lt;&gt;"",K43-K42,"")</f>
        <v>216</v>
      </c>
      <c r="M42" s="27">
        <v>475</v>
      </c>
      <c r="N42" s="30">
        <f t="shared" si="26"/>
        <v>11</v>
      </c>
      <c r="O42" s="29">
        <v>15115</v>
      </c>
      <c r="P42" s="28">
        <f t="shared" si="27"/>
        <v>331</v>
      </c>
      <c r="Q42" s="27">
        <v>2176</v>
      </c>
      <c r="R42" s="28">
        <f t="shared" si="28"/>
        <v>48</v>
      </c>
      <c r="S42" s="27">
        <v>2593</v>
      </c>
      <c r="T42" s="28">
        <f t="shared" si="29"/>
        <v>73</v>
      </c>
      <c r="U42" s="27"/>
      <c r="V42" s="28" t="str">
        <f t="shared" ref="V42:V68" si="39">IF(U43&lt;&gt;"",U43-U42,"")</f>
        <v/>
      </c>
      <c r="W42" s="27">
        <v>262</v>
      </c>
      <c r="X42" s="28">
        <f t="shared" si="30"/>
        <v>5</v>
      </c>
      <c r="Y42" s="24">
        <f t="shared" si="33"/>
        <v>708</v>
      </c>
      <c r="Z42" s="24">
        <f t="shared" si="31"/>
        <v>126</v>
      </c>
      <c r="AA42" s="24">
        <f t="shared" si="32"/>
        <v>834</v>
      </c>
      <c r="AB42" s="25">
        <f t="shared" si="34"/>
        <v>38</v>
      </c>
      <c r="AC42" s="25">
        <f t="shared" si="35"/>
        <v>205</v>
      </c>
      <c r="AD42" s="25">
        <f t="shared" si="36"/>
        <v>243</v>
      </c>
    </row>
    <row r="43" spans="1:30" hidden="1" x14ac:dyDescent="0.3">
      <c r="A43" s="9" t="s">
        <v>67</v>
      </c>
      <c r="B43" s="33">
        <v>45875</v>
      </c>
      <c r="C43" s="27">
        <v>34816</v>
      </c>
      <c r="D43" s="28">
        <f t="shared" si="37"/>
        <v>697</v>
      </c>
      <c r="E43" s="27">
        <v>3336</v>
      </c>
      <c r="F43" s="28">
        <f t="shared" si="37"/>
        <v>120</v>
      </c>
      <c r="G43" s="27">
        <v>13900</v>
      </c>
      <c r="H43" s="28">
        <f t="shared" si="25"/>
        <v>272</v>
      </c>
      <c r="I43" s="27">
        <v>3675</v>
      </c>
      <c r="J43" s="28">
        <f t="shared" ref="J43:L44" si="40">IF(I44&lt;&gt;"",I44-I43,"")</f>
        <v>62</v>
      </c>
      <c r="K43" s="27">
        <v>10384</v>
      </c>
      <c r="L43" s="28">
        <f t="shared" si="40"/>
        <v>197</v>
      </c>
      <c r="M43" s="27">
        <v>486</v>
      </c>
      <c r="N43" s="30">
        <f t="shared" si="26"/>
        <v>9</v>
      </c>
      <c r="O43" s="29">
        <v>15446</v>
      </c>
      <c r="P43" s="28">
        <f t="shared" si="27"/>
        <v>315</v>
      </c>
      <c r="Q43" s="27">
        <v>2224</v>
      </c>
      <c r="R43" s="28">
        <f t="shared" si="28"/>
        <v>49</v>
      </c>
      <c r="S43" s="27">
        <v>2666</v>
      </c>
      <c r="T43" s="28">
        <f t="shared" si="29"/>
        <v>70</v>
      </c>
      <c r="U43" s="27"/>
      <c r="V43" s="28" t="str">
        <f t="shared" si="39"/>
        <v/>
      </c>
      <c r="W43" s="27">
        <v>267</v>
      </c>
      <c r="X43" s="28">
        <f t="shared" si="30"/>
        <v>5</v>
      </c>
      <c r="Y43" s="24">
        <f t="shared" si="33"/>
        <v>660</v>
      </c>
      <c r="Z43" s="24">
        <f t="shared" si="31"/>
        <v>124</v>
      </c>
      <c r="AA43" s="24">
        <f>SUM(F43,H43,J43,L43,N43,R43,T43,V43,X43)</f>
        <v>784</v>
      </c>
      <c r="AB43" s="25">
        <f t="shared" si="34"/>
        <v>37</v>
      </c>
      <c r="AC43" s="25">
        <f t="shared" si="35"/>
        <v>191</v>
      </c>
      <c r="AD43" s="25">
        <f t="shared" si="36"/>
        <v>228</v>
      </c>
    </row>
    <row r="44" spans="1:30" hidden="1" x14ac:dyDescent="0.3">
      <c r="A44" s="9" t="s">
        <v>68</v>
      </c>
      <c r="B44" s="33">
        <v>45876</v>
      </c>
      <c r="C44" s="27">
        <v>35513</v>
      </c>
      <c r="D44" s="28">
        <f t="shared" si="37"/>
        <v>818</v>
      </c>
      <c r="E44" s="27">
        <v>3456</v>
      </c>
      <c r="F44" s="28">
        <f t="shared" si="37"/>
        <v>113</v>
      </c>
      <c r="G44" s="27">
        <v>14172</v>
      </c>
      <c r="H44" s="28">
        <f t="shared" si="25"/>
        <v>318</v>
      </c>
      <c r="I44" s="27">
        <v>3737</v>
      </c>
      <c r="J44" s="28">
        <f t="shared" si="40"/>
        <v>72</v>
      </c>
      <c r="K44" s="27">
        <v>10581</v>
      </c>
      <c r="L44" s="28">
        <f t="shared" si="40"/>
        <v>233</v>
      </c>
      <c r="M44" s="27">
        <v>495</v>
      </c>
      <c r="N44" s="30">
        <f t="shared" si="26"/>
        <v>11</v>
      </c>
      <c r="O44" s="29">
        <v>15761</v>
      </c>
      <c r="P44" s="28">
        <f t="shared" si="27"/>
        <v>344</v>
      </c>
      <c r="Q44" s="27">
        <v>2273</v>
      </c>
      <c r="R44" s="28">
        <f t="shared" si="28"/>
        <v>43</v>
      </c>
      <c r="S44" s="27">
        <v>2736</v>
      </c>
      <c r="T44" s="28">
        <f t="shared" si="29"/>
        <v>82</v>
      </c>
      <c r="U44" s="27"/>
      <c r="V44" s="28" t="str">
        <f t="shared" si="39"/>
        <v/>
      </c>
      <c r="W44" s="27">
        <v>272</v>
      </c>
      <c r="X44" s="28">
        <f t="shared" si="30"/>
        <v>5</v>
      </c>
      <c r="Y44" s="24">
        <f t="shared" si="33"/>
        <v>747</v>
      </c>
      <c r="Z44" s="24">
        <f t="shared" si="31"/>
        <v>130</v>
      </c>
      <c r="AA44" s="24">
        <f t="shared" si="32"/>
        <v>877</v>
      </c>
      <c r="AB44" s="25">
        <f t="shared" si="34"/>
        <v>71</v>
      </c>
      <c r="AC44" s="25">
        <f t="shared" si="35"/>
        <v>214</v>
      </c>
      <c r="AD44" s="25">
        <f t="shared" si="36"/>
        <v>285</v>
      </c>
    </row>
    <row r="45" spans="1:30" hidden="1" x14ac:dyDescent="0.3">
      <c r="A45" s="9" t="s">
        <v>69</v>
      </c>
      <c r="B45" s="33">
        <v>45877</v>
      </c>
      <c r="C45" s="27">
        <v>36331</v>
      </c>
      <c r="D45" s="28">
        <f>IF(C46&lt;&gt;"",C46-C45,"")</f>
        <v>732</v>
      </c>
      <c r="E45" s="27">
        <v>3569</v>
      </c>
      <c r="F45" s="28">
        <f>IF(E46&lt;&gt;"",E46-E45,"")</f>
        <v>147</v>
      </c>
      <c r="G45" s="27">
        <v>14490</v>
      </c>
      <c r="H45" s="28">
        <f t="shared" si="25"/>
        <v>286</v>
      </c>
      <c r="I45" s="27">
        <v>3809</v>
      </c>
      <c r="J45" s="28">
        <f>IF(I46&lt;&gt;"",I46-I45,"")</f>
        <v>65</v>
      </c>
      <c r="K45" s="27">
        <v>10814</v>
      </c>
      <c r="L45" s="28">
        <f>IF(K46&lt;&gt;"",K46-K45,"")</f>
        <v>211</v>
      </c>
      <c r="M45" s="27">
        <v>506</v>
      </c>
      <c r="N45" s="30">
        <f t="shared" si="26"/>
        <v>10</v>
      </c>
      <c r="O45" s="29">
        <v>16105</v>
      </c>
      <c r="P45" s="28">
        <f t="shared" si="27"/>
        <v>289</v>
      </c>
      <c r="Q45" s="27">
        <v>2316</v>
      </c>
      <c r="R45" s="28">
        <f t="shared" si="28"/>
        <v>37</v>
      </c>
      <c r="S45" s="27">
        <v>2818</v>
      </c>
      <c r="T45" s="28">
        <f t="shared" si="29"/>
        <v>67</v>
      </c>
      <c r="U45" s="27"/>
      <c r="V45" s="28" t="str">
        <f t="shared" si="39"/>
        <v/>
      </c>
      <c r="W45" s="27">
        <v>277</v>
      </c>
      <c r="X45" s="28">
        <f t="shared" si="30"/>
        <v>4</v>
      </c>
      <c r="Y45" s="24">
        <f t="shared" si="33"/>
        <v>719</v>
      </c>
      <c r="Z45" s="24">
        <f t="shared" si="31"/>
        <v>108</v>
      </c>
      <c r="AA45" s="24">
        <f t="shared" si="32"/>
        <v>827</v>
      </c>
      <c r="AB45" s="25">
        <f t="shared" si="34"/>
        <v>13</v>
      </c>
      <c r="AC45" s="25">
        <f t="shared" si="35"/>
        <v>181</v>
      </c>
      <c r="AD45" s="25">
        <f t="shared" si="36"/>
        <v>194</v>
      </c>
    </row>
    <row r="46" spans="1:30" hidden="1" x14ac:dyDescent="0.3">
      <c r="A46" s="9" t="s">
        <v>70</v>
      </c>
      <c r="B46" s="33">
        <v>45878</v>
      </c>
      <c r="C46" s="27">
        <v>37063</v>
      </c>
      <c r="D46" s="28">
        <f>IF(C47&lt;&gt;"",C47-C46,"")</f>
        <v>700</v>
      </c>
      <c r="E46" s="27">
        <v>3716</v>
      </c>
      <c r="F46" s="28">
        <f>IF(E47&lt;&gt;"",E47-E46,"")</f>
        <v>119</v>
      </c>
      <c r="G46" s="27">
        <v>14776</v>
      </c>
      <c r="H46" s="28">
        <f t="shared" si="25"/>
        <v>269</v>
      </c>
      <c r="I46" s="27">
        <v>3874</v>
      </c>
      <c r="J46" s="28">
        <f>IF(I47&lt;&gt;"",I47-I46,"")</f>
        <v>56</v>
      </c>
      <c r="K46" s="27">
        <v>11025</v>
      </c>
      <c r="L46" s="28">
        <f>IF(K47&lt;&gt;"",K47-K46,"")</f>
        <v>208</v>
      </c>
      <c r="M46" s="27">
        <v>516</v>
      </c>
      <c r="N46" s="30">
        <f t="shared" si="26"/>
        <v>9</v>
      </c>
      <c r="O46" s="29">
        <v>16394</v>
      </c>
      <c r="P46" s="28">
        <f t="shared" si="27"/>
        <v>253</v>
      </c>
      <c r="Q46" s="27">
        <v>2353</v>
      </c>
      <c r="R46" s="28">
        <f t="shared" si="28"/>
        <v>37</v>
      </c>
      <c r="S46" s="27">
        <v>2885</v>
      </c>
      <c r="T46" s="28">
        <f t="shared" si="29"/>
        <v>56</v>
      </c>
      <c r="U46" s="27"/>
      <c r="V46" s="28" t="str">
        <f t="shared" si="39"/>
        <v/>
      </c>
      <c r="W46" s="27">
        <v>281</v>
      </c>
      <c r="X46" s="28">
        <f t="shared" si="30"/>
        <v>3</v>
      </c>
      <c r="Y46" s="24">
        <f t="shared" si="33"/>
        <v>661</v>
      </c>
      <c r="Z46" s="24">
        <f t="shared" si="31"/>
        <v>96</v>
      </c>
      <c r="AA46" s="24">
        <f t="shared" si="32"/>
        <v>757</v>
      </c>
      <c r="AB46" s="25">
        <f t="shared" si="34"/>
        <v>39</v>
      </c>
      <c r="AC46" s="25">
        <f t="shared" si="35"/>
        <v>157</v>
      </c>
      <c r="AD46" s="25">
        <f t="shared" si="36"/>
        <v>196</v>
      </c>
    </row>
    <row r="47" spans="1:30" hidden="1" x14ac:dyDescent="0.3">
      <c r="A47" s="9" t="s">
        <v>71</v>
      </c>
      <c r="B47" s="33">
        <v>45879</v>
      </c>
      <c r="C47" s="27">
        <v>37763</v>
      </c>
      <c r="D47" s="28">
        <f t="shared" ref="D47:F62" si="41">IF(C48&lt;&gt;"",C48-C47,"")</f>
        <v>18</v>
      </c>
      <c r="E47" s="27">
        <v>3835</v>
      </c>
      <c r="F47" s="28">
        <v>0</v>
      </c>
      <c r="G47" s="27">
        <v>15045</v>
      </c>
      <c r="H47" s="28">
        <f t="shared" ref="H47:H68" si="42">IF(G48&lt;&gt;"",G48-G47,"")</f>
        <v>0</v>
      </c>
      <c r="I47" s="27">
        <v>3930</v>
      </c>
      <c r="J47" s="28">
        <f t="shared" ref="J47:L62" si="43">IF(I48&lt;&gt;"",I48-I47,"")</f>
        <v>0</v>
      </c>
      <c r="K47" s="27">
        <v>11233</v>
      </c>
      <c r="L47" s="28">
        <f t="shared" si="43"/>
        <v>3</v>
      </c>
      <c r="M47" s="27">
        <v>525</v>
      </c>
      <c r="N47" s="30">
        <f t="shared" ref="N47:N68" si="44">IF(M48&lt;&gt;"",M48-M47,"")</f>
        <v>2</v>
      </c>
      <c r="O47" s="29">
        <v>16647</v>
      </c>
      <c r="P47" s="28">
        <f t="shared" ref="P47:P68" si="45">IF(O48&lt;&gt;"",O48-O47,"")</f>
        <v>15</v>
      </c>
      <c r="Q47" s="27">
        <v>2390</v>
      </c>
      <c r="R47" s="28">
        <f t="shared" si="28"/>
        <v>0</v>
      </c>
      <c r="S47" s="27">
        <v>2941</v>
      </c>
      <c r="T47" s="28">
        <f t="shared" ref="T47:T68" si="46">IF(S48&lt;&gt;"",S48-S47,"")</f>
        <v>0</v>
      </c>
      <c r="U47" s="27"/>
      <c r="V47" s="28" t="str">
        <f t="shared" si="39"/>
        <v/>
      </c>
      <c r="W47" s="27">
        <v>284</v>
      </c>
      <c r="X47" s="28">
        <f t="shared" ref="X47:X68" si="47">IF(W48&lt;&gt;"",W48-W47,"")</f>
        <v>1</v>
      </c>
      <c r="Y47" s="24">
        <f t="shared" si="33"/>
        <v>5</v>
      </c>
      <c r="Z47" s="24">
        <f t="shared" si="31"/>
        <v>1</v>
      </c>
      <c r="AA47" s="24">
        <f t="shared" si="32"/>
        <v>6</v>
      </c>
      <c r="AB47" s="25">
        <f t="shared" si="34"/>
        <v>13</v>
      </c>
      <c r="AC47" s="25">
        <f t="shared" si="35"/>
        <v>14</v>
      </c>
      <c r="AD47" s="25">
        <f t="shared" si="36"/>
        <v>27</v>
      </c>
    </row>
    <row r="48" spans="1:30" hidden="1" x14ac:dyDescent="0.3">
      <c r="A48" s="9" t="s">
        <v>72</v>
      </c>
      <c r="B48" s="33">
        <v>45880</v>
      </c>
      <c r="C48" s="27">
        <v>37781</v>
      </c>
      <c r="D48" s="28">
        <f t="shared" si="41"/>
        <v>704</v>
      </c>
      <c r="E48" s="27">
        <v>3835</v>
      </c>
      <c r="F48" s="28">
        <f t="shared" si="41"/>
        <v>116</v>
      </c>
      <c r="G48" s="27">
        <v>15045</v>
      </c>
      <c r="H48" s="28">
        <f t="shared" si="42"/>
        <v>286</v>
      </c>
      <c r="I48" s="27">
        <v>3930</v>
      </c>
      <c r="J48" s="28">
        <f t="shared" si="43"/>
        <v>59</v>
      </c>
      <c r="K48" s="27">
        <v>11236</v>
      </c>
      <c r="L48" s="28">
        <f t="shared" si="43"/>
        <v>202</v>
      </c>
      <c r="M48" s="27">
        <v>527</v>
      </c>
      <c r="N48" s="30">
        <f t="shared" si="44"/>
        <v>9</v>
      </c>
      <c r="O48" s="29">
        <v>16662</v>
      </c>
      <c r="P48" s="28">
        <f t="shared" si="45"/>
        <v>350</v>
      </c>
      <c r="Q48" s="27">
        <v>2390</v>
      </c>
      <c r="R48" s="28">
        <f t="shared" si="28"/>
        <v>30</v>
      </c>
      <c r="S48" s="27">
        <v>2941</v>
      </c>
      <c r="T48" s="28">
        <f t="shared" si="46"/>
        <v>108</v>
      </c>
      <c r="U48" s="27"/>
      <c r="V48" s="28" t="str">
        <f t="shared" si="39"/>
        <v/>
      </c>
      <c r="W48" s="27">
        <v>285</v>
      </c>
      <c r="X48" s="28">
        <f t="shared" si="47"/>
        <v>4</v>
      </c>
      <c r="Y48" s="24">
        <f t="shared" si="33"/>
        <v>672</v>
      </c>
      <c r="Z48" s="24">
        <f t="shared" si="31"/>
        <v>142</v>
      </c>
      <c r="AA48" s="24">
        <f t="shared" si="32"/>
        <v>814</v>
      </c>
      <c r="AB48" s="25">
        <f t="shared" si="34"/>
        <v>32</v>
      </c>
      <c r="AC48" s="25">
        <f t="shared" si="35"/>
        <v>208</v>
      </c>
      <c r="AD48" s="25">
        <f t="shared" si="36"/>
        <v>240</v>
      </c>
    </row>
    <row r="49" spans="1:30" hidden="1" x14ac:dyDescent="0.3">
      <c r="A49" s="9" t="s">
        <v>66</v>
      </c>
      <c r="B49" s="33">
        <v>45881</v>
      </c>
      <c r="C49" s="27">
        <v>38485</v>
      </c>
      <c r="D49" s="28">
        <f t="shared" si="41"/>
        <v>684</v>
      </c>
      <c r="E49" s="27">
        <v>3951</v>
      </c>
      <c r="F49" s="28">
        <f t="shared" si="41"/>
        <v>117</v>
      </c>
      <c r="G49" s="27">
        <v>15331</v>
      </c>
      <c r="H49" s="28">
        <f t="shared" si="42"/>
        <v>249</v>
      </c>
      <c r="I49" s="27">
        <v>3989</v>
      </c>
      <c r="J49" s="28">
        <f t="shared" si="43"/>
        <v>63</v>
      </c>
      <c r="K49" s="27">
        <v>11438</v>
      </c>
      <c r="L49" s="28">
        <f t="shared" si="43"/>
        <v>208</v>
      </c>
      <c r="M49" s="27">
        <v>536</v>
      </c>
      <c r="N49" s="30">
        <f t="shared" si="44"/>
        <v>10</v>
      </c>
      <c r="O49" s="29">
        <v>17012</v>
      </c>
      <c r="P49" s="28">
        <f t="shared" si="45"/>
        <v>272</v>
      </c>
      <c r="Q49" s="27">
        <v>2420</v>
      </c>
      <c r="R49" s="28">
        <f t="shared" si="28"/>
        <v>33</v>
      </c>
      <c r="S49" s="27">
        <v>3049</v>
      </c>
      <c r="T49" s="28">
        <f t="shared" si="46"/>
        <v>57</v>
      </c>
      <c r="U49" s="27"/>
      <c r="V49" s="28" t="str">
        <f t="shared" si="39"/>
        <v/>
      </c>
      <c r="W49" s="27">
        <v>289</v>
      </c>
      <c r="X49" s="28">
        <f>IF(W50&lt;&gt;"",W50-W49,"")</f>
        <v>5</v>
      </c>
      <c r="Y49" s="24">
        <f t="shared" si="33"/>
        <v>647</v>
      </c>
      <c r="Z49" s="24">
        <f t="shared" si="31"/>
        <v>95</v>
      </c>
      <c r="AA49" s="24">
        <f t="shared" si="32"/>
        <v>742</v>
      </c>
      <c r="AB49" s="25">
        <f t="shared" si="34"/>
        <v>37</v>
      </c>
      <c r="AC49" s="25">
        <f t="shared" si="35"/>
        <v>177</v>
      </c>
      <c r="AD49" s="25">
        <f t="shared" si="36"/>
        <v>214</v>
      </c>
    </row>
    <row r="50" spans="1:30" hidden="1" x14ac:dyDescent="0.3">
      <c r="A50" s="9" t="s">
        <v>67</v>
      </c>
      <c r="B50" s="33">
        <v>45882</v>
      </c>
      <c r="C50" s="27">
        <v>39169</v>
      </c>
      <c r="D50" s="28">
        <f t="shared" si="41"/>
        <v>720</v>
      </c>
      <c r="E50" s="27">
        <v>4068</v>
      </c>
      <c r="F50" s="28">
        <f t="shared" si="41"/>
        <v>115</v>
      </c>
      <c r="G50" s="27">
        <v>15580</v>
      </c>
      <c r="H50" s="28">
        <f t="shared" si="42"/>
        <v>264</v>
      </c>
      <c r="I50" s="27">
        <v>4052</v>
      </c>
      <c r="J50" s="28">
        <f t="shared" si="43"/>
        <v>62</v>
      </c>
      <c r="K50" s="27">
        <v>11646</v>
      </c>
      <c r="L50" s="28">
        <f t="shared" si="43"/>
        <v>220</v>
      </c>
      <c r="M50" s="27">
        <v>546</v>
      </c>
      <c r="N50" s="30">
        <f t="shared" si="44"/>
        <v>11</v>
      </c>
      <c r="O50" s="29">
        <v>17284</v>
      </c>
      <c r="P50" s="28">
        <f t="shared" si="45"/>
        <v>324</v>
      </c>
      <c r="Q50" s="27">
        <v>2453</v>
      </c>
      <c r="R50" s="28">
        <f t="shared" si="28"/>
        <v>42</v>
      </c>
      <c r="S50" s="27">
        <v>3106</v>
      </c>
      <c r="T50" s="28">
        <f t="shared" si="46"/>
        <v>64</v>
      </c>
      <c r="U50" s="27"/>
      <c r="V50" s="28" t="str">
        <f t="shared" si="39"/>
        <v/>
      </c>
      <c r="W50" s="27">
        <v>294</v>
      </c>
      <c r="X50" s="28">
        <f t="shared" si="47"/>
        <v>5</v>
      </c>
      <c r="Y50" s="24">
        <f t="shared" si="33"/>
        <v>672</v>
      </c>
      <c r="Z50" s="24">
        <f t="shared" si="31"/>
        <v>111</v>
      </c>
      <c r="AA50" s="24">
        <f t="shared" si="32"/>
        <v>783</v>
      </c>
      <c r="AB50" s="25">
        <f t="shared" si="34"/>
        <v>48</v>
      </c>
      <c r="AC50" s="25">
        <f t="shared" si="35"/>
        <v>213</v>
      </c>
      <c r="AD50" s="25">
        <f t="shared" si="36"/>
        <v>261</v>
      </c>
    </row>
    <row r="51" spans="1:30" hidden="1" x14ac:dyDescent="0.3">
      <c r="A51" s="9" t="s">
        <v>68</v>
      </c>
      <c r="B51" s="33">
        <v>45883</v>
      </c>
      <c r="C51" s="27">
        <v>39889</v>
      </c>
      <c r="D51" s="28">
        <f t="shared" si="41"/>
        <v>2</v>
      </c>
      <c r="E51" s="27">
        <v>4183</v>
      </c>
      <c r="F51" s="28">
        <f t="shared" si="41"/>
        <v>0</v>
      </c>
      <c r="G51" s="27">
        <v>15844</v>
      </c>
      <c r="H51" s="28">
        <f t="shared" si="42"/>
        <v>0</v>
      </c>
      <c r="I51" s="27">
        <v>4114</v>
      </c>
      <c r="J51" s="28">
        <f t="shared" si="43"/>
        <v>0</v>
      </c>
      <c r="K51" s="27">
        <v>11866</v>
      </c>
      <c r="L51" s="28">
        <f t="shared" si="43"/>
        <v>0</v>
      </c>
      <c r="M51" s="27">
        <v>557</v>
      </c>
      <c r="N51" s="30">
        <f t="shared" si="44"/>
        <v>0</v>
      </c>
      <c r="O51" s="29">
        <v>17608</v>
      </c>
      <c r="P51" s="28">
        <f t="shared" si="45"/>
        <v>0</v>
      </c>
      <c r="Q51" s="27">
        <v>2495</v>
      </c>
      <c r="R51" s="28">
        <f t="shared" si="28"/>
        <v>0</v>
      </c>
      <c r="S51" s="27">
        <v>3170</v>
      </c>
      <c r="T51" s="28">
        <f t="shared" si="46"/>
        <v>0</v>
      </c>
      <c r="U51" s="27"/>
      <c r="V51" s="28" t="str">
        <f t="shared" si="39"/>
        <v/>
      </c>
      <c r="W51" s="27">
        <v>299</v>
      </c>
      <c r="X51" s="28">
        <f t="shared" si="47"/>
        <v>0</v>
      </c>
      <c r="Y51" s="24">
        <f t="shared" si="33"/>
        <v>0</v>
      </c>
      <c r="Z51" s="24">
        <f t="shared" si="31"/>
        <v>0</v>
      </c>
      <c r="AA51" s="24">
        <f t="shared" si="32"/>
        <v>0</v>
      </c>
      <c r="AB51" s="25">
        <f t="shared" si="34"/>
        <v>2</v>
      </c>
      <c r="AC51" s="25">
        <f t="shared" si="35"/>
        <v>0</v>
      </c>
      <c r="AD51" s="25">
        <f t="shared" si="36"/>
        <v>2</v>
      </c>
    </row>
    <row r="52" spans="1:30" hidden="1" x14ac:dyDescent="0.3">
      <c r="A52" s="9" t="s">
        <v>69</v>
      </c>
      <c r="B52" s="33">
        <v>45884</v>
      </c>
      <c r="C52" s="27">
        <v>39891</v>
      </c>
      <c r="D52" s="28">
        <f t="shared" si="41"/>
        <v>829</v>
      </c>
      <c r="E52" s="27">
        <v>4183</v>
      </c>
      <c r="F52" s="28">
        <f t="shared" si="41"/>
        <v>144</v>
      </c>
      <c r="G52" s="27">
        <v>15844</v>
      </c>
      <c r="H52" s="28">
        <f t="shared" si="42"/>
        <v>313</v>
      </c>
      <c r="I52" s="27">
        <v>4114</v>
      </c>
      <c r="J52" s="28">
        <f t="shared" si="43"/>
        <v>59</v>
      </c>
      <c r="K52" s="27">
        <v>11866</v>
      </c>
      <c r="L52" s="28">
        <f t="shared" si="43"/>
        <v>257</v>
      </c>
      <c r="M52" s="27">
        <v>557</v>
      </c>
      <c r="N52" s="30">
        <f t="shared" si="44"/>
        <v>9</v>
      </c>
      <c r="O52" s="29">
        <v>17608</v>
      </c>
      <c r="P52" s="28">
        <f t="shared" si="45"/>
        <v>330</v>
      </c>
      <c r="Q52" s="27">
        <v>2495</v>
      </c>
      <c r="R52" s="28">
        <f t="shared" si="28"/>
        <v>48</v>
      </c>
      <c r="S52" s="27">
        <v>3170</v>
      </c>
      <c r="T52" s="28">
        <f t="shared" si="46"/>
        <v>65</v>
      </c>
      <c r="U52" s="27"/>
      <c r="V52" s="28" t="str">
        <f t="shared" si="39"/>
        <v/>
      </c>
      <c r="W52" s="27">
        <v>299</v>
      </c>
      <c r="X52" s="28">
        <f t="shared" si="47"/>
        <v>4</v>
      </c>
      <c r="Y52" s="24">
        <f t="shared" si="33"/>
        <v>782</v>
      </c>
      <c r="Z52" s="24">
        <f t="shared" si="31"/>
        <v>117</v>
      </c>
      <c r="AA52" s="24">
        <f t="shared" si="32"/>
        <v>899</v>
      </c>
      <c r="AB52" s="25">
        <f t="shared" si="34"/>
        <v>47</v>
      </c>
      <c r="AC52" s="25">
        <f t="shared" si="35"/>
        <v>213</v>
      </c>
      <c r="AD52" s="25">
        <f t="shared" si="36"/>
        <v>260</v>
      </c>
    </row>
    <row r="53" spans="1:30" hidden="1" x14ac:dyDescent="0.3">
      <c r="A53" s="9" t="s">
        <v>70</v>
      </c>
      <c r="B53" s="33">
        <v>45885</v>
      </c>
      <c r="C53" s="27">
        <v>40720</v>
      </c>
      <c r="D53" s="28">
        <f t="shared" si="41"/>
        <v>559</v>
      </c>
      <c r="E53" s="27">
        <v>4327</v>
      </c>
      <c r="F53" s="28">
        <f t="shared" si="41"/>
        <v>86</v>
      </c>
      <c r="G53" s="27">
        <v>16157</v>
      </c>
      <c r="H53" s="28">
        <f t="shared" si="42"/>
        <v>228</v>
      </c>
      <c r="I53" s="27">
        <v>4173</v>
      </c>
      <c r="J53" s="28">
        <f t="shared" si="43"/>
        <v>34</v>
      </c>
      <c r="K53" s="27">
        <v>12123</v>
      </c>
      <c r="L53" s="28">
        <f t="shared" si="43"/>
        <v>170</v>
      </c>
      <c r="M53" s="27">
        <v>566</v>
      </c>
      <c r="N53" s="30">
        <f t="shared" si="44"/>
        <v>8</v>
      </c>
      <c r="O53" s="29">
        <v>17938</v>
      </c>
      <c r="P53" s="28">
        <f t="shared" si="45"/>
        <v>234</v>
      </c>
      <c r="Q53" s="27">
        <v>2543</v>
      </c>
      <c r="R53" s="28">
        <f t="shared" si="28"/>
        <v>34</v>
      </c>
      <c r="S53" s="27">
        <v>3235</v>
      </c>
      <c r="T53" s="28">
        <f t="shared" si="46"/>
        <v>46</v>
      </c>
      <c r="U53" s="27"/>
      <c r="V53" s="28" t="str">
        <f t="shared" si="39"/>
        <v/>
      </c>
      <c r="W53" s="27">
        <v>303</v>
      </c>
      <c r="X53" s="28">
        <f t="shared" si="47"/>
        <v>4</v>
      </c>
      <c r="Y53" s="24">
        <f>SUM(F53,H53,J53,L53,N53)</f>
        <v>526</v>
      </c>
      <c r="Z53" s="24">
        <f t="shared" si="31"/>
        <v>84</v>
      </c>
      <c r="AA53" s="24">
        <f t="shared" si="32"/>
        <v>610</v>
      </c>
      <c r="AB53" s="25">
        <f t="shared" si="34"/>
        <v>33</v>
      </c>
      <c r="AC53" s="25">
        <f t="shared" si="35"/>
        <v>150</v>
      </c>
      <c r="AD53" s="25">
        <f t="shared" si="36"/>
        <v>183</v>
      </c>
    </row>
    <row r="54" spans="1:30" hidden="1" x14ac:dyDescent="0.3">
      <c r="A54" s="9" t="s">
        <v>71</v>
      </c>
      <c r="B54" s="33">
        <v>45886</v>
      </c>
      <c r="C54" s="27">
        <v>41279</v>
      </c>
      <c r="D54" s="28">
        <f t="shared" si="41"/>
        <v>36</v>
      </c>
      <c r="E54" s="27">
        <v>4413</v>
      </c>
      <c r="F54" s="28">
        <f t="shared" si="41"/>
        <v>3</v>
      </c>
      <c r="G54" s="27">
        <v>16385</v>
      </c>
      <c r="H54" s="28">
        <f t="shared" si="42"/>
        <v>2</v>
      </c>
      <c r="I54" s="27">
        <v>4207</v>
      </c>
      <c r="J54" s="28">
        <f t="shared" si="43"/>
        <v>3</v>
      </c>
      <c r="K54" s="27">
        <v>12293</v>
      </c>
      <c r="L54" s="28">
        <f t="shared" si="43"/>
        <v>10</v>
      </c>
      <c r="M54" s="27">
        <v>574</v>
      </c>
      <c r="N54" s="30">
        <f t="shared" si="44"/>
        <v>5</v>
      </c>
      <c r="O54" s="29">
        <v>18172</v>
      </c>
      <c r="P54" s="28">
        <f t="shared" si="45"/>
        <v>32</v>
      </c>
      <c r="Q54" s="27">
        <v>2577</v>
      </c>
      <c r="R54" s="28">
        <f t="shared" si="28"/>
        <v>0</v>
      </c>
      <c r="S54" s="27">
        <v>3281</v>
      </c>
      <c r="T54" s="28">
        <f t="shared" si="46"/>
        <v>2</v>
      </c>
      <c r="U54" s="27"/>
      <c r="V54" s="28" t="str">
        <f t="shared" si="39"/>
        <v/>
      </c>
      <c r="W54" s="27">
        <v>307</v>
      </c>
      <c r="X54" s="28">
        <f t="shared" si="47"/>
        <v>2</v>
      </c>
      <c r="Y54" s="24">
        <f t="shared" si="33"/>
        <v>23</v>
      </c>
      <c r="Z54" s="24">
        <f>SUM(R54,T54,V54,X54)</f>
        <v>4</v>
      </c>
      <c r="AA54" s="24">
        <f>SUM(F54,H54,J54,L54,N54,R54,T54,V54,X54)</f>
        <v>27</v>
      </c>
      <c r="AB54" s="25">
        <f t="shared" si="34"/>
        <v>13</v>
      </c>
      <c r="AC54" s="25">
        <f t="shared" si="35"/>
        <v>28</v>
      </c>
      <c r="AD54" s="25">
        <f t="shared" si="36"/>
        <v>41</v>
      </c>
    </row>
    <row r="55" spans="1:30" hidden="1" x14ac:dyDescent="0.3">
      <c r="A55" s="9" t="s">
        <v>72</v>
      </c>
      <c r="B55" s="33">
        <v>45887</v>
      </c>
      <c r="C55" s="27">
        <v>41315</v>
      </c>
      <c r="D55" s="28">
        <f t="shared" si="41"/>
        <v>632</v>
      </c>
      <c r="E55" s="27">
        <v>4416</v>
      </c>
      <c r="F55" s="28">
        <f t="shared" si="41"/>
        <v>107</v>
      </c>
      <c r="G55" s="27">
        <v>16387</v>
      </c>
      <c r="H55" s="28">
        <f t="shared" si="42"/>
        <v>241</v>
      </c>
      <c r="I55" s="27">
        <v>4210</v>
      </c>
      <c r="J55" s="28">
        <f t="shared" si="43"/>
        <v>57</v>
      </c>
      <c r="K55" s="27">
        <v>12303</v>
      </c>
      <c r="L55" s="28">
        <f t="shared" si="43"/>
        <v>204</v>
      </c>
      <c r="M55" s="27">
        <v>579</v>
      </c>
      <c r="N55" s="30">
        <f t="shared" si="44"/>
        <v>8</v>
      </c>
      <c r="O55" s="29">
        <v>18204</v>
      </c>
      <c r="P55" s="28">
        <f t="shared" si="45"/>
        <v>279</v>
      </c>
      <c r="Q55" s="27">
        <v>2577</v>
      </c>
      <c r="R55" s="28">
        <f t="shared" si="28"/>
        <v>51</v>
      </c>
      <c r="S55" s="27">
        <v>3283</v>
      </c>
      <c r="T55" s="28">
        <f t="shared" si="46"/>
        <v>55</v>
      </c>
      <c r="U55" s="27"/>
      <c r="V55" s="28" t="str">
        <f t="shared" si="39"/>
        <v/>
      </c>
      <c r="W55" s="27">
        <v>309</v>
      </c>
      <c r="X55" s="28">
        <f t="shared" si="47"/>
        <v>4</v>
      </c>
      <c r="Y55" s="24">
        <f t="shared" si="33"/>
        <v>617</v>
      </c>
      <c r="Z55" s="24">
        <f t="shared" si="31"/>
        <v>110</v>
      </c>
      <c r="AA55" s="24">
        <f t="shared" si="32"/>
        <v>727</v>
      </c>
      <c r="AB55" s="25">
        <f t="shared" si="34"/>
        <v>15</v>
      </c>
      <c r="AC55" s="25">
        <f t="shared" si="35"/>
        <v>169</v>
      </c>
      <c r="AD55" s="25">
        <f t="shared" si="36"/>
        <v>184</v>
      </c>
    </row>
    <row r="56" spans="1:30" hidden="1" x14ac:dyDescent="0.3">
      <c r="A56" s="9" t="s">
        <v>66</v>
      </c>
      <c r="B56" s="33">
        <v>45888</v>
      </c>
      <c r="C56" s="27">
        <v>41947</v>
      </c>
      <c r="D56" s="28">
        <f t="shared" si="41"/>
        <v>718</v>
      </c>
      <c r="E56" s="27">
        <v>4523</v>
      </c>
      <c r="F56" s="28">
        <f t="shared" si="41"/>
        <v>115</v>
      </c>
      <c r="G56" s="27">
        <v>16628</v>
      </c>
      <c r="H56" s="28">
        <f t="shared" si="42"/>
        <v>266</v>
      </c>
      <c r="I56" s="27">
        <v>4267</v>
      </c>
      <c r="J56" s="28">
        <f t="shared" si="43"/>
        <v>52</v>
      </c>
      <c r="K56" s="27">
        <v>12507</v>
      </c>
      <c r="L56" s="28">
        <f t="shared" si="43"/>
        <v>202</v>
      </c>
      <c r="M56" s="27">
        <v>587</v>
      </c>
      <c r="N56" s="30">
        <f t="shared" si="44"/>
        <v>11</v>
      </c>
      <c r="O56" s="29">
        <v>18483</v>
      </c>
      <c r="P56" s="28">
        <f t="shared" si="45"/>
        <v>305</v>
      </c>
      <c r="Q56" s="27">
        <v>2628</v>
      </c>
      <c r="R56" s="28">
        <f t="shared" si="28"/>
        <v>1</v>
      </c>
      <c r="S56" s="27">
        <v>3338</v>
      </c>
      <c r="T56" s="28">
        <f t="shared" si="46"/>
        <v>60</v>
      </c>
      <c r="U56" s="27"/>
      <c r="V56" s="28" t="str">
        <f t="shared" si="39"/>
        <v/>
      </c>
      <c r="W56" s="27">
        <v>313</v>
      </c>
      <c r="X56" s="28">
        <f t="shared" si="47"/>
        <v>4</v>
      </c>
      <c r="Y56" s="24">
        <f t="shared" si="33"/>
        <v>646</v>
      </c>
      <c r="Z56" s="24">
        <f t="shared" si="31"/>
        <v>65</v>
      </c>
      <c r="AA56" s="24">
        <f t="shared" si="32"/>
        <v>711</v>
      </c>
      <c r="AB56" s="25">
        <f t="shared" si="34"/>
        <v>72</v>
      </c>
      <c r="AC56" s="25">
        <f t="shared" si="35"/>
        <v>240</v>
      </c>
      <c r="AD56" s="25">
        <f t="shared" si="36"/>
        <v>312</v>
      </c>
    </row>
    <row r="57" spans="1:30" hidden="1" x14ac:dyDescent="0.3">
      <c r="A57" s="9" t="s">
        <v>67</v>
      </c>
      <c r="B57" s="33">
        <v>45889</v>
      </c>
      <c r="C57" s="27">
        <v>42665</v>
      </c>
      <c r="D57" s="28">
        <f t="shared" si="41"/>
        <v>718</v>
      </c>
      <c r="E57" s="27">
        <v>4638</v>
      </c>
      <c r="F57" s="28">
        <f t="shared" si="41"/>
        <v>128</v>
      </c>
      <c r="G57" s="27">
        <v>16894</v>
      </c>
      <c r="H57" s="28">
        <f t="shared" si="42"/>
        <v>278</v>
      </c>
      <c r="I57" s="27">
        <v>4319</v>
      </c>
      <c r="J57" s="28">
        <f t="shared" si="43"/>
        <v>58</v>
      </c>
      <c r="K57" s="27">
        <v>12709</v>
      </c>
      <c r="L57" s="28">
        <f t="shared" si="43"/>
        <v>207</v>
      </c>
      <c r="M57" s="27">
        <v>598</v>
      </c>
      <c r="N57" s="30">
        <f t="shared" si="44"/>
        <v>11</v>
      </c>
      <c r="O57" s="29">
        <v>18788</v>
      </c>
      <c r="P57" s="28">
        <f t="shared" si="45"/>
        <v>294</v>
      </c>
      <c r="Q57" s="27">
        <v>2629</v>
      </c>
      <c r="R57" s="28">
        <f t="shared" si="28"/>
        <v>76</v>
      </c>
      <c r="S57" s="27">
        <v>3398</v>
      </c>
      <c r="T57" s="28">
        <f t="shared" si="46"/>
        <v>45</v>
      </c>
      <c r="U57" s="27"/>
      <c r="V57" s="28" t="str">
        <f t="shared" si="39"/>
        <v/>
      </c>
      <c r="W57" s="27">
        <v>317</v>
      </c>
      <c r="X57" s="28">
        <f t="shared" si="47"/>
        <v>5</v>
      </c>
      <c r="Y57" s="24">
        <f t="shared" si="33"/>
        <v>682</v>
      </c>
      <c r="Z57" s="24">
        <f t="shared" si="31"/>
        <v>126</v>
      </c>
      <c r="AA57" s="24">
        <f t="shared" si="32"/>
        <v>808</v>
      </c>
      <c r="AB57" s="25">
        <f t="shared" si="34"/>
        <v>36</v>
      </c>
      <c r="AC57" s="25">
        <f t="shared" si="35"/>
        <v>168</v>
      </c>
      <c r="AD57" s="25">
        <f t="shared" si="36"/>
        <v>204</v>
      </c>
    </row>
    <row r="58" spans="1:30" hidden="1" x14ac:dyDescent="0.3">
      <c r="A58" s="9" t="s">
        <v>68</v>
      </c>
      <c r="B58" s="33">
        <v>45890</v>
      </c>
      <c r="C58" s="27">
        <v>43383</v>
      </c>
      <c r="D58" s="28">
        <f t="shared" si="41"/>
        <v>737</v>
      </c>
      <c r="E58" s="27">
        <v>4766</v>
      </c>
      <c r="F58" s="28">
        <f t="shared" si="41"/>
        <v>115</v>
      </c>
      <c r="G58" s="27">
        <v>17172</v>
      </c>
      <c r="H58" s="28">
        <f t="shared" si="42"/>
        <v>278</v>
      </c>
      <c r="I58" s="27">
        <v>4377</v>
      </c>
      <c r="J58" s="28">
        <f t="shared" si="43"/>
        <v>72</v>
      </c>
      <c r="K58" s="27">
        <v>12916</v>
      </c>
      <c r="L58" s="28">
        <f t="shared" si="43"/>
        <v>219</v>
      </c>
      <c r="M58" s="27">
        <v>609</v>
      </c>
      <c r="N58" s="30">
        <f t="shared" si="44"/>
        <v>11</v>
      </c>
      <c r="O58" s="29">
        <v>19082</v>
      </c>
      <c r="P58" s="28">
        <f t="shared" si="45"/>
        <v>312</v>
      </c>
      <c r="Q58" s="27">
        <v>2705</v>
      </c>
      <c r="R58" s="28">
        <f t="shared" si="28"/>
        <v>36</v>
      </c>
      <c r="S58" s="27">
        <v>3443</v>
      </c>
      <c r="T58" s="28">
        <f t="shared" si="46"/>
        <v>63</v>
      </c>
      <c r="U58" s="27"/>
      <c r="V58" s="28" t="str">
        <f t="shared" si="39"/>
        <v/>
      </c>
      <c r="W58" s="27">
        <v>322</v>
      </c>
      <c r="X58" s="28">
        <f t="shared" si="47"/>
        <v>4</v>
      </c>
      <c r="Y58" s="24">
        <f t="shared" si="33"/>
        <v>695</v>
      </c>
      <c r="Z58" s="24">
        <f t="shared" si="31"/>
        <v>103</v>
      </c>
      <c r="AA58" s="24">
        <f t="shared" si="32"/>
        <v>798</v>
      </c>
      <c r="AB58" s="25">
        <f t="shared" si="34"/>
        <v>42</v>
      </c>
      <c r="AC58" s="25">
        <f t="shared" si="35"/>
        <v>209</v>
      </c>
      <c r="AD58" s="25">
        <f t="shared" si="36"/>
        <v>251</v>
      </c>
    </row>
    <row r="59" spans="1:30" hidden="1" x14ac:dyDescent="0.3">
      <c r="A59" s="9" t="s">
        <v>69</v>
      </c>
      <c r="B59" s="33">
        <v>45891</v>
      </c>
      <c r="C59" s="27">
        <v>44120</v>
      </c>
      <c r="D59" s="28">
        <f t="shared" si="41"/>
        <v>714</v>
      </c>
      <c r="E59" s="27">
        <v>4881</v>
      </c>
      <c r="F59" s="28">
        <f t="shared" si="41"/>
        <v>106</v>
      </c>
      <c r="G59" s="27">
        <v>17450</v>
      </c>
      <c r="H59" s="28">
        <f t="shared" si="42"/>
        <v>274</v>
      </c>
      <c r="I59" s="27">
        <v>4449</v>
      </c>
      <c r="J59" s="28">
        <f t="shared" si="43"/>
        <v>72</v>
      </c>
      <c r="K59" s="27">
        <v>13135</v>
      </c>
      <c r="L59" s="28">
        <f t="shared" si="43"/>
        <v>211</v>
      </c>
      <c r="M59" s="27">
        <v>620</v>
      </c>
      <c r="N59" s="30">
        <f t="shared" si="44"/>
        <v>9</v>
      </c>
      <c r="O59" s="29">
        <v>19394</v>
      </c>
      <c r="P59" s="28">
        <f t="shared" si="45"/>
        <v>321</v>
      </c>
      <c r="Q59" s="27">
        <v>2741</v>
      </c>
      <c r="R59" s="28">
        <f t="shared" si="28"/>
        <v>40</v>
      </c>
      <c r="S59" s="27">
        <v>3506</v>
      </c>
      <c r="T59" s="28">
        <f t="shared" si="46"/>
        <v>64</v>
      </c>
      <c r="U59" s="27"/>
      <c r="V59" s="28" t="str">
        <f t="shared" si="39"/>
        <v/>
      </c>
      <c r="W59" s="27">
        <v>326</v>
      </c>
      <c r="X59" s="28">
        <f t="shared" si="47"/>
        <v>7</v>
      </c>
      <c r="Y59" s="24">
        <f t="shared" si="33"/>
        <v>672</v>
      </c>
      <c r="Z59" s="24">
        <f t="shared" si="31"/>
        <v>111</v>
      </c>
      <c r="AA59" s="24">
        <f t="shared" si="32"/>
        <v>783</v>
      </c>
      <c r="AB59" s="25">
        <f t="shared" si="34"/>
        <v>42</v>
      </c>
      <c r="AC59" s="25">
        <f t="shared" si="35"/>
        <v>210</v>
      </c>
      <c r="AD59" s="25">
        <f t="shared" si="36"/>
        <v>252</v>
      </c>
    </row>
    <row r="60" spans="1:30" hidden="1" x14ac:dyDescent="0.3">
      <c r="A60" s="9" t="s">
        <v>70</v>
      </c>
      <c r="B60" s="33">
        <v>45892</v>
      </c>
      <c r="C60" s="27">
        <v>44834</v>
      </c>
      <c r="D60" s="28">
        <f t="shared" si="41"/>
        <v>689</v>
      </c>
      <c r="E60" s="27">
        <v>4987</v>
      </c>
      <c r="F60" s="28">
        <f t="shared" si="41"/>
        <v>109</v>
      </c>
      <c r="G60" s="27">
        <v>17724</v>
      </c>
      <c r="H60" s="28">
        <f t="shared" si="42"/>
        <v>271</v>
      </c>
      <c r="I60" s="27">
        <v>4521</v>
      </c>
      <c r="J60" s="28">
        <f t="shared" si="43"/>
        <v>64</v>
      </c>
      <c r="K60" s="27">
        <v>13346</v>
      </c>
      <c r="L60" s="28">
        <f t="shared" si="43"/>
        <v>199</v>
      </c>
      <c r="M60" s="27">
        <v>629</v>
      </c>
      <c r="N60" s="30">
        <f t="shared" si="44"/>
        <v>9</v>
      </c>
      <c r="O60" s="29">
        <v>19715</v>
      </c>
      <c r="P60" s="28">
        <f t="shared" si="45"/>
        <v>352</v>
      </c>
      <c r="Q60" s="27">
        <v>2781</v>
      </c>
      <c r="R60" s="28">
        <f t="shared" si="28"/>
        <v>46</v>
      </c>
      <c r="S60" s="27">
        <v>3570</v>
      </c>
      <c r="T60" s="28">
        <f t="shared" si="46"/>
        <v>52</v>
      </c>
      <c r="U60" s="27"/>
      <c r="V60" s="28" t="str">
        <f t="shared" si="39"/>
        <v/>
      </c>
      <c r="W60" s="27">
        <v>333</v>
      </c>
      <c r="X60" s="28">
        <f t="shared" si="47"/>
        <v>3</v>
      </c>
      <c r="Y60" s="24">
        <f t="shared" si="33"/>
        <v>652</v>
      </c>
      <c r="Z60" s="24">
        <f t="shared" si="31"/>
        <v>101</v>
      </c>
      <c r="AA60" s="24">
        <f t="shared" si="32"/>
        <v>753</v>
      </c>
      <c r="AB60" s="25">
        <f t="shared" si="34"/>
        <v>37</v>
      </c>
      <c r="AC60" s="25">
        <f t="shared" si="35"/>
        <v>251</v>
      </c>
      <c r="AD60" s="25">
        <f t="shared" si="36"/>
        <v>288</v>
      </c>
    </row>
    <row r="61" spans="1:30" hidden="1" x14ac:dyDescent="0.3">
      <c r="A61" s="9" t="s">
        <v>71</v>
      </c>
      <c r="B61" s="33">
        <v>45893</v>
      </c>
      <c r="C61" s="27">
        <v>45523</v>
      </c>
      <c r="D61" s="28">
        <f t="shared" si="41"/>
        <v>35</v>
      </c>
      <c r="E61" s="27">
        <v>5096</v>
      </c>
      <c r="F61" s="28">
        <f t="shared" si="41"/>
        <v>0</v>
      </c>
      <c r="G61" s="27">
        <v>17995</v>
      </c>
      <c r="H61" s="28">
        <f t="shared" si="42"/>
        <v>0</v>
      </c>
      <c r="I61" s="27">
        <v>4585</v>
      </c>
      <c r="J61" s="28">
        <f t="shared" si="43"/>
        <v>22</v>
      </c>
      <c r="K61" s="27">
        <v>13545</v>
      </c>
      <c r="L61" s="28">
        <f t="shared" si="43"/>
        <v>1</v>
      </c>
      <c r="M61" s="27">
        <v>638</v>
      </c>
      <c r="N61" s="30">
        <f t="shared" si="44"/>
        <v>2</v>
      </c>
      <c r="O61" s="29">
        <v>20067</v>
      </c>
      <c r="P61" s="28">
        <f t="shared" si="45"/>
        <v>0</v>
      </c>
      <c r="Q61" s="27">
        <v>2827</v>
      </c>
      <c r="R61" s="28">
        <f t="shared" si="28"/>
        <v>0</v>
      </c>
      <c r="S61" s="27">
        <v>3622</v>
      </c>
      <c r="T61" s="28">
        <f t="shared" si="46"/>
        <v>0</v>
      </c>
      <c r="U61" s="27"/>
      <c r="V61" s="28" t="str">
        <f t="shared" si="39"/>
        <v/>
      </c>
      <c r="W61" s="27">
        <v>336</v>
      </c>
      <c r="X61" s="28">
        <f t="shared" si="47"/>
        <v>0</v>
      </c>
      <c r="Y61" s="24">
        <f t="shared" si="33"/>
        <v>25</v>
      </c>
      <c r="Z61" s="24">
        <f t="shared" si="31"/>
        <v>0</v>
      </c>
      <c r="AA61" s="24">
        <f t="shared" si="32"/>
        <v>25</v>
      </c>
      <c r="AB61" s="25">
        <f t="shared" si="34"/>
        <v>10</v>
      </c>
      <c r="AC61" s="25">
        <f t="shared" si="35"/>
        <v>0</v>
      </c>
      <c r="AD61" s="25">
        <f t="shared" si="36"/>
        <v>10</v>
      </c>
    </row>
    <row r="62" spans="1:30" hidden="1" x14ac:dyDescent="0.3">
      <c r="A62" s="9" t="s">
        <v>72</v>
      </c>
      <c r="B62" s="33">
        <v>45894</v>
      </c>
      <c r="C62" s="27">
        <v>45558</v>
      </c>
      <c r="D62" s="28">
        <f t="shared" si="41"/>
        <v>669</v>
      </c>
      <c r="E62" s="27">
        <v>5096</v>
      </c>
      <c r="F62" s="28">
        <f t="shared" si="41"/>
        <v>113</v>
      </c>
      <c r="G62" s="27">
        <v>17995</v>
      </c>
      <c r="H62" s="28">
        <f t="shared" si="42"/>
        <v>267</v>
      </c>
      <c r="I62" s="27">
        <v>4607</v>
      </c>
      <c r="J62" s="28">
        <f t="shared" si="43"/>
        <v>37</v>
      </c>
      <c r="K62" s="27">
        <v>13546</v>
      </c>
      <c r="L62" s="28">
        <f t="shared" si="43"/>
        <v>213</v>
      </c>
      <c r="M62" s="27">
        <v>640</v>
      </c>
      <c r="N62" s="30">
        <f t="shared" si="44"/>
        <v>11</v>
      </c>
      <c r="O62" s="29">
        <v>20067</v>
      </c>
      <c r="P62" s="28">
        <f t="shared" si="45"/>
        <v>263</v>
      </c>
      <c r="Q62" s="27">
        <v>2827</v>
      </c>
      <c r="R62" s="28">
        <f t="shared" si="28"/>
        <v>42</v>
      </c>
      <c r="S62" s="27">
        <v>3622</v>
      </c>
      <c r="T62" s="28">
        <f t="shared" si="46"/>
        <v>25</v>
      </c>
      <c r="U62" s="27"/>
      <c r="V62" s="28" t="str">
        <f t="shared" si="39"/>
        <v/>
      </c>
      <c r="W62" s="27">
        <v>336</v>
      </c>
      <c r="X62" s="28">
        <f t="shared" si="47"/>
        <v>5</v>
      </c>
      <c r="Y62" s="24">
        <f t="shared" si="33"/>
        <v>641</v>
      </c>
      <c r="Z62" s="24">
        <f t="shared" si="31"/>
        <v>72</v>
      </c>
      <c r="AA62" s="24">
        <f t="shared" si="32"/>
        <v>713</v>
      </c>
      <c r="AB62" s="25">
        <f t="shared" si="34"/>
        <v>28</v>
      </c>
      <c r="AC62" s="25">
        <f t="shared" si="35"/>
        <v>191</v>
      </c>
      <c r="AD62" s="25">
        <f t="shared" si="36"/>
        <v>219</v>
      </c>
    </row>
    <row r="63" spans="1:30" hidden="1" x14ac:dyDescent="0.3">
      <c r="A63" s="9" t="s">
        <v>66</v>
      </c>
      <c r="B63" s="33">
        <v>45895</v>
      </c>
      <c r="C63" s="27">
        <v>46227</v>
      </c>
      <c r="D63" s="28">
        <f t="shared" ref="D63:F67" si="48">IF(C64&lt;&gt;"",C64-C63,"")</f>
        <v>686</v>
      </c>
      <c r="E63" s="27">
        <v>5209</v>
      </c>
      <c r="F63" s="28">
        <f t="shared" si="48"/>
        <v>121</v>
      </c>
      <c r="G63" s="27">
        <v>18262</v>
      </c>
      <c r="H63" s="28">
        <f t="shared" si="42"/>
        <v>274</v>
      </c>
      <c r="I63" s="27">
        <v>4644</v>
      </c>
      <c r="J63" s="28">
        <f t="shared" ref="J63:L68" si="49">IF(I64&lt;&gt;"",I64-I63,"")</f>
        <v>38</v>
      </c>
      <c r="K63" s="27">
        <v>13759</v>
      </c>
      <c r="L63" s="28">
        <f t="shared" si="49"/>
        <v>217</v>
      </c>
      <c r="M63" s="27">
        <v>651</v>
      </c>
      <c r="N63" s="30">
        <f t="shared" si="44"/>
        <v>10</v>
      </c>
      <c r="O63" s="29">
        <v>20330</v>
      </c>
      <c r="P63" s="28">
        <f t="shared" si="45"/>
        <v>254</v>
      </c>
      <c r="Q63" s="27">
        <v>2869</v>
      </c>
      <c r="R63" s="28">
        <f t="shared" si="28"/>
        <v>35</v>
      </c>
      <c r="S63" s="27">
        <v>3647</v>
      </c>
      <c r="T63" s="28">
        <f t="shared" si="46"/>
        <v>26</v>
      </c>
      <c r="U63" s="27"/>
      <c r="V63" s="28" t="str">
        <f t="shared" si="39"/>
        <v/>
      </c>
      <c r="W63" s="27">
        <v>341</v>
      </c>
      <c r="X63" s="28">
        <f t="shared" si="47"/>
        <v>6</v>
      </c>
      <c r="Y63" s="24">
        <f t="shared" si="33"/>
        <v>660</v>
      </c>
      <c r="Z63" s="24">
        <f t="shared" si="31"/>
        <v>67</v>
      </c>
      <c r="AA63" s="24">
        <f t="shared" si="32"/>
        <v>727</v>
      </c>
      <c r="AB63" s="25">
        <f t="shared" si="34"/>
        <v>26</v>
      </c>
      <c r="AC63" s="25">
        <f t="shared" si="35"/>
        <v>187</v>
      </c>
      <c r="AD63" s="25">
        <f t="shared" si="36"/>
        <v>213</v>
      </c>
    </row>
    <row r="64" spans="1:30" hidden="1" x14ac:dyDescent="0.3">
      <c r="A64" s="9" t="s">
        <v>67</v>
      </c>
      <c r="B64" s="33">
        <v>45896</v>
      </c>
      <c r="C64" s="27">
        <v>46913</v>
      </c>
      <c r="D64" s="28">
        <f t="shared" si="48"/>
        <v>707</v>
      </c>
      <c r="E64" s="27">
        <v>5330</v>
      </c>
      <c r="F64" s="28">
        <f t="shared" si="48"/>
        <v>131</v>
      </c>
      <c r="G64" s="27">
        <v>18536</v>
      </c>
      <c r="H64" s="28">
        <f t="shared" si="42"/>
        <v>278</v>
      </c>
      <c r="I64" s="27">
        <v>4682</v>
      </c>
      <c r="J64" s="28">
        <f t="shared" si="49"/>
        <v>44</v>
      </c>
      <c r="K64" s="27">
        <v>13976</v>
      </c>
      <c r="L64" s="28">
        <f t="shared" si="49"/>
        <v>210</v>
      </c>
      <c r="M64" s="27">
        <v>661</v>
      </c>
      <c r="N64" s="30">
        <f t="shared" si="44"/>
        <v>10</v>
      </c>
      <c r="O64" s="29">
        <v>20584</v>
      </c>
      <c r="P64" s="28">
        <f t="shared" si="45"/>
        <v>283</v>
      </c>
      <c r="Q64" s="27">
        <v>2904</v>
      </c>
      <c r="R64" s="28">
        <f t="shared" si="28"/>
        <v>40</v>
      </c>
      <c r="S64" s="27">
        <v>3673</v>
      </c>
      <c r="T64" s="28">
        <f t="shared" si="46"/>
        <v>48</v>
      </c>
      <c r="U64" s="27"/>
      <c r="V64" s="28" t="str">
        <f t="shared" si="39"/>
        <v/>
      </c>
      <c r="W64" s="27">
        <v>347</v>
      </c>
      <c r="X64" s="28">
        <f t="shared" si="47"/>
        <v>6</v>
      </c>
      <c r="Y64" s="24">
        <f t="shared" si="33"/>
        <v>673</v>
      </c>
      <c r="Z64" s="24">
        <f t="shared" si="31"/>
        <v>94</v>
      </c>
      <c r="AA64" s="24">
        <f t="shared" si="32"/>
        <v>767</v>
      </c>
      <c r="AB64" s="25">
        <f t="shared" si="34"/>
        <v>34</v>
      </c>
      <c r="AC64" s="25">
        <f t="shared" si="35"/>
        <v>189</v>
      </c>
      <c r="AD64" s="25">
        <f t="shared" si="36"/>
        <v>223</v>
      </c>
    </row>
    <row r="65" spans="1:30" hidden="1" x14ac:dyDescent="0.3">
      <c r="A65" s="9" t="s">
        <v>68</v>
      </c>
      <c r="B65" s="33">
        <v>45897</v>
      </c>
      <c r="C65" s="27">
        <v>47620</v>
      </c>
      <c r="D65" s="28">
        <f t="shared" si="48"/>
        <v>937</v>
      </c>
      <c r="E65" s="27">
        <v>5461</v>
      </c>
      <c r="F65" s="28">
        <f t="shared" si="48"/>
        <v>136</v>
      </c>
      <c r="G65" s="27">
        <v>18814</v>
      </c>
      <c r="H65" s="28">
        <f t="shared" si="42"/>
        <v>278</v>
      </c>
      <c r="I65" s="27">
        <v>4726</v>
      </c>
      <c r="J65" s="28">
        <f t="shared" si="49"/>
        <v>60</v>
      </c>
      <c r="K65" s="27">
        <v>14186</v>
      </c>
      <c r="L65" s="28">
        <f t="shared" si="49"/>
        <v>219</v>
      </c>
      <c r="M65" s="27">
        <v>671</v>
      </c>
      <c r="N65" s="30">
        <f t="shared" si="44"/>
        <v>9</v>
      </c>
      <c r="O65" s="29">
        <v>20867</v>
      </c>
      <c r="P65" s="28">
        <f t="shared" si="45"/>
        <v>309</v>
      </c>
      <c r="Q65" s="27">
        <v>2944</v>
      </c>
      <c r="R65" s="28">
        <f t="shared" si="28"/>
        <v>36</v>
      </c>
      <c r="S65" s="27">
        <v>3721</v>
      </c>
      <c r="T65" s="28">
        <f t="shared" si="46"/>
        <v>60</v>
      </c>
      <c r="U65" s="27"/>
      <c r="V65" s="28" t="str">
        <f t="shared" si="39"/>
        <v/>
      </c>
      <c r="W65" s="27">
        <v>353</v>
      </c>
      <c r="X65" s="28">
        <f t="shared" si="47"/>
        <v>6</v>
      </c>
      <c r="Y65" s="24">
        <f t="shared" si="33"/>
        <v>702</v>
      </c>
      <c r="Z65" s="24">
        <f t="shared" si="31"/>
        <v>102</v>
      </c>
      <c r="AA65" s="24">
        <f t="shared" si="32"/>
        <v>804</v>
      </c>
      <c r="AB65" s="25">
        <f t="shared" si="34"/>
        <v>235</v>
      </c>
      <c r="AC65" s="25">
        <f t="shared" si="35"/>
        <v>207</v>
      </c>
      <c r="AD65" s="25">
        <f t="shared" si="36"/>
        <v>442</v>
      </c>
    </row>
    <row r="66" spans="1:30" hidden="1" x14ac:dyDescent="0.3">
      <c r="A66" s="9" t="s">
        <v>69</v>
      </c>
      <c r="B66" s="33">
        <v>45898</v>
      </c>
      <c r="C66" s="27">
        <v>48557</v>
      </c>
      <c r="D66" s="28">
        <f t="shared" si="48"/>
        <v>515</v>
      </c>
      <c r="E66" s="27">
        <v>5597</v>
      </c>
      <c r="F66" s="28">
        <f t="shared" si="48"/>
        <v>112</v>
      </c>
      <c r="G66" s="27">
        <v>19092</v>
      </c>
      <c r="H66" s="28">
        <f t="shared" si="42"/>
        <v>277</v>
      </c>
      <c r="I66" s="27">
        <v>4786</v>
      </c>
      <c r="J66" s="28">
        <f t="shared" si="49"/>
        <v>57</v>
      </c>
      <c r="K66" s="27">
        <v>14405</v>
      </c>
      <c r="L66" s="28">
        <f t="shared" si="49"/>
        <v>227</v>
      </c>
      <c r="M66" s="27">
        <v>680</v>
      </c>
      <c r="N66" s="30">
        <f t="shared" si="44"/>
        <v>10</v>
      </c>
      <c r="O66" s="29">
        <v>21176</v>
      </c>
      <c r="P66" s="28">
        <f t="shared" si="45"/>
        <v>290</v>
      </c>
      <c r="Q66" s="27">
        <v>2980</v>
      </c>
      <c r="R66" s="28">
        <f t="shared" si="28"/>
        <v>32</v>
      </c>
      <c r="S66" s="27">
        <v>3781</v>
      </c>
      <c r="T66" s="28">
        <f t="shared" si="46"/>
        <v>57</v>
      </c>
      <c r="U66" s="27"/>
      <c r="V66" s="28" t="str">
        <f t="shared" si="39"/>
        <v/>
      </c>
      <c r="W66" s="27">
        <v>359</v>
      </c>
      <c r="X66" s="28">
        <f t="shared" si="47"/>
        <v>6</v>
      </c>
      <c r="Y66" s="24">
        <f t="shared" si="33"/>
        <v>683</v>
      </c>
      <c r="Z66" s="24">
        <f t="shared" si="31"/>
        <v>95</v>
      </c>
      <c r="AA66" s="24">
        <f t="shared" si="32"/>
        <v>778</v>
      </c>
      <c r="AB66" s="25">
        <f t="shared" si="34"/>
        <v>-168</v>
      </c>
      <c r="AC66" s="25">
        <f t="shared" si="35"/>
        <v>195</v>
      </c>
      <c r="AD66" s="25">
        <f t="shared" si="36"/>
        <v>27</v>
      </c>
    </row>
    <row r="67" spans="1:30" hidden="1" x14ac:dyDescent="0.3">
      <c r="A67" s="9" t="s">
        <v>70</v>
      </c>
      <c r="B67" s="33">
        <v>45899</v>
      </c>
      <c r="C67" s="27">
        <v>49072</v>
      </c>
      <c r="D67" s="28">
        <f t="shared" si="48"/>
        <v>630</v>
      </c>
      <c r="E67" s="27">
        <v>5709</v>
      </c>
      <c r="F67" s="28">
        <f t="shared" si="48"/>
        <v>117</v>
      </c>
      <c r="G67" s="27">
        <v>19369</v>
      </c>
      <c r="H67" s="28">
        <f t="shared" si="42"/>
        <v>251</v>
      </c>
      <c r="I67" s="27">
        <v>4843</v>
      </c>
      <c r="J67" s="28">
        <f t="shared" si="49"/>
        <v>34</v>
      </c>
      <c r="K67" s="27">
        <v>14632</v>
      </c>
      <c r="L67" s="28">
        <f t="shared" si="49"/>
        <v>197</v>
      </c>
      <c r="M67" s="27">
        <v>690</v>
      </c>
      <c r="N67" s="30">
        <f t="shared" si="44"/>
        <v>8</v>
      </c>
      <c r="O67" s="29">
        <v>21466</v>
      </c>
      <c r="P67" s="28">
        <f t="shared" si="45"/>
        <v>237</v>
      </c>
      <c r="Q67" s="27">
        <v>3012</v>
      </c>
      <c r="R67" s="28">
        <f t="shared" si="28"/>
        <v>32</v>
      </c>
      <c r="S67" s="27">
        <v>3838</v>
      </c>
      <c r="T67" s="28">
        <f t="shared" si="46"/>
        <v>28</v>
      </c>
      <c r="U67" s="27"/>
      <c r="V67" s="28" t="str">
        <f t="shared" si="39"/>
        <v/>
      </c>
      <c r="W67" s="27">
        <v>365</v>
      </c>
      <c r="X67" s="28">
        <f t="shared" si="47"/>
        <v>4</v>
      </c>
      <c r="Y67" s="24">
        <f t="shared" si="33"/>
        <v>607</v>
      </c>
      <c r="Z67" s="24">
        <f t="shared" si="31"/>
        <v>64</v>
      </c>
      <c r="AA67" s="24">
        <f t="shared" si="32"/>
        <v>671</v>
      </c>
      <c r="AB67" s="25">
        <f t="shared" si="34"/>
        <v>23</v>
      </c>
      <c r="AC67" s="25">
        <f t="shared" si="35"/>
        <v>173</v>
      </c>
      <c r="AD67" s="25">
        <f t="shared" si="36"/>
        <v>196</v>
      </c>
    </row>
    <row r="68" spans="1:30" hidden="1" x14ac:dyDescent="0.3">
      <c r="A68" s="9" t="s">
        <v>71</v>
      </c>
      <c r="B68" s="33">
        <v>45900</v>
      </c>
      <c r="C68" s="27">
        <v>49702</v>
      </c>
      <c r="D68" s="28">
        <f>IF(C69&lt;&gt;"",C69-C68,"")</f>
        <v>25</v>
      </c>
      <c r="E68" s="27">
        <v>5826</v>
      </c>
      <c r="F68" s="28">
        <f>IF(E69&lt;&gt;"",E69-E68,"")</f>
        <v>0</v>
      </c>
      <c r="G68" s="27">
        <v>19620</v>
      </c>
      <c r="H68" s="28">
        <f t="shared" si="42"/>
        <v>3</v>
      </c>
      <c r="I68" s="27">
        <v>4877</v>
      </c>
      <c r="J68" s="28">
        <f t="shared" si="49"/>
        <v>15</v>
      </c>
      <c r="K68" s="27">
        <v>14829</v>
      </c>
      <c r="L68" s="28">
        <f t="shared" si="49"/>
        <v>2</v>
      </c>
      <c r="M68" s="27">
        <v>698</v>
      </c>
      <c r="N68" s="30">
        <f t="shared" si="44"/>
        <v>0</v>
      </c>
      <c r="O68" s="29">
        <v>21703</v>
      </c>
      <c r="P68" s="28">
        <f t="shared" si="45"/>
        <v>35</v>
      </c>
      <c r="Q68" s="27">
        <v>3044</v>
      </c>
      <c r="R68" s="28">
        <f t="shared" si="28"/>
        <v>0</v>
      </c>
      <c r="S68" s="27">
        <v>3866</v>
      </c>
      <c r="T68" s="28">
        <f t="shared" si="46"/>
        <v>0</v>
      </c>
      <c r="U68" s="27"/>
      <c r="V68" s="28" t="str">
        <f t="shared" si="39"/>
        <v/>
      </c>
      <c r="W68" s="27">
        <v>369</v>
      </c>
      <c r="X68" s="28">
        <f t="shared" si="47"/>
        <v>0</v>
      </c>
      <c r="Y68" s="24">
        <f t="shared" si="33"/>
        <v>20</v>
      </c>
      <c r="Z68" s="24">
        <f t="shared" si="31"/>
        <v>0</v>
      </c>
      <c r="AA68" s="24">
        <f t="shared" si="32"/>
        <v>20</v>
      </c>
      <c r="AB68" s="25">
        <f t="shared" si="34"/>
        <v>5</v>
      </c>
      <c r="AC68" s="25">
        <f t="shared" si="35"/>
        <v>35</v>
      </c>
      <c r="AD68" s="25">
        <f t="shared" si="36"/>
        <v>40</v>
      </c>
    </row>
    <row r="69" spans="1:30" hidden="1" x14ac:dyDescent="0.3">
      <c r="A69" s="9" t="s">
        <v>72</v>
      </c>
      <c r="B69" s="33">
        <v>45901</v>
      </c>
      <c r="C69" s="27">
        <v>49727</v>
      </c>
      <c r="D69" s="28"/>
      <c r="E69" s="27">
        <v>5826</v>
      </c>
      <c r="F69" s="28"/>
      <c r="G69" s="27">
        <v>19623</v>
      </c>
      <c r="H69" s="28"/>
      <c r="I69" s="27">
        <v>4892</v>
      </c>
      <c r="J69" s="28"/>
      <c r="K69" s="27">
        <v>14831</v>
      </c>
      <c r="L69" s="28"/>
      <c r="M69" s="27">
        <v>698</v>
      </c>
      <c r="N69" s="30"/>
      <c r="O69" s="29">
        <v>21738</v>
      </c>
      <c r="P69" s="28"/>
      <c r="Q69" s="27">
        <v>3044</v>
      </c>
      <c r="R69" s="28"/>
      <c r="S69" s="27">
        <v>3866</v>
      </c>
      <c r="T69" s="28"/>
      <c r="U69" s="27"/>
      <c r="V69" s="28"/>
      <c r="W69" s="27">
        <v>369</v>
      </c>
      <c r="X69" s="28"/>
      <c r="Y69" s="24">
        <f t="shared" si="33"/>
        <v>0</v>
      </c>
      <c r="Z69" s="24">
        <f t="shared" si="31"/>
        <v>0</v>
      </c>
      <c r="AA69" s="24">
        <f t="shared" si="32"/>
        <v>0</v>
      </c>
      <c r="AB69" s="25">
        <f t="shared" si="34"/>
        <v>0</v>
      </c>
      <c r="AC69" s="25">
        <f t="shared" si="35"/>
        <v>0</v>
      </c>
      <c r="AD69" s="25">
        <f t="shared" si="36"/>
        <v>0</v>
      </c>
    </row>
    <row r="70" spans="1:30" ht="23.4" hidden="1" x14ac:dyDescent="0.3">
      <c r="A70" s="152" t="s">
        <v>73</v>
      </c>
      <c r="B70" s="153"/>
      <c r="C70" s="21"/>
      <c r="D70" s="22">
        <f>SUM(D38:D68)</f>
        <v>17685</v>
      </c>
      <c r="E70" s="21"/>
      <c r="F70" s="22">
        <f>SUM(F38:F68)</f>
        <v>2913</v>
      </c>
      <c r="G70" s="21"/>
      <c r="H70" s="22">
        <f>SUM(H38:H68)</f>
        <v>6815</v>
      </c>
      <c r="I70" s="21"/>
      <c r="J70" s="22">
        <f>SUM(J38:J68)</f>
        <v>1455</v>
      </c>
      <c r="K70" s="21"/>
      <c r="L70" s="22">
        <f>SUM(L38:L68)</f>
        <v>5273</v>
      </c>
      <c r="M70" s="21"/>
      <c r="N70" s="31">
        <f>SUM(N38:N68)</f>
        <v>261</v>
      </c>
      <c r="O70" s="23"/>
      <c r="P70" s="22">
        <f>SUM(P38:P68)</f>
        <v>7496</v>
      </c>
      <c r="Q70" s="21"/>
      <c r="R70" s="22">
        <f>SUM(R38:R68)</f>
        <v>989</v>
      </c>
      <c r="S70" s="21"/>
      <c r="T70" s="22">
        <f>SUM(T38:T68)</f>
        <v>1442</v>
      </c>
      <c r="U70" s="21"/>
      <c r="V70" s="22">
        <f>SUM(V38:V68)</f>
        <v>0</v>
      </c>
      <c r="W70" s="21"/>
      <c r="X70" s="22">
        <f>SUM(X38:X68)</f>
        <v>122</v>
      </c>
      <c r="Y70" s="24">
        <f>SUM(F70,H70,J70,L70,N70)</f>
        <v>16717</v>
      </c>
      <c r="Z70" s="24">
        <f>SUM(R70,T70,V70,X70)</f>
        <v>2553</v>
      </c>
      <c r="AA70" s="24">
        <f>SUM(F70,H70,J70,L70,N70,R70,T70,V70,X70)</f>
        <v>19270</v>
      </c>
      <c r="AB70" s="25">
        <f>D70-Y70</f>
        <v>968</v>
      </c>
      <c r="AC70" s="25">
        <f>P70-Z70</f>
        <v>4943</v>
      </c>
      <c r="AD70" s="25">
        <f>(D70+P70)-AA70</f>
        <v>5911</v>
      </c>
    </row>
    <row r="71" spans="1:30" hidden="1" x14ac:dyDescent="0.3">
      <c r="A71" s="9" t="s">
        <v>72</v>
      </c>
      <c r="B71" s="33">
        <v>45901</v>
      </c>
      <c r="C71" s="27">
        <v>49727</v>
      </c>
      <c r="D71" s="28">
        <f>IF(C72&lt;&gt;"",C72-C71,"")</f>
        <v>688</v>
      </c>
      <c r="E71" s="27">
        <v>5826</v>
      </c>
      <c r="F71" s="28">
        <f>IF(E72&lt;&gt;"",E72-E71,"")</f>
        <v>129</v>
      </c>
      <c r="G71" s="27">
        <v>19623</v>
      </c>
      <c r="H71" s="28">
        <f>IF(G72&lt;&gt;"",G72-G71,"")</f>
        <v>280</v>
      </c>
      <c r="I71" s="27">
        <v>4892</v>
      </c>
      <c r="J71" s="28">
        <f>IF(I72&lt;&gt;"",I72-I71,"")</f>
        <v>37</v>
      </c>
      <c r="K71" s="27">
        <v>14831</v>
      </c>
      <c r="L71" s="28">
        <f>IF(K72&lt;&gt;"",K72-K71,"")</f>
        <v>206</v>
      </c>
      <c r="M71" s="27">
        <v>698</v>
      </c>
      <c r="N71" s="28">
        <f>IF(M72&lt;&gt;"",M72-M71,"")</f>
        <v>10</v>
      </c>
      <c r="O71" s="29">
        <v>21738</v>
      </c>
      <c r="P71" s="28">
        <f>IF(O72&lt;&gt;"",O72-O71,"")</f>
        <v>237</v>
      </c>
      <c r="Q71" s="27">
        <v>3044</v>
      </c>
      <c r="R71" s="28">
        <f>IF(Q72&lt;&gt;"",Q72-Q71,"")</f>
        <v>39</v>
      </c>
      <c r="S71" s="27">
        <v>3866</v>
      </c>
      <c r="T71" s="28">
        <f>IF(S72&lt;&gt;"",S72-S71,"")</f>
        <v>22</v>
      </c>
      <c r="U71" s="27"/>
      <c r="V71" s="28" t="str">
        <f>IF(U72&lt;&gt;"",U72-U71,"")</f>
        <v/>
      </c>
      <c r="W71" s="27">
        <v>369</v>
      </c>
      <c r="X71" s="28">
        <f>IF(W72&lt;&gt;"",W72-W71,"")</f>
        <v>6</v>
      </c>
      <c r="Y71" s="24">
        <f>SUM(F71,H71,J71,L71,N71)</f>
        <v>662</v>
      </c>
      <c r="Z71" s="24">
        <f>SUM(R71,T71,V71,X71)</f>
        <v>67</v>
      </c>
      <c r="AA71" s="24">
        <f>SUM(F71,H71,J71,L71,N71,R71,T71,V71,X71)</f>
        <v>729</v>
      </c>
      <c r="AB71" s="25">
        <f>D71-Y71</f>
        <v>26</v>
      </c>
      <c r="AC71" s="25">
        <f>P71-Z71</f>
        <v>170</v>
      </c>
      <c r="AD71" s="25">
        <f>(D71+P71)-AA71</f>
        <v>196</v>
      </c>
    </row>
    <row r="72" spans="1:30" hidden="1" x14ac:dyDescent="0.3">
      <c r="A72" s="9" t="s">
        <v>66</v>
      </c>
      <c r="B72" s="33">
        <v>45902</v>
      </c>
      <c r="C72" s="27">
        <v>50415</v>
      </c>
      <c r="D72" s="28">
        <f t="shared" ref="D72:D101" si="50">IF(C73&lt;&gt;"",C73-C72,"")</f>
        <v>663</v>
      </c>
      <c r="E72" s="27">
        <v>5955</v>
      </c>
      <c r="F72" s="28">
        <f t="shared" ref="F72:F101" si="51">IF(E73&lt;&gt;"",E73-E72,"")</f>
        <v>126</v>
      </c>
      <c r="G72" s="27">
        <v>19903</v>
      </c>
      <c r="H72" s="28">
        <f t="shared" ref="H72:H101" si="52">IF(G73&lt;&gt;"",G73-G72,"")</f>
        <v>265</v>
      </c>
      <c r="I72" s="27">
        <v>4929</v>
      </c>
      <c r="J72" s="28">
        <f t="shared" ref="J72:J101" si="53">IF(I73&lt;&gt;"",I73-I72,"")</f>
        <v>28</v>
      </c>
      <c r="K72" s="27">
        <v>15037</v>
      </c>
      <c r="L72" s="28">
        <f t="shared" ref="L72:L101" si="54">IF(K73&lt;&gt;"",K73-K72,"")</f>
        <v>216</v>
      </c>
      <c r="M72" s="27">
        <v>708</v>
      </c>
      <c r="N72" s="28">
        <f t="shared" ref="N72:N101" si="55">IF(M73&lt;&gt;"",M73-M72,"")</f>
        <v>12</v>
      </c>
      <c r="O72" s="29">
        <v>21975</v>
      </c>
      <c r="P72" s="28">
        <f t="shared" ref="P72:P101" si="56">IF(O73&lt;&gt;"",O73-O72,"")</f>
        <v>213</v>
      </c>
      <c r="Q72" s="27">
        <v>3083</v>
      </c>
      <c r="R72" s="28">
        <f t="shared" ref="R72:R101" si="57">IF(Q73&lt;&gt;"",Q73-Q72,"")</f>
        <v>35</v>
      </c>
      <c r="S72" s="27">
        <v>3888</v>
      </c>
      <c r="T72" s="28">
        <f t="shared" ref="T72:T101" si="58">IF(S73&lt;&gt;"",S73-S72,"")</f>
        <v>12</v>
      </c>
      <c r="U72" s="27"/>
      <c r="V72" s="28" t="str">
        <f t="shared" ref="V72:V101" si="59">IF(U73&lt;&gt;"",U73-U72,"")</f>
        <v/>
      </c>
      <c r="W72" s="27">
        <v>375</v>
      </c>
      <c r="X72" s="28">
        <f t="shared" ref="X72:X101" si="60">IF(W73&lt;&gt;"",W73-W72,"")</f>
        <v>6</v>
      </c>
      <c r="Y72" s="24">
        <f>SUM(F72,H72,J72,L72,N72)</f>
        <v>647</v>
      </c>
      <c r="Z72" s="24">
        <f>SUM(R72,T72,V72,X72)</f>
        <v>53</v>
      </c>
      <c r="AA72" s="24">
        <f>SUM(F72,H72,J72,L72,N72,R72,T72,V72,X72)</f>
        <v>700</v>
      </c>
      <c r="AB72" s="25">
        <f>D72-Y72</f>
        <v>16</v>
      </c>
      <c r="AC72" s="25">
        <f>P72-Z72</f>
        <v>160</v>
      </c>
      <c r="AD72" s="25">
        <f>(D72+P72)-AA72</f>
        <v>176</v>
      </c>
    </row>
    <row r="73" spans="1:30" hidden="1" x14ac:dyDescent="0.3">
      <c r="A73" s="9" t="s">
        <v>67</v>
      </c>
      <c r="B73" s="33">
        <v>45903</v>
      </c>
      <c r="C73" s="27">
        <v>51078</v>
      </c>
      <c r="D73" s="28">
        <f t="shared" si="50"/>
        <v>471</v>
      </c>
      <c r="E73" s="27">
        <v>6081</v>
      </c>
      <c r="F73" s="28">
        <f t="shared" si="51"/>
        <v>123</v>
      </c>
      <c r="G73" s="27">
        <v>20168</v>
      </c>
      <c r="H73" s="28">
        <f t="shared" si="52"/>
        <v>80</v>
      </c>
      <c r="I73" s="27">
        <v>4957</v>
      </c>
      <c r="J73" s="28">
        <f t="shared" si="53"/>
        <v>30</v>
      </c>
      <c r="K73" s="27">
        <v>15253</v>
      </c>
      <c r="L73" s="28">
        <f t="shared" si="54"/>
        <v>207</v>
      </c>
      <c r="M73" s="27">
        <v>720</v>
      </c>
      <c r="N73" s="28">
        <f t="shared" si="55"/>
        <v>12</v>
      </c>
      <c r="O73" s="29">
        <v>22188</v>
      </c>
      <c r="P73" s="28">
        <f t="shared" si="56"/>
        <v>229</v>
      </c>
      <c r="Q73" s="27">
        <v>3118</v>
      </c>
      <c r="R73" s="28">
        <f t="shared" si="57"/>
        <v>36</v>
      </c>
      <c r="S73" s="27">
        <v>3900</v>
      </c>
      <c r="T73" s="28">
        <f t="shared" si="58"/>
        <v>21</v>
      </c>
      <c r="U73" s="27"/>
      <c r="V73" s="28" t="str">
        <f t="shared" si="59"/>
        <v/>
      </c>
      <c r="W73" s="27">
        <v>381</v>
      </c>
      <c r="X73" s="28">
        <f t="shared" si="60"/>
        <v>7</v>
      </c>
      <c r="Y73" s="24">
        <f t="shared" ref="Y73:Y101" si="61">SUM(F73,H73,J73,L73,N73)</f>
        <v>452</v>
      </c>
      <c r="Z73" s="24">
        <f t="shared" ref="Z73:Z101" si="62">SUM(R73,T73,V73,X73)</f>
        <v>64</v>
      </c>
      <c r="AA73" s="24">
        <f t="shared" ref="AA73:AA101" si="63">SUM(F73,H73,J73,L73,N73,R73,T73,V73,X73)</f>
        <v>516</v>
      </c>
      <c r="AB73" s="25">
        <f t="shared" ref="AB73:AB101" si="64">D73-Y73</f>
        <v>19</v>
      </c>
      <c r="AC73" s="25">
        <f t="shared" ref="AC73:AC101" si="65">P73-Z73</f>
        <v>165</v>
      </c>
      <c r="AD73" s="25">
        <f t="shared" ref="AD73:AD101" si="66">(D73+P73)-AA73</f>
        <v>184</v>
      </c>
    </row>
    <row r="74" spans="1:30" hidden="1" x14ac:dyDescent="0.3">
      <c r="A74" s="9" t="s">
        <v>68</v>
      </c>
      <c r="B74" s="33">
        <v>45904</v>
      </c>
      <c r="C74" s="27">
        <v>51549</v>
      </c>
      <c r="D74" s="28">
        <f t="shared" si="50"/>
        <v>656</v>
      </c>
      <c r="E74" s="27">
        <v>6204</v>
      </c>
      <c r="F74" s="28">
        <f t="shared" si="51"/>
        <v>121</v>
      </c>
      <c r="G74" s="27">
        <v>20248</v>
      </c>
      <c r="H74" s="28">
        <f t="shared" si="52"/>
        <v>250</v>
      </c>
      <c r="I74" s="27">
        <v>4987</v>
      </c>
      <c r="J74" s="28">
        <f t="shared" si="53"/>
        <v>41</v>
      </c>
      <c r="K74" s="27">
        <v>15460</v>
      </c>
      <c r="L74" s="28">
        <f t="shared" si="54"/>
        <v>203</v>
      </c>
      <c r="M74" s="27">
        <v>732</v>
      </c>
      <c r="N74" s="28">
        <f t="shared" si="55"/>
        <v>10</v>
      </c>
      <c r="O74" s="29">
        <v>22417</v>
      </c>
      <c r="P74" s="28">
        <f t="shared" si="56"/>
        <v>240</v>
      </c>
      <c r="Q74" s="27">
        <v>3154</v>
      </c>
      <c r="R74" s="28">
        <f t="shared" si="57"/>
        <v>35</v>
      </c>
      <c r="S74" s="27">
        <v>3921</v>
      </c>
      <c r="T74" s="28">
        <f t="shared" si="58"/>
        <v>42</v>
      </c>
      <c r="U74" s="27"/>
      <c r="V74" s="28" t="str">
        <f t="shared" si="59"/>
        <v/>
      </c>
      <c r="W74" s="27">
        <v>388</v>
      </c>
      <c r="X74" s="28">
        <f t="shared" si="60"/>
        <v>6</v>
      </c>
      <c r="Y74" s="24">
        <f t="shared" si="61"/>
        <v>625</v>
      </c>
      <c r="Z74" s="24">
        <f t="shared" si="62"/>
        <v>83</v>
      </c>
      <c r="AA74" s="24">
        <f t="shared" si="63"/>
        <v>708</v>
      </c>
      <c r="AB74" s="25">
        <f t="shared" si="64"/>
        <v>31</v>
      </c>
      <c r="AC74" s="25">
        <f t="shared" si="65"/>
        <v>157</v>
      </c>
      <c r="AD74" s="25">
        <f t="shared" si="66"/>
        <v>188</v>
      </c>
    </row>
    <row r="75" spans="1:30" hidden="1" x14ac:dyDescent="0.3">
      <c r="A75" s="9" t="s">
        <v>69</v>
      </c>
      <c r="B75" s="33">
        <v>45905</v>
      </c>
      <c r="C75" s="27">
        <v>52205</v>
      </c>
      <c r="D75" s="28">
        <f t="shared" si="50"/>
        <v>675</v>
      </c>
      <c r="E75" s="27">
        <v>6325</v>
      </c>
      <c r="F75" s="28">
        <f t="shared" si="51"/>
        <v>121</v>
      </c>
      <c r="G75" s="27">
        <v>20498</v>
      </c>
      <c r="H75" s="28">
        <f t="shared" si="52"/>
        <v>261</v>
      </c>
      <c r="I75" s="27">
        <v>5028</v>
      </c>
      <c r="J75" s="28">
        <f t="shared" si="53"/>
        <v>42</v>
      </c>
      <c r="K75" s="27">
        <v>15663</v>
      </c>
      <c r="L75" s="28">
        <f t="shared" si="54"/>
        <v>210</v>
      </c>
      <c r="M75" s="27">
        <v>742</v>
      </c>
      <c r="N75" s="28">
        <f t="shared" si="55"/>
        <v>12</v>
      </c>
      <c r="O75" s="29">
        <v>22657</v>
      </c>
      <c r="P75" s="28">
        <f t="shared" si="56"/>
        <v>265</v>
      </c>
      <c r="Q75" s="27">
        <v>3189</v>
      </c>
      <c r="R75" s="28">
        <f t="shared" si="57"/>
        <v>38</v>
      </c>
      <c r="S75" s="27">
        <v>3963</v>
      </c>
      <c r="T75" s="28">
        <f t="shared" si="58"/>
        <v>48</v>
      </c>
      <c r="U75" s="27"/>
      <c r="V75" s="28" t="str">
        <f t="shared" si="59"/>
        <v/>
      </c>
      <c r="W75" s="27">
        <v>394</v>
      </c>
      <c r="X75" s="28">
        <f t="shared" si="60"/>
        <v>5</v>
      </c>
      <c r="Y75" s="24">
        <f t="shared" si="61"/>
        <v>646</v>
      </c>
      <c r="Z75" s="24">
        <f t="shared" si="62"/>
        <v>91</v>
      </c>
      <c r="AA75" s="24">
        <f t="shared" si="63"/>
        <v>737</v>
      </c>
      <c r="AB75" s="25">
        <f t="shared" si="64"/>
        <v>29</v>
      </c>
      <c r="AC75" s="25">
        <f t="shared" si="65"/>
        <v>174</v>
      </c>
      <c r="AD75" s="25">
        <f t="shared" si="66"/>
        <v>203</v>
      </c>
    </row>
    <row r="76" spans="1:30" hidden="1" x14ac:dyDescent="0.3">
      <c r="A76" s="9" t="s">
        <v>70</v>
      </c>
      <c r="B76" s="33">
        <v>45906</v>
      </c>
      <c r="C76" s="27">
        <v>52880</v>
      </c>
      <c r="D76" s="28">
        <f t="shared" si="50"/>
        <v>28</v>
      </c>
      <c r="E76" s="27">
        <v>6446</v>
      </c>
      <c r="F76" s="28">
        <f t="shared" si="51"/>
        <v>0</v>
      </c>
      <c r="G76" s="27">
        <v>20759</v>
      </c>
      <c r="H76" s="28">
        <f t="shared" si="52"/>
        <v>0</v>
      </c>
      <c r="I76" s="27">
        <v>5070</v>
      </c>
      <c r="J76" s="28">
        <f t="shared" si="53"/>
        <v>19</v>
      </c>
      <c r="K76" s="27">
        <v>15873</v>
      </c>
      <c r="L76" s="28">
        <f t="shared" si="54"/>
        <v>0</v>
      </c>
      <c r="M76" s="27">
        <v>754</v>
      </c>
      <c r="N76" s="28">
        <f t="shared" si="55"/>
        <v>4</v>
      </c>
      <c r="O76" s="29">
        <v>22922</v>
      </c>
      <c r="P76" s="28">
        <f t="shared" si="56"/>
        <v>45</v>
      </c>
      <c r="Q76" s="27">
        <v>3227</v>
      </c>
      <c r="R76" s="28">
        <f t="shared" si="57"/>
        <v>0</v>
      </c>
      <c r="S76" s="27">
        <v>4011</v>
      </c>
      <c r="T76" s="28">
        <f t="shared" si="58"/>
        <v>0</v>
      </c>
      <c r="U76" s="27"/>
      <c r="V76" s="28" t="str">
        <f t="shared" si="59"/>
        <v/>
      </c>
      <c r="W76" s="27">
        <v>399</v>
      </c>
      <c r="X76" s="28">
        <f t="shared" si="60"/>
        <v>2</v>
      </c>
      <c r="Y76" s="24">
        <f t="shared" si="61"/>
        <v>23</v>
      </c>
      <c r="Z76" s="24">
        <f t="shared" si="62"/>
        <v>2</v>
      </c>
      <c r="AA76" s="24">
        <f t="shared" si="63"/>
        <v>25</v>
      </c>
      <c r="AB76" s="25">
        <f t="shared" si="64"/>
        <v>5</v>
      </c>
      <c r="AC76" s="25">
        <f t="shared" si="65"/>
        <v>43</v>
      </c>
      <c r="AD76" s="25">
        <f t="shared" si="66"/>
        <v>48</v>
      </c>
    </row>
    <row r="77" spans="1:30" hidden="1" x14ac:dyDescent="0.3">
      <c r="A77" s="9" t="s">
        <v>71</v>
      </c>
      <c r="B77" s="33">
        <v>45907</v>
      </c>
      <c r="C77" s="27">
        <v>52908</v>
      </c>
      <c r="D77" s="28">
        <f t="shared" si="50"/>
        <v>34</v>
      </c>
      <c r="E77" s="27">
        <v>6446</v>
      </c>
      <c r="F77" s="28">
        <f t="shared" si="51"/>
        <v>0</v>
      </c>
      <c r="G77" s="27">
        <v>20759</v>
      </c>
      <c r="H77" s="28">
        <f t="shared" si="52"/>
        <v>1</v>
      </c>
      <c r="I77" s="27">
        <v>5089</v>
      </c>
      <c r="J77" s="28">
        <f t="shared" si="53"/>
        <v>18</v>
      </c>
      <c r="K77" s="27">
        <v>15873</v>
      </c>
      <c r="L77" s="28">
        <f t="shared" si="54"/>
        <v>2</v>
      </c>
      <c r="M77" s="27">
        <v>758</v>
      </c>
      <c r="N77" s="28">
        <f t="shared" si="55"/>
        <v>6</v>
      </c>
      <c r="O77" s="29">
        <v>22967</v>
      </c>
      <c r="P77" s="28">
        <f t="shared" si="56"/>
        <v>47</v>
      </c>
      <c r="Q77" s="27">
        <v>3227</v>
      </c>
      <c r="R77" s="28">
        <f t="shared" si="57"/>
        <v>0</v>
      </c>
      <c r="S77" s="27">
        <v>4011</v>
      </c>
      <c r="T77" s="28">
        <f t="shared" si="58"/>
        <v>0</v>
      </c>
      <c r="U77" s="27"/>
      <c r="V77" s="28" t="str">
        <f t="shared" si="59"/>
        <v/>
      </c>
      <c r="W77" s="27">
        <v>401</v>
      </c>
      <c r="X77" s="28">
        <f t="shared" si="60"/>
        <v>1</v>
      </c>
      <c r="Y77" s="24">
        <f t="shared" si="61"/>
        <v>27</v>
      </c>
      <c r="Z77" s="24">
        <f t="shared" si="62"/>
        <v>1</v>
      </c>
      <c r="AA77" s="24">
        <f t="shared" si="63"/>
        <v>28</v>
      </c>
      <c r="AB77" s="25">
        <f t="shared" si="64"/>
        <v>7</v>
      </c>
      <c r="AC77" s="25">
        <f t="shared" si="65"/>
        <v>46</v>
      </c>
      <c r="AD77" s="25">
        <f t="shared" si="66"/>
        <v>53</v>
      </c>
    </row>
    <row r="78" spans="1:30" hidden="1" x14ac:dyDescent="0.3">
      <c r="A78" s="9" t="s">
        <v>72</v>
      </c>
      <c r="B78" s="33">
        <v>45908</v>
      </c>
      <c r="C78" s="27">
        <v>52942</v>
      </c>
      <c r="D78" s="28">
        <f t="shared" si="50"/>
        <v>671</v>
      </c>
      <c r="E78" s="27">
        <v>6446</v>
      </c>
      <c r="F78" s="28">
        <f t="shared" si="51"/>
        <v>117</v>
      </c>
      <c r="G78" s="27">
        <v>20760</v>
      </c>
      <c r="H78" s="28">
        <f t="shared" si="52"/>
        <v>226</v>
      </c>
      <c r="I78" s="27">
        <v>5107</v>
      </c>
      <c r="J78" s="28">
        <f t="shared" si="53"/>
        <v>63</v>
      </c>
      <c r="K78" s="27">
        <v>15875</v>
      </c>
      <c r="L78" s="28">
        <f t="shared" si="54"/>
        <v>217</v>
      </c>
      <c r="M78" s="27">
        <v>764</v>
      </c>
      <c r="N78" s="28">
        <f t="shared" si="55"/>
        <v>12</v>
      </c>
      <c r="O78" s="29">
        <v>23014</v>
      </c>
      <c r="P78" s="28">
        <f t="shared" si="56"/>
        <v>260</v>
      </c>
      <c r="Q78" s="27">
        <v>3227</v>
      </c>
      <c r="R78" s="28">
        <f t="shared" si="57"/>
        <v>31</v>
      </c>
      <c r="S78" s="27">
        <v>4011</v>
      </c>
      <c r="T78" s="28">
        <f t="shared" si="58"/>
        <v>54</v>
      </c>
      <c r="U78" s="27"/>
      <c r="V78" s="28" t="str">
        <f t="shared" si="59"/>
        <v/>
      </c>
      <c r="W78" s="27">
        <v>402</v>
      </c>
      <c r="X78" s="28">
        <f t="shared" si="60"/>
        <v>6</v>
      </c>
      <c r="Y78" s="24">
        <f t="shared" si="61"/>
        <v>635</v>
      </c>
      <c r="Z78" s="24">
        <f t="shared" si="62"/>
        <v>91</v>
      </c>
      <c r="AA78" s="24">
        <f t="shared" si="63"/>
        <v>726</v>
      </c>
      <c r="AB78" s="25">
        <f t="shared" si="64"/>
        <v>36</v>
      </c>
      <c r="AC78" s="25">
        <f t="shared" si="65"/>
        <v>169</v>
      </c>
      <c r="AD78" s="25">
        <f t="shared" si="66"/>
        <v>205</v>
      </c>
    </row>
    <row r="79" spans="1:30" hidden="1" x14ac:dyDescent="0.3">
      <c r="A79" s="9" t="s">
        <v>66</v>
      </c>
      <c r="B79" s="33">
        <v>45909</v>
      </c>
      <c r="C79" s="27">
        <v>53613</v>
      </c>
      <c r="D79" s="28">
        <f t="shared" si="50"/>
        <v>705</v>
      </c>
      <c r="E79" s="27">
        <v>6563</v>
      </c>
      <c r="F79" s="28">
        <f t="shared" si="51"/>
        <v>121</v>
      </c>
      <c r="G79" s="27">
        <v>20986</v>
      </c>
      <c r="H79" s="28">
        <f t="shared" si="52"/>
        <v>250</v>
      </c>
      <c r="I79" s="27">
        <v>5170</v>
      </c>
      <c r="J79" s="28">
        <f t="shared" si="53"/>
        <v>68</v>
      </c>
      <c r="K79" s="27">
        <v>16092</v>
      </c>
      <c r="L79" s="28">
        <f t="shared" si="54"/>
        <v>212</v>
      </c>
      <c r="M79" s="27">
        <v>776</v>
      </c>
      <c r="N79" s="28">
        <f t="shared" si="55"/>
        <v>12</v>
      </c>
      <c r="O79" s="29">
        <v>23274</v>
      </c>
      <c r="P79" s="28">
        <f t="shared" si="56"/>
        <v>253</v>
      </c>
      <c r="Q79" s="27">
        <v>3258</v>
      </c>
      <c r="R79" s="28">
        <f t="shared" si="57"/>
        <v>30</v>
      </c>
      <c r="S79" s="27">
        <v>4065</v>
      </c>
      <c r="T79" s="28">
        <f t="shared" si="58"/>
        <v>55</v>
      </c>
      <c r="U79" s="27"/>
      <c r="V79" s="28" t="str">
        <f t="shared" si="59"/>
        <v/>
      </c>
      <c r="W79" s="27">
        <v>408</v>
      </c>
      <c r="X79" s="28">
        <f t="shared" si="60"/>
        <v>7</v>
      </c>
      <c r="Y79" s="24">
        <f t="shared" si="61"/>
        <v>663</v>
      </c>
      <c r="Z79" s="24">
        <f t="shared" si="62"/>
        <v>92</v>
      </c>
      <c r="AA79" s="24">
        <f t="shared" si="63"/>
        <v>755</v>
      </c>
      <c r="AB79" s="25">
        <f t="shared" si="64"/>
        <v>42</v>
      </c>
      <c r="AC79" s="25">
        <f t="shared" si="65"/>
        <v>161</v>
      </c>
      <c r="AD79" s="25">
        <f t="shared" si="66"/>
        <v>203</v>
      </c>
    </row>
    <row r="80" spans="1:30" hidden="1" x14ac:dyDescent="0.3">
      <c r="A80" s="9" t="s">
        <v>67</v>
      </c>
      <c r="B80" s="33">
        <v>45910</v>
      </c>
      <c r="C80" s="27">
        <v>54318</v>
      </c>
      <c r="D80" s="28">
        <f t="shared" si="50"/>
        <v>671</v>
      </c>
      <c r="E80" s="27">
        <v>6684</v>
      </c>
      <c r="F80" s="28">
        <f t="shared" si="51"/>
        <v>124</v>
      </c>
      <c r="G80" s="27">
        <v>21236</v>
      </c>
      <c r="H80" s="28">
        <f t="shared" si="52"/>
        <v>219</v>
      </c>
      <c r="I80" s="27">
        <v>5238</v>
      </c>
      <c r="J80" s="28">
        <f t="shared" si="53"/>
        <v>67</v>
      </c>
      <c r="K80" s="27">
        <v>16304</v>
      </c>
      <c r="L80" s="28">
        <f t="shared" si="54"/>
        <v>211</v>
      </c>
      <c r="M80" s="27">
        <v>788</v>
      </c>
      <c r="N80" s="28">
        <f t="shared" si="55"/>
        <v>9</v>
      </c>
      <c r="O80" s="29">
        <v>23527</v>
      </c>
      <c r="P80" s="28">
        <f t="shared" si="56"/>
        <v>281</v>
      </c>
      <c r="Q80" s="27">
        <v>3288</v>
      </c>
      <c r="R80" s="28">
        <f t="shared" si="57"/>
        <v>39</v>
      </c>
      <c r="S80" s="27">
        <v>4120</v>
      </c>
      <c r="T80" s="28">
        <f t="shared" si="58"/>
        <v>61</v>
      </c>
      <c r="U80" s="27"/>
      <c r="V80" s="28" t="str">
        <f t="shared" si="59"/>
        <v/>
      </c>
      <c r="W80" s="27">
        <v>415</v>
      </c>
      <c r="X80" s="28">
        <f t="shared" si="60"/>
        <v>6</v>
      </c>
      <c r="Y80" s="24">
        <f t="shared" si="61"/>
        <v>630</v>
      </c>
      <c r="Z80" s="24">
        <f t="shared" si="62"/>
        <v>106</v>
      </c>
      <c r="AA80" s="24">
        <f t="shared" si="63"/>
        <v>736</v>
      </c>
      <c r="AB80" s="25">
        <f t="shared" si="64"/>
        <v>41</v>
      </c>
      <c r="AC80" s="25">
        <f t="shared" si="65"/>
        <v>175</v>
      </c>
      <c r="AD80" s="25">
        <f t="shared" si="66"/>
        <v>216</v>
      </c>
    </row>
    <row r="81" spans="1:30" hidden="1" x14ac:dyDescent="0.3">
      <c r="A81" s="9" t="s">
        <v>68</v>
      </c>
      <c r="B81" s="33">
        <v>45911</v>
      </c>
      <c r="C81" s="27">
        <v>54989</v>
      </c>
      <c r="D81" s="28">
        <f t="shared" si="50"/>
        <v>733</v>
      </c>
      <c r="E81" s="27">
        <v>6808</v>
      </c>
      <c r="F81" s="28">
        <f t="shared" si="51"/>
        <v>133</v>
      </c>
      <c r="G81" s="27">
        <v>21455</v>
      </c>
      <c r="H81" s="28">
        <f t="shared" si="52"/>
        <v>242</v>
      </c>
      <c r="I81" s="27">
        <v>5305</v>
      </c>
      <c r="J81" s="28">
        <f t="shared" si="53"/>
        <v>77</v>
      </c>
      <c r="K81" s="27">
        <v>16515</v>
      </c>
      <c r="L81" s="28">
        <f t="shared" si="54"/>
        <v>279</v>
      </c>
      <c r="M81" s="27">
        <v>797</v>
      </c>
      <c r="N81" s="28">
        <f t="shared" si="55"/>
        <v>13</v>
      </c>
      <c r="O81" s="29">
        <v>23808</v>
      </c>
      <c r="P81" s="28">
        <f t="shared" si="56"/>
        <v>296</v>
      </c>
      <c r="Q81" s="27">
        <v>3327</v>
      </c>
      <c r="R81" s="28">
        <f t="shared" si="57"/>
        <v>40</v>
      </c>
      <c r="S81" s="27">
        <v>4181</v>
      </c>
      <c r="T81" s="28">
        <f t="shared" si="58"/>
        <v>62</v>
      </c>
      <c r="U81" s="27"/>
      <c r="V81" s="28" t="str">
        <f t="shared" si="59"/>
        <v/>
      </c>
      <c r="W81" s="27">
        <v>421</v>
      </c>
      <c r="X81" s="28">
        <f t="shared" si="60"/>
        <v>6</v>
      </c>
      <c r="Y81" s="24">
        <f t="shared" si="61"/>
        <v>744</v>
      </c>
      <c r="Z81" s="24">
        <f t="shared" si="62"/>
        <v>108</v>
      </c>
      <c r="AA81" s="24">
        <f t="shared" si="63"/>
        <v>852</v>
      </c>
      <c r="AB81" s="25">
        <f t="shared" si="64"/>
        <v>-11</v>
      </c>
      <c r="AC81" s="25">
        <f t="shared" si="65"/>
        <v>188</v>
      </c>
      <c r="AD81" s="25">
        <f t="shared" si="66"/>
        <v>177</v>
      </c>
    </row>
    <row r="82" spans="1:30" hidden="1" x14ac:dyDescent="0.3">
      <c r="A82" s="9" t="s">
        <v>69</v>
      </c>
      <c r="B82" s="33">
        <v>45912</v>
      </c>
      <c r="C82" s="27">
        <v>55722</v>
      </c>
      <c r="D82" s="28">
        <f t="shared" si="50"/>
        <v>687</v>
      </c>
      <c r="E82" s="27">
        <v>6941</v>
      </c>
      <c r="F82" s="28">
        <f t="shared" si="51"/>
        <v>125</v>
      </c>
      <c r="G82" s="27">
        <v>21697</v>
      </c>
      <c r="H82" s="28">
        <f t="shared" si="52"/>
        <v>218</v>
      </c>
      <c r="I82" s="27">
        <v>5382</v>
      </c>
      <c r="J82" s="28">
        <f t="shared" si="53"/>
        <v>83</v>
      </c>
      <c r="K82" s="27">
        <v>16794</v>
      </c>
      <c r="L82" s="28">
        <f t="shared" si="54"/>
        <v>154</v>
      </c>
      <c r="M82" s="27">
        <v>810</v>
      </c>
      <c r="N82" s="28">
        <f t="shared" si="55"/>
        <v>11</v>
      </c>
      <c r="O82" s="29">
        <v>24104</v>
      </c>
      <c r="P82" s="28">
        <f t="shared" si="56"/>
        <v>266</v>
      </c>
      <c r="Q82" s="27">
        <v>3367</v>
      </c>
      <c r="R82" s="28">
        <f t="shared" si="57"/>
        <v>34</v>
      </c>
      <c r="S82" s="27">
        <v>4243</v>
      </c>
      <c r="T82" s="28">
        <f t="shared" si="58"/>
        <v>59</v>
      </c>
      <c r="U82" s="27"/>
      <c r="V82" s="28" t="str">
        <f t="shared" si="59"/>
        <v/>
      </c>
      <c r="W82" s="27">
        <v>427</v>
      </c>
      <c r="X82" s="28">
        <f t="shared" si="60"/>
        <v>5</v>
      </c>
      <c r="Y82" s="24">
        <f t="shared" si="61"/>
        <v>591</v>
      </c>
      <c r="Z82" s="24">
        <f t="shared" si="62"/>
        <v>98</v>
      </c>
      <c r="AA82" s="24">
        <f t="shared" si="63"/>
        <v>689</v>
      </c>
      <c r="AB82" s="25">
        <f t="shared" si="64"/>
        <v>96</v>
      </c>
      <c r="AC82" s="25">
        <f t="shared" si="65"/>
        <v>168</v>
      </c>
      <c r="AD82" s="25">
        <f t="shared" si="66"/>
        <v>264</v>
      </c>
    </row>
    <row r="83" spans="1:30" hidden="1" x14ac:dyDescent="0.3">
      <c r="A83" s="9" t="s">
        <v>70</v>
      </c>
      <c r="B83" s="33">
        <v>45913</v>
      </c>
      <c r="C83" s="27">
        <v>56409</v>
      </c>
      <c r="D83" s="28">
        <f t="shared" si="50"/>
        <v>633</v>
      </c>
      <c r="E83" s="27">
        <v>7066</v>
      </c>
      <c r="F83" s="28">
        <f t="shared" si="51"/>
        <v>124</v>
      </c>
      <c r="G83" s="27">
        <v>21915</v>
      </c>
      <c r="H83" s="28">
        <f t="shared" si="52"/>
        <v>197</v>
      </c>
      <c r="I83" s="27">
        <v>5465</v>
      </c>
      <c r="J83" s="28">
        <f t="shared" si="53"/>
        <v>73</v>
      </c>
      <c r="K83" s="27">
        <v>16948</v>
      </c>
      <c r="L83" s="28">
        <f t="shared" si="54"/>
        <v>192</v>
      </c>
      <c r="M83" s="27">
        <v>821</v>
      </c>
      <c r="N83" s="28">
        <f t="shared" si="55"/>
        <v>10</v>
      </c>
      <c r="O83" s="29">
        <v>24370</v>
      </c>
      <c r="P83" s="28">
        <f t="shared" si="56"/>
        <v>228</v>
      </c>
      <c r="Q83" s="27">
        <v>3401</v>
      </c>
      <c r="R83" s="28">
        <f t="shared" si="57"/>
        <v>29</v>
      </c>
      <c r="S83" s="27">
        <v>4302</v>
      </c>
      <c r="T83" s="28">
        <f t="shared" si="58"/>
        <v>54</v>
      </c>
      <c r="U83" s="27"/>
      <c r="V83" s="28" t="str">
        <f t="shared" si="59"/>
        <v/>
      </c>
      <c r="W83" s="27">
        <v>432</v>
      </c>
      <c r="X83" s="28">
        <f t="shared" si="60"/>
        <v>3</v>
      </c>
      <c r="Y83" s="24">
        <f t="shared" si="61"/>
        <v>596</v>
      </c>
      <c r="Z83" s="24">
        <f t="shared" si="62"/>
        <v>86</v>
      </c>
      <c r="AA83" s="24">
        <f t="shared" si="63"/>
        <v>682</v>
      </c>
      <c r="AB83" s="25">
        <f t="shared" si="64"/>
        <v>37</v>
      </c>
      <c r="AC83" s="25">
        <f t="shared" si="65"/>
        <v>142</v>
      </c>
      <c r="AD83" s="25">
        <f t="shared" si="66"/>
        <v>179</v>
      </c>
    </row>
    <row r="84" spans="1:30" hidden="1" x14ac:dyDescent="0.3">
      <c r="A84" s="9" t="s">
        <v>71</v>
      </c>
      <c r="B84" s="33">
        <v>45914</v>
      </c>
      <c r="C84" s="27">
        <v>57042</v>
      </c>
      <c r="D84" s="28">
        <f t="shared" si="50"/>
        <v>42</v>
      </c>
      <c r="E84" s="27">
        <v>7190</v>
      </c>
      <c r="F84" s="28">
        <f t="shared" si="51"/>
        <v>0</v>
      </c>
      <c r="G84" s="27">
        <v>22112</v>
      </c>
      <c r="H84" s="28">
        <f t="shared" si="52"/>
        <v>1</v>
      </c>
      <c r="I84" s="27">
        <v>5538</v>
      </c>
      <c r="J84" s="28">
        <f t="shared" si="53"/>
        <v>28</v>
      </c>
      <c r="K84" s="27">
        <v>17140</v>
      </c>
      <c r="L84" s="28">
        <f t="shared" si="54"/>
        <v>2</v>
      </c>
      <c r="M84" s="27">
        <v>831</v>
      </c>
      <c r="N84" s="28">
        <f t="shared" si="55"/>
        <v>6</v>
      </c>
      <c r="O84" s="29">
        <v>24598</v>
      </c>
      <c r="P84" s="28">
        <f t="shared" si="56"/>
        <v>41</v>
      </c>
      <c r="Q84" s="27">
        <v>3430</v>
      </c>
      <c r="R84" s="28">
        <f t="shared" si="57"/>
        <v>0</v>
      </c>
      <c r="S84" s="27">
        <v>4356</v>
      </c>
      <c r="T84" s="28">
        <f t="shared" si="58"/>
        <v>0</v>
      </c>
      <c r="U84" s="27"/>
      <c r="V84" s="28" t="str">
        <f t="shared" si="59"/>
        <v/>
      </c>
      <c r="W84" s="27">
        <v>435</v>
      </c>
      <c r="X84" s="28">
        <f t="shared" si="60"/>
        <v>1</v>
      </c>
      <c r="Y84" s="24">
        <f t="shared" si="61"/>
        <v>37</v>
      </c>
      <c r="Z84" s="24">
        <f t="shared" si="62"/>
        <v>1</v>
      </c>
      <c r="AA84" s="24">
        <f t="shared" si="63"/>
        <v>38</v>
      </c>
      <c r="AB84" s="25">
        <f t="shared" si="64"/>
        <v>5</v>
      </c>
      <c r="AC84" s="25">
        <f t="shared" si="65"/>
        <v>40</v>
      </c>
      <c r="AD84" s="25">
        <f t="shared" si="66"/>
        <v>45</v>
      </c>
    </row>
    <row r="85" spans="1:30" hidden="1" x14ac:dyDescent="0.3">
      <c r="A85" s="9" t="s">
        <v>72</v>
      </c>
      <c r="B85" s="33">
        <v>45915</v>
      </c>
      <c r="C85" s="27">
        <v>57084</v>
      </c>
      <c r="D85" s="28">
        <f t="shared" si="50"/>
        <v>766</v>
      </c>
      <c r="E85" s="27">
        <v>7190</v>
      </c>
      <c r="F85" s="28">
        <f t="shared" si="51"/>
        <v>132</v>
      </c>
      <c r="G85" s="27">
        <v>22113</v>
      </c>
      <c r="H85" s="28">
        <f t="shared" si="52"/>
        <v>254</v>
      </c>
      <c r="I85" s="27">
        <v>5566</v>
      </c>
      <c r="J85" s="28">
        <f t="shared" si="53"/>
        <v>96</v>
      </c>
      <c r="K85" s="27">
        <v>17142</v>
      </c>
      <c r="L85" s="28">
        <f t="shared" si="54"/>
        <v>247</v>
      </c>
      <c r="M85" s="27">
        <v>837</v>
      </c>
      <c r="N85" s="28">
        <f t="shared" si="55"/>
        <v>10</v>
      </c>
      <c r="O85" s="29">
        <v>24639</v>
      </c>
      <c r="P85" s="28">
        <f t="shared" si="56"/>
        <v>301</v>
      </c>
      <c r="Q85" s="27">
        <v>3430</v>
      </c>
      <c r="R85" s="28">
        <f t="shared" si="57"/>
        <v>41</v>
      </c>
      <c r="S85" s="27">
        <v>4356</v>
      </c>
      <c r="T85" s="28">
        <f t="shared" si="58"/>
        <v>60</v>
      </c>
      <c r="U85" s="27"/>
      <c r="V85" s="28" t="str">
        <f t="shared" si="59"/>
        <v/>
      </c>
      <c r="W85" s="27">
        <v>436</v>
      </c>
      <c r="X85" s="28">
        <f t="shared" si="60"/>
        <v>7</v>
      </c>
      <c r="Y85" s="24">
        <f t="shared" si="61"/>
        <v>739</v>
      </c>
      <c r="Z85" s="24">
        <f t="shared" si="62"/>
        <v>108</v>
      </c>
      <c r="AA85" s="24">
        <f t="shared" si="63"/>
        <v>847</v>
      </c>
      <c r="AB85" s="25">
        <f t="shared" si="64"/>
        <v>27</v>
      </c>
      <c r="AC85" s="25">
        <f t="shared" si="65"/>
        <v>193</v>
      </c>
      <c r="AD85" s="25">
        <f t="shared" si="66"/>
        <v>220</v>
      </c>
    </row>
    <row r="86" spans="1:30" hidden="1" x14ac:dyDescent="0.3">
      <c r="A86" s="9" t="s">
        <v>66</v>
      </c>
      <c r="B86" s="33">
        <v>45916</v>
      </c>
      <c r="C86" s="27">
        <v>57850</v>
      </c>
      <c r="D86" s="28">
        <f t="shared" si="50"/>
        <v>745</v>
      </c>
      <c r="E86" s="27">
        <v>7322</v>
      </c>
      <c r="F86" s="28">
        <f t="shared" si="51"/>
        <v>139</v>
      </c>
      <c r="G86" s="27">
        <v>22367</v>
      </c>
      <c r="H86" s="28">
        <f t="shared" si="52"/>
        <v>243</v>
      </c>
      <c r="I86" s="27">
        <v>5662</v>
      </c>
      <c r="J86" s="28">
        <f t="shared" si="53"/>
        <v>91</v>
      </c>
      <c r="K86" s="27">
        <v>17389</v>
      </c>
      <c r="L86" s="28">
        <f t="shared" si="54"/>
        <v>195</v>
      </c>
      <c r="M86" s="27">
        <v>847</v>
      </c>
      <c r="N86" s="28">
        <f t="shared" si="55"/>
        <v>11</v>
      </c>
      <c r="O86" s="29">
        <v>24940</v>
      </c>
      <c r="P86" s="28">
        <f t="shared" si="56"/>
        <v>319</v>
      </c>
      <c r="Q86" s="27">
        <v>3471</v>
      </c>
      <c r="R86" s="28">
        <f t="shared" si="57"/>
        <v>39</v>
      </c>
      <c r="S86" s="27">
        <v>4416</v>
      </c>
      <c r="T86" s="28">
        <f t="shared" si="58"/>
        <v>66</v>
      </c>
      <c r="U86" s="27"/>
      <c r="V86" s="28" t="str">
        <f t="shared" si="59"/>
        <v/>
      </c>
      <c r="W86" s="27">
        <v>443</v>
      </c>
      <c r="X86" s="28">
        <f t="shared" si="60"/>
        <v>6</v>
      </c>
      <c r="Y86" s="24">
        <f t="shared" si="61"/>
        <v>679</v>
      </c>
      <c r="Z86" s="24">
        <f t="shared" si="62"/>
        <v>111</v>
      </c>
      <c r="AA86" s="24">
        <f t="shared" si="63"/>
        <v>790</v>
      </c>
      <c r="AB86" s="25">
        <f t="shared" si="64"/>
        <v>66</v>
      </c>
      <c r="AC86" s="25">
        <f t="shared" si="65"/>
        <v>208</v>
      </c>
      <c r="AD86" s="25">
        <f t="shared" si="66"/>
        <v>274</v>
      </c>
    </row>
    <row r="87" spans="1:30" hidden="1" x14ac:dyDescent="0.3">
      <c r="A87" s="9" t="s">
        <v>67</v>
      </c>
      <c r="B87" s="33">
        <v>45917</v>
      </c>
      <c r="C87" s="27">
        <v>58595</v>
      </c>
      <c r="D87" s="28">
        <f t="shared" si="50"/>
        <v>730</v>
      </c>
      <c r="E87" s="27">
        <v>7461</v>
      </c>
      <c r="F87" s="28">
        <f t="shared" si="51"/>
        <v>131</v>
      </c>
      <c r="G87" s="27">
        <v>22610</v>
      </c>
      <c r="H87" s="28">
        <f t="shared" si="52"/>
        <v>235</v>
      </c>
      <c r="I87" s="27">
        <v>5753</v>
      </c>
      <c r="J87" s="28">
        <f t="shared" si="53"/>
        <v>94</v>
      </c>
      <c r="K87" s="27">
        <v>17584</v>
      </c>
      <c r="L87" s="28">
        <f t="shared" si="54"/>
        <v>211</v>
      </c>
      <c r="M87" s="27">
        <v>858</v>
      </c>
      <c r="N87" s="28">
        <f t="shared" si="55"/>
        <v>10</v>
      </c>
      <c r="O87" s="29">
        <v>25259</v>
      </c>
      <c r="P87" s="28">
        <f t="shared" si="56"/>
        <v>307</v>
      </c>
      <c r="Q87" s="27">
        <v>3510</v>
      </c>
      <c r="R87" s="28">
        <f t="shared" si="57"/>
        <v>45</v>
      </c>
      <c r="S87" s="27">
        <v>4482</v>
      </c>
      <c r="T87" s="28">
        <f t="shared" si="58"/>
        <v>112</v>
      </c>
      <c r="U87" s="27"/>
      <c r="V87" s="28" t="str">
        <f t="shared" si="59"/>
        <v/>
      </c>
      <c r="W87" s="27">
        <v>449</v>
      </c>
      <c r="X87" s="28">
        <f t="shared" si="60"/>
        <v>7</v>
      </c>
      <c r="Y87" s="24">
        <f t="shared" si="61"/>
        <v>681</v>
      </c>
      <c r="Z87" s="24">
        <f t="shared" si="62"/>
        <v>164</v>
      </c>
      <c r="AA87" s="24">
        <f t="shared" si="63"/>
        <v>845</v>
      </c>
      <c r="AB87" s="25">
        <f t="shared" si="64"/>
        <v>49</v>
      </c>
      <c r="AC87" s="25">
        <f t="shared" si="65"/>
        <v>143</v>
      </c>
      <c r="AD87" s="25">
        <f t="shared" si="66"/>
        <v>192</v>
      </c>
    </row>
    <row r="88" spans="1:30" hidden="1" x14ac:dyDescent="0.3">
      <c r="A88" s="9" t="s">
        <v>68</v>
      </c>
      <c r="B88" s="33">
        <v>45918</v>
      </c>
      <c r="C88" s="27">
        <v>59325</v>
      </c>
      <c r="D88" s="28">
        <f t="shared" si="50"/>
        <v>795</v>
      </c>
      <c r="E88" s="27">
        <v>7592</v>
      </c>
      <c r="F88" s="28">
        <f t="shared" si="51"/>
        <v>137</v>
      </c>
      <c r="G88" s="27">
        <v>22845</v>
      </c>
      <c r="H88" s="28">
        <f t="shared" si="52"/>
        <v>239</v>
      </c>
      <c r="I88" s="27">
        <v>5847</v>
      </c>
      <c r="J88" s="28">
        <f t="shared" si="53"/>
        <v>118</v>
      </c>
      <c r="K88" s="27">
        <v>17795</v>
      </c>
      <c r="L88" s="28">
        <f t="shared" si="54"/>
        <v>232</v>
      </c>
      <c r="M88" s="27">
        <v>868</v>
      </c>
      <c r="N88" s="28">
        <f t="shared" si="55"/>
        <v>12</v>
      </c>
      <c r="O88" s="29">
        <v>25566</v>
      </c>
      <c r="P88" s="28">
        <f t="shared" si="56"/>
        <v>316</v>
      </c>
      <c r="Q88" s="27">
        <v>3555</v>
      </c>
      <c r="R88" s="28">
        <f t="shared" si="57"/>
        <v>49</v>
      </c>
      <c r="S88" s="27">
        <v>4594</v>
      </c>
      <c r="T88" s="28">
        <f t="shared" si="58"/>
        <v>21</v>
      </c>
      <c r="U88" s="27"/>
      <c r="V88" s="28" t="str">
        <f t="shared" si="59"/>
        <v/>
      </c>
      <c r="W88" s="27">
        <v>456</v>
      </c>
      <c r="X88" s="28">
        <f t="shared" si="60"/>
        <v>6</v>
      </c>
      <c r="Y88" s="24">
        <f t="shared" si="61"/>
        <v>738</v>
      </c>
      <c r="Z88" s="24">
        <f t="shared" si="62"/>
        <v>76</v>
      </c>
      <c r="AA88" s="24">
        <f t="shared" si="63"/>
        <v>814</v>
      </c>
      <c r="AB88" s="25">
        <f t="shared" si="64"/>
        <v>57</v>
      </c>
      <c r="AC88" s="25">
        <f t="shared" si="65"/>
        <v>240</v>
      </c>
      <c r="AD88" s="25">
        <f t="shared" si="66"/>
        <v>297</v>
      </c>
    </row>
    <row r="89" spans="1:30" hidden="1" x14ac:dyDescent="0.3">
      <c r="A89" s="9" t="s">
        <v>69</v>
      </c>
      <c r="B89" s="33">
        <v>45919</v>
      </c>
      <c r="C89" s="27">
        <v>60120</v>
      </c>
      <c r="D89" s="28">
        <f t="shared" si="50"/>
        <v>796</v>
      </c>
      <c r="E89" s="27">
        <v>7729</v>
      </c>
      <c r="F89" s="28">
        <f t="shared" si="51"/>
        <v>139</v>
      </c>
      <c r="G89" s="27">
        <v>23084</v>
      </c>
      <c r="H89" s="28">
        <f t="shared" si="52"/>
        <v>283</v>
      </c>
      <c r="I89" s="27">
        <v>5965</v>
      </c>
      <c r="J89" s="28">
        <f t="shared" si="53"/>
        <v>92</v>
      </c>
      <c r="K89" s="27">
        <v>18027</v>
      </c>
      <c r="L89" s="28">
        <f t="shared" si="54"/>
        <v>224</v>
      </c>
      <c r="M89" s="27">
        <v>880</v>
      </c>
      <c r="N89" s="28">
        <f t="shared" si="55"/>
        <v>10</v>
      </c>
      <c r="O89" s="29">
        <v>25882</v>
      </c>
      <c r="P89" s="28">
        <f t="shared" si="56"/>
        <v>310</v>
      </c>
      <c r="Q89" s="27">
        <v>3604</v>
      </c>
      <c r="R89" s="28">
        <f t="shared" si="57"/>
        <v>38</v>
      </c>
      <c r="S89" s="27">
        <v>4615</v>
      </c>
      <c r="T89" s="28">
        <f t="shared" si="58"/>
        <v>70</v>
      </c>
      <c r="U89" s="27"/>
      <c r="V89" s="28" t="str">
        <f t="shared" si="59"/>
        <v/>
      </c>
      <c r="W89" s="27">
        <v>462</v>
      </c>
      <c r="X89" s="28">
        <f t="shared" si="60"/>
        <v>6</v>
      </c>
      <c r="Y89" s="24">
        <f t="shared" si="61"/>
        <v>748</v>
      </c>
      <c r="Z89" s="24">
        <f t="shared" si="62"/>
        <v>114</v>
      </c>
      <c r="AA89" s="24">
        <f t="shared" si="63"/>
        <v>862</v>
      </c>
      <c r="AB89" s="25">
        <f t="shared" si="64"/>
        <v>48</v>
      </c>
      <c r="AC89" s="25">
        <f t="shared" si="65"/>
        <v>196</v>
      </c>
      <c r="AD89" s="25">
        <f t="shared" si="66"/>
        <v>244</v>
      </c>
    </row>
    <row r="90" spans="1:30" hidden="1" x14ac:dyDescent="0.3">
      <c r="A90" s="9" t="s">
        <v>70</v>
      </c>
      <c r="B90" s="33">
        <v>45920</v>
      </c>
      <c r="C90" s="27">
        <v>60916</v>
      </c>
      <c r="D90" s="28">
        <f t="shared" si="50"/>
        <v>756</v>
      </c>
      <c r="E90" s="27">
        <v>7868</v>
      </c>
      <c r="F90" s="28">
        <f t="shared" si="51"/>
        <v>136</v>
      </c>
      <c r="G90" s="27">
        <v>23367</v>
      </c>
      <c r="H90" s="28">
        <f t="shared" si="52"/>
        <v>261</v>
      </c>
      <c r="I90" s="27">
        <v>6057</v>
      </c>
      <c r="J90" s="28">
        <f t="shared" si="53"/>
        <v>76</v>
      </c>
      <c r="K90" s="27">
        <v>18251</v>
      </c>
      <c r="L90" s="28">
        <f t="shared" si="54"/>
        <v>224</v>
      </c>
      <c r="M90" s="27">
        <v>890</v>
      </c>
      <c r="N90" s="28">
        <f t="shared" si="55"/>
        <v>9</v>
      </c>
      <c r="O90" s="29">
        <v>26192</v>
      </c>
      <c r="P90" s="28">
        <f t="shared" si="56"/>
        <v>298</v>
      </c>
      <c r="Q90" s="27">
        <v>3642</v>
      </c>
      <c r="R90" s="28">
        <f t="shared" si="57"/>
        <v>51</v>
      </c>
      <c r="S90" s="27">
        <v>4685</v>
      </c>
      <c r="T90" s="28">
        <f t="shared" si="58"/>
        <v>63</v>
      </c>
      <c r="U90" s="27"/>
      <c r="V90" s="28" t="str">
        <f t="shared" si="59"/>
        <v/>
      </c>
      <c r="W90" s="27">
        <v>468</v>
      </c>
      <c r="X90" s="28">
        <f t="shared" si="60"/>
        <v>8</v>
      </c>
      <c r="Y90" s="24">
        <f t="shared" si="61"/>
        <v>706</v>
      </c>
      <c r="Z90" s="24">
        <f t="shared" si="62"/>
        <v>122</v>
      </c>
      <c r="AA90" s="24">
        <f t="shared" si="63"/>
        <v>828</v>
      </c>
      <c r="AB90" s="25">
        <f t="shared" si="64"/>
        <v>50</v>
      </c>
      <c r="AC90" s="25">
        <f t="shared" si="65"/>
        <v>176</v>
      </c>
      <c r="AD90" s="25">
        <f t="shared" si="66"/>
        <v>226</v>
      </c>
    </row>
    <row r="91" spans="1:30" hidden="1" x14ac:dyDescent="0.3">
      <c r="A91" s="9" t="s">
        <v>71</v>
      </c>
      <c r="B91" s="33">
        <v>45921</v>
      </c>
      <c r="C91" s="27">
        <v>61672</v>
      </c>
      <c r="D91" s="28">
        <f t="shared" si="50"/>
        <v>92</v>
      </c>
      <c r="E91" s="27">
        <v>8004</v>
      </c>
      <c r="F91" s="28">
        <f t="shared" si="51"/>
        <v>0</v>
      </c>
      <c r="G91" s="27">
        <v>23628</v>
      </c>
      <c r="H91" s="28">
        <f t="shared" si="52"/>
        <v>0</v>
      </c>
      <c r="I91" s="27">
        <v>6133</v>
      </c>
      <c r="J91" s="28">
        <f t="shared" si="53"/>
        <v>83</v>
      </c>
      <c r="K91" s="27">
        <v>18475</v>
      </c>
      <c r="L91" s="28">
        <f t="shared" si="54"/>
        <v>0</v>
      </c>
      <c r="M91" s="27">
        <v>899</v>
      </c>
      <c r="N91" s="28">
        <f t="shared" si="55"/>
        <v>3</v>
      </c>
      <c r="O91" s="29">
        <v>26490</v>
      </c>
      <c r="P91" s="28">
        <f t="shared" si="56"/>
        <v>61</v>
      </c>
      <c r="Q91" s="27">
        <v>3693</v>
      </c>
      <c r="R91" s="28">
        <f t="shared" si="57"/>
        <v>0</v>
      </c>
      <c r="S91" s="27">
        <v>4748</v>
      </c>
      <c r="T91" s="28">
        <f t="shared" si="58"/>
        <v>0</v>
      </c>
      <c r="U91" s="27"/>
      <c r="V91" s="28" t="str">
        <f t="shared" si="59"/>
        <v/>
      </c>
      <c r="W91" s="27">
        <v>476</v>
      </c>
      <c r="X91" s="28">
        <f t="shared" si="60"/>
        <v>0</v>
      </c>
      <c r="Y91" s="24">
        <f t="shared" si="61"/>
        <v>86</v>
      </c>
      <c r="Z91" s="24">
        <f t="shared" si="62"/>
        <v>0</v>
      </c>
      <c r="AA91" s="24">
        <f t="shared" si="63"/>
        <v>86</v>
      </c>
      <c r="AB91" s="25">
        <f t="shared" si="64"/>
        <v>6</v>
      </c>
      <c r="AC91" s="25">
        <f t="shared" si="65"/>
        <v>61</v>
      </c>
      <c r="AD91" s="25">
        <f t="shared" si="66"/>
        <v>67</v>
      </c>
    </row>
    <row r="92" spans="1:30" hidden="1" x14ac:dyDescent="0.3">
      <c r="A92" s="9" t="s">
        <v>72</v>
      </c>
      <c r="B92" s="33">
        <v>45922</v>
      </c>
      <c r="C92" s="27">
        <v>61764</v>
      </c>
      <c r="D92" s="28">
        <f t="shared" si="50"/>
        <v>716</v>
      </c>
      <c r="E92" s="27">
        <v>8004</v>
      </c>
      <c r="F92" s="28">
        <f t="shared" si="51"/>
        <v>133</v>
      </c>
      <c r="G92" s="27">
        <v>23628</v>
      </c>
      <c r="H92" s="28">
        <f t="shared" si="52"/>
        <v>236</v>
      </c>
      <c r="I92" s="27">
        <v>6216</v>
      </c>
      <c r="J92" s="28">
        <f t="shared" si="53"/>
        <v>112</v>
      </c>
      <c r="K92" s="27">
        <v>18475</v>
      </c>
      <c r="L92" s="28">
        <f t="shared" si="54"/>
        <v>210</v>
      </c>
      <c r="M92" s="27">
        <v>902</v>
      </c>
      <c r="N92" s="28">
        <f t="shared" si="55"/>
        <v>10</v>
      </c>
      <c r="O92" s="29">
        <v>26551</v>
      </c>
      <c r="P92" s="28">
        <f t="shared" si="56"/>
        <v>285</v>
      </c>
      <c r="Q92" s="27">
        <v>3693</v>
      </c>
      <c r="R92" s="28">
        <f t="shared" si="57"/>
        <v>37</v>
      </c>
      <c r="S92" s="27">
        <v>4748</v>
      </c>
      <c r="T92" s="28">
        <f t="shared" si="58"/>
        <v>63</v>
      </c>
      <c r="U92" s="27"/>
      <c r="V92" s="28" t="str">
        <f t="shared" si="59"/>
        <v/>
      </c>
      <c r="W92" s="27">
        <v>476</v>
      </c>
      <c r="X92" s="28">
        <f t="shared" si="60"/>
        <v>4</v>
      </c>
      <c r="Y92" s="24">
        <f t="shared" si="61"/>
        <v>701</v>
      </c>
      <c r="Z92" s="24">
        <f t="shared" si="62"/>
        <v>104</v>
      </c>
      <c r="AA92" s="24">
        <f t="shared" si="63"/>
        <v>805</v>
      </c>
      <c r="AB92" s="25">
        <f t="shared" si="64"/>
        <v>15</v>
      </c>
      <c r="AC92" s="25">
        <f t="shared" si="65"/>
        <v>181</v>
      </c>
      <c r="AD92" s="25">
        <f t="shared" si="66"/>
        <v>196</v>
      </c>
    </row>
    <row r="93" spans="1:30" hidden="1" x14ac:dyDescent="0.3">
      <c r="A93" s="9" t="s">
        <v>66</v>
      </c>
      <c r="B93" s="33">
        <v>45923</v>
      </c>
      <c r="C93" s="27">
        <v>62480</v>
      </c>
      <c r="D93" s="28">
        <f t="shared" si="50"/>
        <v>749</v>
      </c>
      <c r="E93" s="27">
        <v>8137</v>
      </c>
      <c r="F93" s="28">
        <f t="shared" si="51"/>
        <v>136</v>
      </c>
      <c r="G93" s="27">
        <v>23864</v>
      </c>
      <c r="H93" s="28">
        <f t="shared" si="52"/>
        <v>246</v>
      </c>
      <c r="I93" s="27">
        <v>6328</v>
      </c>
      <c r="J93" s="28">
        <f t="shared" si="53"/>
        <v>95</v>
      </c>
      <c r="K93" s="27">
        <v>18685</v>
      </c>
      <c r="L93" s="28">
        <f t="shared" si="54"/>
        <v>209</v>
      </c>
      <c r="M93" s="27">
        <v>912</v>
      </c>
      <c r="N93" s="28">
        <f t="shared" si="55"/>
        <v>10</v>
      </c>
      <c r="O93" s="29">
        <v>26836</v>
      </c>
      <c r="P93" s="28">
        <f t="shared" si="56"/>
        <v>303</v>
      </c>
      <c r="Q93" s="27">
        <v>3730</v>
      </c>
      <c r="R93" s="28">
        <f t="shared" si="57"/>
        <v>46</v>
      </c>
      <c r="S93" s="27">
        <v>4811</v>
      </c>
      <c r="T93" s="28">
        <f t="shared" si="58"/>
        <v>64</v>
      </c>
      <c r="U93" s="27"/>
      <c r="V93" s="28" t="str">
        <f t="shared" si="59"/>
        <v/>
      </c>
      <c r="W93" s="27">
        <v>480</v>
      </c>
      <c r="X93" s="28">
        <f t="shared" si="60"/>
        <v>5</v>
      </c>
      <c r="Y93" s="24">
        <f t="shared" si="61"/>
        <v>696</v>
      </c>
      <c r="Z93" s="24">
        <f t="shared" si="62"/>
        <v>115</v>
      </c>
      <c r="AA93" s="24">
        <f t="shared" si="63"/>
        <v>811</v>
      </c>
      <c r="AB93" s="25">
        <f t="shared" si="64"/>
        <v>53</v>
      </c>
      <c r="AC93" s="25">
        <f t="shared" si="65"/>
        <v>188</v>
      </c>
      <c r="AD93" s="25">
        <f t="shared" si="66"/>
        <v>241</v>
      </c>
    </row>
    <row r="94" spans="1:30" hidden="1" x14ac:dyDescent="0.3">
      <c r="A94" s="9" t="s">
        <v>67</v>
      </c>
      <c r="B94" s="33">
        <v>45924</v>
      </c>
      <c r="C94" s="27">
        <v>63229</v>
      </c>
      <c r="D94" s="28">
        <f t="shared" si="50"/>
        <v>743</v>
      </c>
      <c r="E94" s="27">
        <v>8273</v>
      </c>
      <c r="F94" s="28">
        <f t="shared" si="51"/>
        <v>130</v>
      </c>
      <c r="G94" s="27">
        <v>24110</v>
      </c>
      <c r="H94" s="28">
        <f t="shared" si="52"/>
        <v>253</v>
      </c>
      <c r="I94" s="27">
        <v>6423</v>
      </c>
      <c r="J94" s="28">
        <f t="shared" si="53"/>
        <v>93</v>
      </c>
      <c r="K94" s="27">
        <v>18894</v>
      </c>
      <c r="L94" s="28">
        <f t="shared" si="54"/>
        <v>210</v>
      </c>
      <c r="M94" s="27">
        <v>922</v>
      </c>
      <c r="N94" s="28">
        <f t="shared" si="55"/>
        <v>11</v>
      </c>
      <c r="O94" s="29">
        <v>27139</v>
      </c>
      <c r="P94" s="28">
        <f t="shared" si="56"/>
        <v>295</v>
      </c>
      <c r="Q94" s="27">
        <v>3776</v>
      </c>
      <c r="R94" s="28">
        <f t="shared" si="57"/>
        <v>37</v>
      </c>
      <c r="S94" s="27">
        <v>4875</v>
      </c>
      <c r="T94" s="28">
        <f t="shared" si="58"/>
        <v>65</v>
      </c>
      <c r="U94" s="27"/>
      <c r="V94" s="28" t="str">
        <f t="shared" si="59"/>
        <v/>
      </c>
      <c r="W94" s="27">
        <v>485</v>
      </c>
      <c r="X94" s="28">
        <f t="shared" si="60"/>
        <v>5</v>
      </c>
      <c r="Y94" s="24">
        <f t="shared" si="61"/>
        <v>697</v>
      </c>
      <c r="Z94" s="24">
        <f t="shared" si="62"/>
        <v>107</v>
      </c>
      <c r="AA94" s="24">
        <f t="shared" si="63"/>
        <v>804</v>
      </c>
      <c r="AB94" s="25">
        <f t="shared" si="64"/>
        <v>46</v>
      </c>
      <c r="AC94" s="25">
        <f t="shared" si="65"/>
        <v>188</v>
      </c>
      <c r="AD94" s="25">
        <f t="shared" si="66"/>
        <v>234</v>
      </c>
    </row>
    <row r="95" spans="1:30" hidden="1" x14ac:dyDescent="0.3">
      <c r="A95" s="9" t="s">
        <v>68</v>
      </c>
      <c r="B95" s="33">
        <v>45925</v>
      </c>
      <c r="C95" s="27">
        <v>63972</v>
      </c>
      <c r="D95" s="28">
        <f t="shared" si="50"/>
        <v>524</v>
      </c>
      <c r="E95" s="27">
        <v>8403</v>
      </c>
      <c r="F95" s="28">
        <f t="shared" si="51"/>
        <v>130</v>
      </c>
      <c r="G95" s="27">
        <v>24363</v>
      </c>
      <c r="H95" s="28">
        <f t="shared" si="52"/>
        <v>243</v>
      </c>
      <c r="I95" s="27">
        <v>6516</v>
      </c>
      <c r="J95" s="28">
        <f t="shared" si="53"/>
        <v>84</v>
      </c>
      <c r="K95" s="27">
        <v>19104</v>
      </c>
      <c r="L95" s="28">
        <f t="shared" si="54"/>
        <v>211</v>
      </c>
      <c r="M95" s="27">
        <v>933</v>
      </c>
      <c r="N95" s="28">
        <f t="shared" si="55"/>
        <v>9</v>
      </c>
      <c r="O95" s="29">
        <v>27434</v>
      </c>
      <c r="P95" s="28">
        <f t="shared" si="56"/>
        <v>290</v>
      </c>
      <c r="Q95" s="27">
        <v>3813</v>
      </c>
      <c r="R95" s="28">
        <f t="shared" si="57"/>
        <v>40</v>
      </c>
      <c r="S95" s="27">
        <v>4940</v>
      </c>
      <c r="T95" s="28">
        <f t="shared" si="58"/>
        <v>71</v>
      </c>
      <c r="U95" s="27"/>
      <c r="V95" s="28" t="str">
        <f t="shared" si="59"/>
        <v/>
      </c>
      <c r="W95" s="27">
        <v>490</v>
      </c>
      <c r="X95" s="28">
        <f t="shared" si="60"/>
        <v>5</v>
      </c>
      <c r="Y95" s="24">
        <f t="shared" si="61"/>
        <v>677</v>
      </c>
      <c r="Z95" s="24">
        <f t="shared" si="62"/>
        <v>116</v>
      </c>
      <c r="AA95" s="24">
        <f t="shared" si="63"/>
        <v>793</v>
      </c>
      <c r="AB95" s="25">
        <f t="shared" si="64"/>
        <v>-153</v>
      </c>
      <c r="AC95" s="25">
        <f t="shared" si="65"/>
        <v>174</v>
      </c>
      <c r="AD95" s="25">
        <f t="shared" si="66"/>
        <v>21</v>
      </c>
    </row>
    <row r="96" spans="1:30" hidden="1" x14ac:dyDescent="0.3">
      <c r="A96" s="9" t="s">
        <v>69</v>
      </c>
      <c r="B96" s="33">
        <v>45926</v>
      </c>
      <c r="C96" s="27">
        <v>64496</v>
      </c>
      <c r="D96" s="28">
        <f t="shared" si="50"/>
        <v>936</v>
      </c>
      <c r="E96" s="27">
        <v>8533</v>
      </c>
      <c r="F96" s="28">
        <f t="shared" si="51"/>
        <v>130</v>
      </c>
      <c r="G96" s="27">
        <v>24606</v>
      </c>
      <c r="H96" s="28">
        <f t="shared" si="52"/>
        <v>239</v>
      </c>
      <c r="I96" s="27">
        <v>6600</v>
      </c>
      <c r="J96" s="28">
        <f t="shared" si="53"/>
        <v>86</v>
      </c>
      <c r="K96" s="27">
        <v>19315</v>
      </c>
      <c r="L96" s="28">
        <f t="shared" si="54"/>
        <v>227</v>
      </c>
      <c r="M96" s="27">
        <v>942</v>
      </c>
      <c r="N96" s="28">
        <f t="shared" si="55"/>
        <v>11</v>
      </c>
      <c r="O96" s="29">
        <v>27724</v>
      </c>
      <c r="P96" s="28">
        <f t="shared" si="56"/>
        <v>291</v>
      </c>
      <c r="Q96" s="27">
        <v>3853</v>
      </c>
      <c r="R96" s="28">
        <f t="shared" si="57"/>
        <v>35</v>
      </c>
      <c r="S96" s="27">
        <v>5011</v>
      </c>
      <c r="T96" s="28">
        <f t="shared" si="58"/>
        <v>73</v>
      </c>
      <c r="U96" s="27"/>
      <c r="V96" s="28" t="str">
        <f t="shared" si="59"/>
        <v/>
      </c>
      <c r="W96" s="27">
        <v>495</v>
      </c>
      <c r="X96" s="28">
        <f t="shared" si="60"/>
        <v>6</v>
      </c>
      <c r="Y96" s="24">
        <f t="shared" si="61"/>
        <v>693</v>
      </c>
      <c r="Z96" s="24">
        <f t="shared" si="62"/>
        <v>114</v>
      </c>
      <c r="AA96" s="24">
        <f t="shared" si="63"/>
        <v>807</v>
      </c>
      <c r="AB96" s="25">
        <f t="shared" si="64"/>
        <v>243</v>
      </c>
      <c r="AC96" s="25">
        <f t="shared" si="65"/>
        <v>177</v>
      </c>
      <c r="AD96" s="25">
        <f t="shared" si="66"/>
        <v>420</v>
      </c>
    </row>
    <row r="97" spans="1:30" hidden="1" x14ac:dyDescent="0.3">
      <c r="A97" s="9" t="s">
        <v>70</v>
      </c>
      <c r="B97" s="33">
        <v>45927</v>
      </c>
      <c r="C97" s="27">
        <v>65432</v>
      </c>
      <c r="D97" s="28">
        <f t="shared" si="50"/>
        <v>707</v>
      </c>
      <c r="E97" s="27">
        <v>8663</v>
      </c>
      <c r="F97" s="28">
        <f t="shared" si="51"/>
        <v>136</v>
      </c>
      <c r="G97" s="27">
        <v>24845</v>
      </c>
      <c r="H97" s="28">
        <f t="shared" si="52"/>
        <v>245</v>
      </c>
      <c r="I97" s="27">
        <v>6686</v>
      </c>
      <c r="J97" s="28">
        <f t="shared" si="53"/>
        <v>80</v>
      </c>
      <c r="K97" s="27">
        <v>19542</v>
      </c>
      <c r="L97" s="28">
        <f t="shared" si="54"/>
        <v>206</v>
      </c>
      <c r="M97" s="27">
        <v>953</v>
      </c>
      <c r="N97" s="28">
        <f t="shared" si="55"/>
        <v>10</v>
      </c>
      <c r="O97" s="29">
        <v>28015</v>
      </c>
      <c r="P97" s="28">
        <f t="shared" si="56"/>
        <v>304</v>
      </c>
      <c r="Q97" s="27">
        <v>3888</v>
      </c>
      <c r="R97" s="28">
        <f t="shared" si="57"/>
        <v>43</v>
      </c>
      <c r="S97" s="27">
        <v>5084</v>
      </c>
      <c r="T97" s="28">
        <f t="shared" si="58"/>
        <v>71</v>
      </c>
      <c r="U97" s="27"/>
      <c r="V97" s="28" t="str">
        <f t="shared" si="59"/>
        <v/>
      </c>
      <c r="W97" s="27">
        <v>501</v>
      </c>
      <c r="X97" s="28">
        <f t="shared" si="60"/>
        <v>4</v>
      </c>
      <c r="Y97" s="24">
        <f t="shared" si="61"/>
        <v>677</v>
      </c>
      <c r="Z97" s="24">
        <f t="shared" si="62"/>
        <v>118</v>
      </c>
      <c r="AA97" s="24">
        <f t="shared" si="63"/>
        <v>795</v>
      </c>
      <c r="AB97" s="25">
        <f t="shared" si="64"/>
        <v>30</v>
      </c>
      <c r="AC97" s="25">
        <f t="shared" si="65"/>
        <v>186</v>
      </c>
      <c r="AD97" s="25">
        <f t="shared" si="66"/>
        <v>216</v>
      </c>
    </row>
    <row r="98" spans="1:30" hidden="1" x14ac:dyDescent="0.3">
      <c r="A98" s="9" t="s">
        <v>71</v>
      </c>
      <c r="B98" s="33">
        <v>45928</v>
      </c>
      <c r="C98" s="27">
        <v>66139</v>
      </c>
      <c r="D98" s="28">
        <f t="shared" si="50"/>
        <v>32</v>
      </c>
      <c r="E98" s="27">
        <v>8799</v>
      </c>
      <c r="F98" s="28">
        <f t="shared" si="51"/>
        <v>1</v>
      </c>
      <c r="G98" s="27">
        <v>25090</v>
      </c>
      <c r="H98" s="28">
        <f t="shared" si="52"/>
        <v>0</v>
      </c>
      <c r="I98" s="27">
        <v>6766</v>
      </c>
      <c r="J98" s="28">
        <f t="shared" si="53"/>
        <v>23</v>
      </c>
      <c r="K98" s="27">
        <v>19748</v>
      </c>
      <c r="L98" s="28">
        <f t="shared" si="54"/>
        <v>1</v>
      </c>
      <c r="M98" s="27">
        <v>963</v>
      </c>
      <c r="N98" s="28">
        <f t="shared" si="55"/>
        <v>1</v>
      </c>
      <c r="O98" s="29">
        <v>28319</v>
      </c>
      <c r="P98" s="28">
        <f t="shared" si="56"/>
        <v>32</v>
      </c>
      <c r="Q98" s="27">
        <v>3931</v>
      </c>
      <c r="R98" s="28">
        <f t="shared" si="57"/>
        <v>0</v>
      </c>
      <c r="S98" s="27">
        <v>5155</v>
      </c>
      <c r="T98" s="28">
        <f t="shared" si="58"/>
        <v>0</v>
      </c>
      <c r="U98" s="27"/>
      <c r="V98" s="28" t="str">
        <f t="shared" si="59"/>
        <v/>
      </c>
      <c r="W98" s="27">
        <v>505</v>
      </c>
      <c r="X98" s="28">
        <f t="shared" si="60"/>
        <v>0</v>
      </c>
      <c r="Y98" s="24">
        <f t="shared" si="61"/>
        <v>26</v>
      </c>
      <c r="Z98" s="24">
        <f t="shared" si="62"/>
        <v>0</v>
      </c>
      <c r="AA98" s="24">
        <f t="shared" si="63"/>
        <v>26</v>
      </c>
      <c r="AB98" s="25">
        <f t="shared" si="64"/>
        <v>6</v>
      </c>
      <c r="AC98" s="25">
        <f t="shared" si="65"/>
        <v>32</v>
      </c>
      <c r="AD98" s="25">
        <f t="shared" si="66"/>
        <v>38</v>
      </c>
    </row>
    <row r="99" spans="1:30" hidden="1" x14ac:dyDescent="0.3">
      <c r="A99" s="9" t="s">
        <v>72</v>
      </c>
      <c r="B99" s="33">
        <v>45929</v>
      </c>
      <c r="C99" s="27">
        <v>66171</v>
      </c>
      <c r="D99" s="28">
        <f t="shared" si="50"/>
        <v>765</v>
      </c>
      <c r="E99" s="27">
        <v>8800</v>
      </c>
      <c r="F99" s="28">
        <f t="shared" si="51"/>
        <v>132</v>
      </c>
      <c r="G99" s="27">
        <v>25090</v>
      </c>
      <c r="H99" s="28">
        <f t="shared" si="52"/>
        <v>241</v>
      </c>
      <c r="I99" s="27">
        <v>6789</v>
      </c>
      <c r="J99" s="28">
        <f t="shared" si="53"/>
        <v>110</v>
      </c>
      <c r="K99" s="27">
        <v>19749</v>
      </c>
      <c r="L99" s="28">
        <f t="shared" si="54"/>
        <v>198</v>
      </c>
      <c r="M99" s="27">
        <v>964</v>
      </c>
      <c r="N99" s="28">
        <f t="shared" si="55"/>
        <v>11</v>
      </c>
      <c r="O99" s="29">
        <v>28351</v>
      </c>
      <c r="P99" s="28">
        <f t="shared" si="56"/>
        <v>293</v>
      </c>
      <c r="Q99" s="27">
        <v>3931</v>
      </c>
      <c r="R99" s="28">
        <f t="shared" si="57"/>
        <v>28</v>
      </c>
      <c r="S99" s="27">
        <v>5155</v>
      </c>
      <c r="T99" s="28">
        <f t="shared" si="58"/>
        <v>75</v>
      </c>
      <c r="U99" s="27"/>
      <c r="V99" s="28" t="str">
        <f t="shared" si="59"/>
        <v/>
      </c>
      <c r="W99" s="27">
        <v>505</v>
      </c>
      <c r="X99" s="28">
        <f t="shared" si="60"/>
        <v>5</v>
      </c>
      <c r="Y99" s="24">
        <f t="shared" si="61"/>
        <v>692</v>
      </c>
      <c r="Z99" s="24">
        <f t="shared" si="62"/>
        <v>108</v>
      </c>
      <c r="AA99" s="24">
        <f t="shared" si="63"/>
        <v>800</v>
      </c>
      <c r="AB99" s="25">
        <f t="shared" si="64"/>
        <v>73</v>
      </c>
      <c r="AC99" s="25">
        <f t="shared" si="65"/>
        <v>185</v>
      </c>
      <c r="AD99" s="25">
        <f t="shared" si="66"/>
        <v>258</v>
      </c>
    </row>
    <row r="100" spans="1:30" hidden="1" x14ac:dyDescent="0.3">
      <c r="A100" s="9" t="s">
        <v>66</v>
      </c>
      <c r="B100" s="33">
        <v>45930</v>
      </c>
      <c r="C100" s="27">
        <v>66936</v>
      </c>
      <c r="D100" s="28">
        <f t="shared" si="50"/>
        <v>764</v>
      </c>
      <c r="E100" s="27">
        <v>8932</v>
      </c>
      <c r="F100" s="28">
        <f t="shared" si="51"/>
        <v>140</v>
      </c>
      <c r="G100" s="27">
        <v>25331</v>
      </c>
      <c r="H100" s="28">
        <f t="shared" si="52"/>
        <v>256</v>
      </c>
      <c r="I100" s="27">
        <v>6899</v>
      </c>
      <c r="J100" s="28">
        <f t="shared" si="53"/>
        <v>90</v>
      </c>
      <c r="K100" s="27">
        <v>19947</v>
      </c>
      <c r="L100" s="28">
        <f t="shared" si="54"/>
        <v>217</v>
      </c>
      <c r="M100" s="27">
        <v>975</v>
      </c>
      <c r="N100" s="28">
        <f t="shared" si="55"/>
        <v>11</v>
      </c>
      <c r="O100" s="29">
        <v>28644</v>
      </c>
      <c r="P100" s="28">
        <f t="shared" si="56"/>
        <v>316</v>
      </c>
      <c r="Q100" s="27">
        <v>3959</v>
      </c>
      <c r="R100" s="28">
        <f t="shared" si="57"/>
        <v>41</v>
      </c>
      <c r="S100" s="27">
        <v>5230</v>
      </c>
      <c r="T100" s="28">
        <f t="shared" si="58"/>
        <v>74</v>
      </c>
      <c r="U100" s="27"/>
      <c r="V100" s="28" t="str">
        <f t="shared" si="59"/>
        <v/>
      </c>
      <c r="W100" s="27">
        <v>510</v>
      </c>
      <c r="X100" s="28"/>
      <c r="Y100" s="24">
        <f t="shared" si="61"/>
        <v>714</v>
      </c>
      <c r="Z100" s="24">
        <f t="shared" si="62"/>
        <v>115</v>
      </c>
      <c r="AA100" s="24">
        <f t="shared" si="63"/>
        <v>829</v>
      </c>
      <c r="AB100" s="25">
        <f t="shared" si="64"/>
        <v>50</v>
      </c>
      <c r="AC100" s="25">
        <f t="shared" si="65"/>
        <v>201</v>
      </c>
      <c r="AD100" s="25">
        <f t="shared" si="66"/>
        <v>251</v>
      </c>
    </row>
    <row r="101" spans="1:30" hidden="1" x14ac:dyDescent="0.3">
      <c r="A101" s="9" t="s">
        <v>67</v>
      </c>
      <c r="B101" s="33">
        <v>45931</v>
      </c>
      <c r="C101" s="27">
        <v>67700</v>
      </c>
      <c r="D101" s="28" t="str">
        <f t="shared" si="50"/>
        <v/>
      </c>
      <c r="E101" s="27">
        <v>9072</v>
      </c>
      <c r="F101" s="28" t="str">
        <f t="shared" si="51"/>
        <v/>
      </c>
      <c r="G101" s="27">
        <v>25587</v>
      </c>
      <c r="H101" s="28" t="str">
        <f t="shared" si="52"/>
        <v/>
      </c>
      <c r="I101" s="27">
        <v>6989</v>
      </c>
      <c r="J101" s="28" t="str">
        <f t="shared" si="53"/>
        <v/>
      </c>
      <c r="K101" s="27">
        <v>20164</v>
      </c>
      <c r="L101" s="28" t="str">
        <f t="shared" si="54"/>
        <v/>
      </c>
      <c r="M101" s="27">
        <v>986</v>
      </c>
      <c r="N101" s="28" t="str">
        <f t="shared" si="55"/>
        <v/>
      </c>
      <c r="O101" s="29">
        <v>28960</v>
      </c>
      <c r="P101" s="28" t="str">
        <f t="shared" si="56"/>
        <v/>
      </c>
      <c r="Q101" s="27">
        <v>4000</v>
      </c>
      <c r="R101" s="28" t="str">
        <f t="shared" si="57"/>
        <v/>
      </c>
      <c r="S101" s="27">
        <v>5304</v>
      </c>
      <c r="T101" s="28" t="str">
        <f t="shared" si="58"/>
        <v/>
      </c>
      <c r="U101" s="27"/>
      <c r="V101" s="28" t="str">
        <f t="shared" si="59"/>
        <v/>
      </c>
      <c r="W101" s="27">
        <v>515</v>
      </c>
      <c r="X101" s="28" t="str">
        <f t="shared" si="60"/>
        <v/>
      </c>
      <c r="Y101" s="24">
        <f t="shared" si="61"/>
        <v>0</v>
      </c>
      <c r="Z101" s="24">
        <f t="shared" si="62"/>
        <v>0</v>
      </c>
      <c r="AA101" s="24">
        <f t="shared" si="63"/>
        <v>0</v>
      </c>
      <c r="AB101" s="25" t="e">
        <f t="shared" si="64"/>
        <v>#VALUE!</v>
      </c>
      <c r="AC101" s="25" t="e">
        <f t="shared" si="65"/>
        <v>#VALUE!</v>
      </c>
      <c r="AD101" s="25" t="e">
        <f t="shared" si="66"/>
        <v>#VALUE!</v>
      </c>
    </row>
    <row r="102" spans="1:30" ht="23.4" hidden="1" x14ac:dyDescent="0.3">
      <c r="A102" s="152" t="s">
        <v>73</v>
      </c>
      <c r="B102" s="153"/>
      <c r="C102" s="21"/>
      <c r="D102" s="22">
        <f>SUM(D71:D100)</f>
        <v>17973</v>
      </c>
      <c r="E102" s="21"/>
      <c r="F102" s="22">
        <f>SUM(F71:F100)</f>
        <v>3246</v>
      </c>
      <c r="G102" s="21"/>
      <c r="H102" s="22">
        <f>SUM(H71:H100)</f>
        <v>5964</v>
      </c>
      <c r="I102" s="21"/>
      <c r="J102" s="22">
        <f>SUM(J71:J100)</f>
        <v>2097</v>
      </c>
      <c r="K102" s="21"/>
      <c r="L102" s="22">
        <f>SUM(L71:L100)</f>
        <v>5333</v>
      </c>
      <c r="M102" s="21"/>
      <c r="N102" s="31">
        <f>SUM(N71:N100)</f>
        <v>288</v>
      </c>
      <c r="O102" s="23"/>
      <c r="P102" s="22">
        <f>SUM(P71:P100)</f>
        <v>7222</v>
      </c>
      <c r="Q102" s="21"/>
      <c r="R102" s="22">
        <f>SUM(R71:R100)</f>
        <v>956</v>
      </c>
      <c r="S102" s="21"/>
      <c r="T102" s="22">
        <f>SUM(T71:T100)</f>
        <v>1438</v>
      </c>
      <c r="U102" s="21"/>
      <c r="V102" s="22">
        <f>SUM(V71:V100)</f>
        <v>0</v>
      </c>
      <c r="W102" s="21"/>
      <c r="X102" s="22">
        <f>SUM(X71:X100)</f>
        <v>141</v>
      </c>
      <c r="Y102" s="24">
        <f>SUM(F102,H102,J102,L102,N102)</f>
        <v>16928</v>
      </c>
      <c r="Z102" s="24">
        <f>SUM(R102,T102,V102,X102)</f>
        <v>2535</v>
      </c>
      <c r="AA102" s="24">
        <f>SUM(F102,H102,J102,L102,N102,R102,T102,V102,X102)</f>
        <v>19463</v>
      </c>
      <c r="AB102" s="25">
        <f>D102-Y102</f>
        <v>1045</v>
      </c>
      <c r="AC102" s="25">
        <f>P102-Z102</f>
        <v>4687</v>
      </c>
      <c r="AD102" s="25">
        <f>(D102+P102)-AA102</f>
        <v>5732</v>
      </c>
    </row>
    <row r="103" spans="1:30" x14ac:dyDescent="0.3">
      <c r="A103" s="9" t="s">
        <v>67</v>
      </c>
      <c r="B103" s="33">
        <v>45931</v>
      </c>
      <c r="C103" s="27">
        <v>67700</v>
      </c>
      <c r="D103" s="28">
        <f t="shared" ref="D103:D134" si="67">IF(C104&lt;&gt;"",C104-C103,"")</f>
        <v>708</v>
      </c>
      <c r="E103" s="27">
        <v>9072</v>
      </c>
      <c r="F103" s="28">
        <f t="shared" ref="F103:F134" si="68">IF(E104&lt;&gt;"",E104-E103,"")</f>
        <v>132</v>
      </c>
      <c r="G103" s="27">
        <v>25587</v>
      </c>
      <c r="H103" s="28">
        <f t="shared" ref="H103:H134" si="69">IF(G104&lt;&gt;"",G104-G103,"")</f>
        <v>229</v>
      </c>
      <c r="I103" s="27">
        <v>6989</v>
      </c>
      <c r="J103" s="28">
        <f t="shared" ref="J103:J134" si="70">IF(I104&lt;&gt;"",I104-I103,"")</f>
        <v>83</v>
      </c>
      <c r="K103" s="27">
        <v>20164</v>
      </c>
      <c r="L103" s="28">
        <f t="shared" ref="L103:L134" si="71">IF(K104&lt;&gt;"",K104-K103,"")</f>
        <v>204</v>
      </c>
      <c r="M103" s="27">
        <v>986</v>
      </c>
      <c r="N103" s="28">
        <f t="shared" ref="N103:N134" si="72">IF(M104&lt;&gt;"",M104-M103,"")</f>
        <v>13</v>
      </c>
      <c r="O103" s="29">
        <v>28960</v>
      </c>
      <c r="P103" s="28">
        <f t="shared" ref="P103:P134" si="73">IF(O104&lt;&gt;"",O104-O103,"")</f>
        <v>310</v>
      </c>
      <c r="Q103" s="27">
        <v>4000</v>
      </c>
      <c r="R103" s="28">
        <f t="shared" ref="R103:R134" si="74">IF(Q104&lt;&gt;"",Q104-Q103,"")</f>
        <v>60</v>
      </c>
      <c r="S103" s="27">
        <v>5304</v>
      </c>
      <c r="T103" s="28">
        <f t="shared" ref="T103:T134" si="75">IF(S104&lt;&gt;"",S104-S103,"")</f>
        <v>70</v>
      </c>
      <c r="U103" s="27"/>
      <c r="V103" s="28" t="str">
        <f t="shared" ref="V103:V134" si="76">IF(U104&lt;&gt;"",U104-U103,"")</f>
        <v/>
      </c>
      <c r="W103" s="27">
        <v>515</v>
      </c>
      <c r="X103" s="28">
        <f t="shared" ref="X103:X134" si="77">IF(W104&lt;&gt;"",W104-W103,"")</f>
        <v>6</v>
      </c>
      <c r="Y103" s="24">
        <f>SUM(F103,H103,J103,L103,N103)</f>
        <v>661</v>
      </c>
      <c r="Z103" s="24">
        <f>SUM(R103,T103,V103,X103)</f>
        <v>136</v>
      </c>
      <c r="AA103" s="24">
        <f>SUM(F103,H103,J103,L103,N103,R103,T103,V103,X103)</f>
        <v>797</v>
      </c>
      <c r="AB103" s="25">
        <f>D103-Y103</f>
        <v>47</v>
      </c>
      <c r="AC103" s="25">
        <f>P103-Z103</f>
        <v>174</v>
      </c>
      <c r="AD103" s="25">
        <f>(D103+P103)-AA103</f>
        <v>221</v>
      </c>
    </row>
    <row r="104" spans="1:30" x14ac:dyDescent="0.3">
      <c r="A104" s="9" t="s">
        <v>68</v>
      </c>
      <c r="B104" s="33">
        <v>45932</v>
      </c>
      <c r="C104" s="27">
        <v>68408</v>
      </c>
      <c r="D104" s="28">
        <f t="shared" si="67"/>
        <v>785</v>
      </c>
      <c r="E104" s="27">
        <v>9204</v>
      </c>
      <c r="F104" s="28">
        <f t="shared" si="68"/>
        <v>133</v>
      </c>
      <c r="G104" s="27">
        <v>25816</v>
      </c>
      <c r="H104" s="28">
        <f t="shared" si="69"/>
        <v>275</v>
      </c>
      <c r="I104" s="27">
        <v>7072</v>
      </c>
      <c r="J104" s="28">
        <f t="shared" si="70"/>
        <v>89</v>
      </c>
      <c r="K104" s="27">
        <v>20368</v>
      </c>
      <c r="L104" s="28">
        <f t="shared" si="71"/>
        <v>223</v>
      </c>
      <c r="M104" s="27">
        <v>999</v>
      </c>
      <c r="N104" s="28">
        <f t="shared" si="72"/>
        <v>13</v>
      </c>
      <c r="O104" s="29">
        <v>29270</v>
      </c>
      <c r="P104" s="28">
        <f t="shared" si="73"/>
        <v>348</v>
      </c>
      <c r="Q104" s="27">
        <v>4060</v>
      </c>
      <c r="R104" s="28">
        <f t="shared" si="74"/>
        <v>49</v>
      </c>
      <c r="S104" s="27">
        <v>5374</v>
      </c>
      <c r="T104" s="28">
        <f t="shared" si="75"/>
        <v>74</v>
      </c>
      <c r="U104" s="27"/>
      <c r="V104" s="28" t="str">
        <f t="shared" si="76"/>
        <v/>
      </c>
      <c r="W104" s="27">
        <v>521</v>
      </c>
      <c r="X104" s="28">
        <f t="shared" si="77"/>
        <v>6</v>
      </c>
      <c r="Y104" s="24">
        <f t="shared" ref="Y104:Y111" si="78">SUM(F104,H104,J104,L104,N104)</f>
        <v>733</v>
      </c>
      <c r="Z104" s="24">
        <f t="shared" ref="Z104:Z111" si="79">SUM(R104,T104,V104,X104)</f>
        <v>129</v>
      </c>
      <c r="AA104" s="24">
        <f t="shared" ref="AA104:AA111" si="80">SUM(F104,H104,J104,L104,N104,R104,T104,V104,X104)</f>
        <v>862</v>
      </c>
      <c r="AB104" s="25">
        <f t="shared" ref="AB104:AB111" si="81">D104-Y104</f>
        <v>52</v>
      </c>
      <c r="AC104" s="25">
        <f t="shared" ref="AC104:AC111" si="82">P104-Z104</f>
        <v>219</v>
      </c>
      <c r="AD104" s="25">
        <f t="shared" ref="AD104:AD111" si="83">(D104+P104)-AA104</f>
        <v>271</v>
      </c>
    </row>
    <row r="105" spans="1:30" x14ac:dyDescent="0.3">
      <c r="A105" s="9" t="s">
        <v>69</v>
      </c>
      <c r="B105" s="33">
        <v>45933</v>
      </c>
      <c r="C105" s="27">
        <v>69193</v>
      </c>
      <c r="D105" s="28">
        <f t="shared" si="67"/>
        <v>697</v>
      </c>
      <c r="E105" s="27">
        <v>9337</v>
      </c>
      <c r="F105" s="28">
        <f t="shared" si="68"/>
        <v>117</v>
      </c>
      <c r="G105" s="27">
        <v>26091</v>
      </c>
      <c r="H105" s="28">
        <f t="shared" si="69"/>
        <v>233</v>
      </c>
      <c r="I105" s="27">
        <v>7161</v>
      </c>
      <c r="J105" s="28">
        <f t="shared" si="70"/>
        <v>81</v>
      </c>
      <c r="K105" s="27">
        <v>20591</v>
      </c>
      <c r="L105" s="28">
        <f t="shared" si="71"/>
        <v>215</v>
      </c>
      <c r="M105" s="27">
        <v>1012</v>
      </c>
      <c r="N105" s="28">
        <f t="shared" si="72"/>
        <v>10</v>
      </c>
      <c r="O105" s="29">
        <v>29618</v>
      </c>
      <c r="P105" s="28">
        <f t="shared" si="73"/>
        <v>328</v>
      </c>
      <c r="Q105" s="27">
        <v>4109</v>
      </c>
      <c r="R105" s="28">
        <f t="shared" si="74"/>
        <v>50</v>
      </c>
      <c r="S105" s="27">
        <v>5448</v>
      </c>
      <c r="T105" s="28">
        <f t="shared" si="75"/>
        <v>76</v>
      </c>
      <c r="U105" s="27"/>
      <c r="V105" s="28" t="str">
        <f t="shared" si="76"/>
        <v/>
      </c>
      <c r="W105" s="27">
        <v>527</v>
      </c>
      <c r="X105" s="28">
        <f t="shared" si="77"/>
        <v>7</v>
      </c>
      <c r="Y105" s="24">
        <f t="shared" si="78"/>
        <v>656</v>
      </c>
      <c r="Z105" s="24">
        <f t="shared" si="79"/>
        <v>133</v>
      </c>
      <c r="AA105" s="24">
        <f t="shared" si="80"/>
        <v>789</v>
      </c>
      <c r="AB105" s="25">
        <f t="shared" si="81"/>
        <v>41</v>
      </c>
      <c r="AC105" s="25">
        <f t="shared" si="82"/>
        <v>195</v>
      </c>
      <c r="AD105" s="25">
        <f t="shared" si="83"/>
        <v>236</v>
      </c>
    </row>
    <row r="106" spans="1:30" x14ac:dyDescent="0.3">
      <c r="A106" s="9" t="s">
        <v>70</v>
      </c>
      <c r="B106" s="33">
        <v>45934</v>
      </c>
      <c r="C106" s="27">
        <v>69890</v>
      </c>
      <c r="D106" s="28">
        <f t="shared" si="67"/>
        <v>658</v>
      </c>
      <c r="E106" s="27">
        <v>9454</v>
      </c>
      <c r="F106" s="28">
        <f t="shared" si="68"/>
        <v>113</v>
      </c>
      <c r="G106" s="27">
        <v>26324</v>
      </c>
      <c r="H106" s="28">
        <f t="shared" si="69"/>
        <v>225</v>
      </c>
      <c r="I106" s="27">
        <v>7242</v>
      </c>
      <c r="J106" s="28">
        <f t="shared" si="70"/>
        <v>78</v>
      </c>
      <c r="K106" s="27">
        <v>20806</v>
      </c>
      <c r="L106" s="28">
        <f t="shared" si="71"/>
        <v>193</v>
      </c>
      <c r="M106" s="27">
        <v>1022</v>
      </c>
      <c r="N106" s="28">
        <f t="shared" si="72"/>
        <v>10</v>
      </c>
      <c r="O106" s="29">
        <v>29946</v>
      </c>
      <c r="P106" s="28">
        <f t="shared" si="73"/>
        <v>284</v>
      </c>
      <c r="Q106" s="27">
        <v>4159</v>
      </c>
      <c r="R106" s="28">
        <f t="shared" si="74"/>
        <v>49</v>
      </c>
      <c r="S106" s="27">
        <v>5524</v>
      </c>
      <c r="T106" s="28">
        <f t="shared" si="75"/>
        <v>59</v>
      </c>
      <c r="U106" s="27"/>
      <c r="V106" s="28" t="str">
        <f t="shared" si="76"/>
        <v/>
      </c>
      <c r="W106" s="27">
        <v>534</v>
      </c>
      <c r="X106" s="28">
        <f t="shared" si="77"/>
        <v>3</v>
      </c>
      <c r="Y106" s="24">
        <f t="shared" si="78"/>
        <v>619</v>
      </c>
      <c r="Z106" s="24">
        <f t="shared" si="79"/>
        <v>111</v>
      </c>
      <c r="AA106" s="24">
        <f t="shared" si="80"/>
        <v>730</v>
      </c>
      <c r="AB106" s="25">
        <f t="shared" si="81"/>
        <v>39</v>
      </c>
      <c r="AC106" s="25">
        <f t="shared" si="82"/>
        <v>173</v>
      </c>
      <c r="AD106" s="25">
        <f t="shared" si="83"/>
        <v>212</v>
      </c>
    </row>
    <row r="107" spans="1:30" x14ac:dyDescent="0.3">
      <c r="A107" s="9" t="s">
        <v>71</v>
      </c>
      <c r="B107" s="33">
        <v>45935</v>
      </c>
      <c r="C107" s="27">
        <v>70548</v>
      </c>
      <c r="D107" s="28">
        <f t="shared" si="67"/>
        <v>67</v>
      </c>
      <c r="E107" s="27">
        <v>9567</v>
      </c>
      <c r="F107" s="28">
        <f t="shared" si="68"/>
        <v>5</v>
      </c>
      <c r="G107" s="27">
        <v>26549</v>
      </c>
      <c r="H107" s="28">
        <f t="shared" si="69"/>
        <v>11</v>
      </c>
      <c r="I107" s="27">
        <v>7320</v>
      </c>
      <c r="J107" s="28">
        <f t="shared" si="70"/>
        <v>25</v>
      </c>
      <c r="K107" s="27">
        <v>20999</v>
      </c>
      <c r="L107" s="28">
        <f t="shared" si="71"/>
        <v>19</v>
      </c>
      <c r="M107" s="27">
        <v>1032</v>
      </c>
      <c r="N107" s="28">
        <f t="shared" si="72"/>
        <v>4</v>
      </c>
      <c r="O107" s="29">
        <v>30230</v>
      </c>
      <c r="P107" s="28">
        <f t="shared" si="73"/>
        <v>29</v>
      </c>
      <c r="Q107" s="27">
        <v>4208</v>
      </c>
      <c r="R107" s="28">
        <f t="shared" si="74"/>
        <v>1</v>
      </c>
      <c r="S107" s="27">
        <v>5583</v>
      </c>
      <c r="T107" s="28">
        <f t="shared" si="75"/>
        <v>3</v>
      </c>
      <c r="U107" s="27"/>
      <c r="V107" s="28" t="str">
        <f t="shared" si="76"/>
        <v/>
      </c>
      <c r="W107" s="27">
        <v>537</v>
      </c>
      <c r="X107" s="28">
        <f t="shared" si="77"/>
        <v>1</v>
      </c>
      <c r="Y107" s="24">
        <f t="shared" si="78"/>
        <v>64</v>
      </c>
      <c r="Z107" s="24">
        <f t="shared" si="79"/>
        <v>5</v>
      </c>
      <c r="AA107" s="24">
        <f t="shared" si="80"/>
        <v>69</v>
      </c>
      <c r="AB107" s="25">
        <f t="shared" si="81"/>
        <v>3</v>
      </c>
      <c r="AC107" s="25">
        <f t="shared" si="82"/>
        <v>24</v>
      </c>
      <c r="AD107" s="25">
        <f t="shared" si="83"/>
        <v>27</v>
      </c>
    </row>
    <row r="108" spans="1:30" x14ac:dyDescent="0.3">
      <c r="A108" s="9" t="s">
        <v>72</v>
      </c>
      <c r="B108" s="33">
        <v>45936</v>
      </c>
      <c r="C108" s="27">
        <v>70615</v>
      </c>
      <c r="D108" s="28">
        <f t="shared" si="67"/>
        <v>536</v>
      </c>
      <c r="E108" s="27">
        <v>9572</v>
      </c>
      <c r="F108" s="28">
        <f t="shared" si="68"/>
        <v>111</v>
      </c>
      <c r="G108" s="27">
        <v>26560</v>
      </c>
      <c r="H108" s="28">
        <f t="shared" si="69"/>
        <v>142</v>
      </c>
      <c r="I108" s="27">
        <v>7345</v>
      </c>
      <c r="J108" s="28">
        <f t="shared" si="70"/>
        <v>44</v>
      </c>
      <c r="K108" s="27">
        <v>21018</v>
      </c>
      <c r="L108" s="28">
        <f t="shared" si="71"/>
        <v>215</v>
      </c>
      <c r="M108" s="27">
        <v>1036</v>
      </c>
      <c r="N108" s="28">
        <f t="shared" si="72"/>
        <v>10</v>
      </c>
      <c r="O108" s="29">
        <v>30259</v>
      </c>
      <c r="P108" s="28">
        <f t="shared" si="73"/>
        <v>276</v>
      </c>
      <c r="Q108" s="27">
        <v>4209</v>
      </c>
      <c r="R108" s="28">
        <f t="shared" si="74"/>
        <v>54</v>
      </c>
      <c r="S108" s="27">
        <v>5586</v>
      </c>
      <c r="T108" s="28">
        <f t="shared" si="75"/>
        <v>25</v>
      </c>
      <c r="U108" s="27"/>
      <c r="V108" s="28" t="str">
        <f t="shared" si="76"/>
        <v/>
      </c>
      <c r="W108" s="27">
        <v>538</v>
      </c>
      <c r="X108" s="28">
        <f t="shared" si="77"/>
        <v>6</v>
      </c>
      <c r="Y108" s="24">
        <f t="shared" si="78"/>
        <v>522</v>
      </c>
      <c r="Z108" s="24">
        <f t="shared" si="79"/>
        <v>85</v>
      </c>
      <c r="AA108" s="24">
        <f t="shared" si="80"/>
        <v>607</v>
      </c>
      <c r="AB108" s="25">
        <f t="shared" si="81"/>
        <v>14</v>
      </c>
      <c r="AC108" s="25">
        <f t="shared" si="82"/>
        <v>191</v>
      </c>
      <c r="AD108" s="25">
        <f t="shared" si="83"/>
        <v>205</v>
      </c>
    </row>
    <row r="109" spans="1:30" x14ac:dyDescent="0.3">
      <c r="A109" s="9" t="s">
        <v>66</v>
      </c>
      <c r="B109" s="33">
        <v>45937</v>
      </c>
      <c r="C109" s="27">
        <v>71151</v>
      </c>
      <c r="D109" s="28">
        <f t="shared" si="67"/>
        <v>516</v>
      </c>
      <c r="E109" s="27">
        <v>9683</v>
      </c>
      <c r="F109" s="28">
        <f t="shared" si="68"/>
        <v>131</v>
      </c>
      <c r="G109" s="27">
        <v>26702</v>
      </c>
      <c r="H109" s="28">
        <f t="shared" si="69"/>
        <v>139</v>
      </c>
      <c r="I109" s="27">
        <v>7389</v>
      </c>
      <c r="J109" s="28">
        <f t="shared" si="70"/>
        <v>21</v>
      </c>
      <c r="K109" s="27">
        <v>21233</v>
      </c>
      <c r="L109" s="28">
        <f t="shared" si="71"/>
        <v>200</v>
      </c>
      <c r="M109" s="27">
        <v>1046</v>
      </c>
      <c r="N109" s="28">
        <f t="shared" si="72"/>
        <v>13</v>
      </c>
      <c r="O109" s="29">
        <v>30535</v>
      </c>
      <c r="P109" s="28">
        <f t="shared" si="73"/>
        <v>247</v>
      </c>
      <c r="Q109" s="27">
        <v>4263</v>
      </c>
      <c r="R109" s="28">
        <f t="shared" si="74"/>
        <v>60</v>
      </c>
      <c r="S109" s="27">
        <v>5611</v>
      </c>
      <c r="T109" s="28">
        <f t="shared" si="75"/>
        <v>10</v>
      </c>
      <c r="U109" s="27"/>
      <c r="V109" s="28" t="str">
        <f t="shared" si="76"/>
        <v/>
      </c>
      <c r="W109" s="27">
        <v>544</v>
      </c>
      <c r="X109" s="28">
        <f t="shared" si="77"/>
        <v>5</v>
      </c>
      <c r="Y109" s="24">
        <f t="shared" si="78"/>
        <v>504</v>
      </c>
      <c r="Z109" s="24">
        <f t="shared" si="79"/>
        <v>75</v>
      </c>
      <c r="AA109" s="24">
        <f t="shared" si="80"/>
        <v>579</v>
      </c>
      <c r="AB109" s="25">
        <f t="shared" si="81"/>
        <v>12</v>
      </c>
      <c r="AC109" s="25">
        <f t="shared" si="82"/>
        <v>172</v>
      </c>
      <c r="AD109" s="25">
        <f t="shared" si="83"/>
        <v>184</v>
      </c>
    </row>
    <row r="110" spans="1:30" x14ac:dyDescent="0.3">
      <c r="A110" s="9" t="s">
        <v>67</v>
      </c>
      <c r="B110" s="33">
        <v>45938</v>
      </c>
      <c r="C110" s="27">
        <v>71667</v>
      </c>
      <c r="D110" s="28">
        <f t="shared" si="67"/>
        <v>529</v>
      </c>
      <c r="E110" s="27">
        <v>9814</v>
      </c>
      <c r="F110" s="28">
        <f t="shared" si="68"/>
        <v>139</v>
      </c>
      <c r="G110" s="27">
        <v>26841</v>
      </c>
      <c r="H110" s="28">
        <f t="shared" si="69"/>
        <v>116</v>
      </c>
      <c r="I110" s="27">
        <v>7410</v>
      </c>
      <c r="J110" s="28">
        <f t="shared" si="70"/>
        <v>35</v>
      </c>
      <c r="K110" s="27">
        <v>21433</v>
      </c>
      <c r="L110" s="28">
        <f t="shared" si="71"/>
        <v>214</v>
      </c>
      <c r="M110" s="27">
        <v>1059</v>
      </c>
      <c r="N110" s="28">
        <f t="shared" si="72"/>
        <v>13</v>
      </c>
      <c r="O110" s="29">
        <v>30782</v>
      </c>
      <c r="P110" s="28">
        <f t="shared" si="73"/>
        <v>232</v>
      </c>
      <c r="Q110" s="27">
        <v>4323</v>
      </c>
      <c r="R110" s="28">
        <f t="shared" si="74"/>
        <v>47</v>
      </c>
      <c r="S110" s="27">
        <v>5621</v>
      </c>
      <c r="T110" s="28">
        <f t="shared" si="75"/>
        <v>11</v>
      </c>
      <c r="U110" s="27"/>
      <c r="V110" s="28" t="str">
        <f t="shared" si="76"/>
        <v/>
      </c>
      <c r="W110" s="27">
        <v>549</v>
      </c>
      <c r="X110" s="28">
        <f t="shared" si="77"/>
        <v>4</v>
      </c>
      <c r="Y110" s="24">
        <f t="shared" si="78"/>
        <v>517</v>
      </c>
      <c r="Z110" s="24">
        <f t="shared" si="79"/>
        <v>62</v>
      </c>
      <c r="AA110" s="24">
        <f t="shared" si="80"/>
        <v>579</v>
      </c>
      <c r="AB110" s="25">
        <f t="shared" si="81"/>
        <v>12</v>
      </c>
      <c r="AC110" s="25">
        <f t="shared" si="82"/>
        <v>170</v>
      </c>
      <c r="AD110" s="25">
        <f t="shared" si="83"/>
        <v>182</v>
      </c>
    </row>
    <row r="111" spans="1:30" x14ac:dyDescent="0.3">
      <c r="A111" s="9" t="s">
        <v>68</v>
      </c>
      <c r="B111" s="33">
        <v>45939</v>
      </c>
      <c r="C111" s="27">
        <v>72196</v>
      </c>
      <c r="D111" s="28">
        <f t="shared" si="67"/>
        <v>567</v>
      </c>
      <c r="E111" s="27">
        <v>9953</v>
      </c>
      <c r="F111" s="28">
        <f t="shared" si="68"/>
        <v>145</v>
      </c>
      <c r="G111" s="27">
        <v>26957</v>
      </c>
      <c r="H111" s="28">
        <f t="shared" si="69"/>
        <v>118</v>
      </c>
      <c r="I111" s="27">
        <v>7445</v>
      </c>
      <c r="J111" s="28">
        <f t="shared" si="70"/>
        <v>40</v>
      </c>
      <c r="K111" s="27">
        <v>21647</v>
      </c>
      <c r="L111" s="28">
        <f t="shared" si="71"/>
        <v>220</v>
      </c>
      <c r="M111" s="27">
        <v>1072</v>
      </c>
      <c r="N111" s="28">
        <f t="shared" si="72"/>
        <v>16</v>
      </c>
      <c r="O111" s="29">
        <v>31014</v>
      </c>
      <c r="P111" s="28">
        <f t="shared" si="73"/>
        <v>228</v>
      </c>
      <c r="Q111" s="27">
        <v>4370</v>
      </c>
      <c r="R111" s="28">
        <f t="shared" si="74"/>
        <v>45</v>
      </c>
      <c r="S111" s="27">
        <v>5632</v>
      </c>
      <c r="T111" s="28">
        <f t="shared" si="75"/>
        <v>21</v>
      </c>
      <c r="U111" s="27"/>
      <c r="V111" s="28" t="str">
        <f t="shared" si="76"/>
        <v/>
      </c>
      <c r="W111" s="27">
        <v>553</v>
      </c>
      <c r="X111" s="28">
        <f t="shared" si="77"/>
        <v>5</v>
      </c>
      <c r="Y111" s="24">
        <f t="shared" si="78"/>
        <v>539</v>
      </c>
      <c r="Z111" s="24">
        <f t="shared" si="79"/>
        <v>71</v>
      </c>
      <c r="AA111" s="24">
        <f t="shared" si="80"/>
        <v>610</v>
      </c>
      <c r="AB111" s="25">
        <f t="shared" si="81"/>
        <v>28</v>
      </c>
      <c r="AC111" s="25">
        <f t="shared" si="82"/>
        <v>157</v>
      </c>
      <c r="AD111" s="25">
        <f t="shared" si="83"/>
        <v>185</v>
      </c>
    </row>
    <row r="112" spans="1:30" x14ac:dyDescent="0.3">
      <c r="A112" s="9" t="s">
        <v>69</v>
      </c>
      <c r="B112" s="33">
        <v>45940</v>
      </c>
      <c r="C112" s="27">
        <v>72763</v>
      </c>
      <c r="D112" s="28">
        <f t="shared" si="67"/>
        <v>562</v>
      </c>
      <c r="E112" s="27">
        <v>10098</v>
      </c>
      <c r="F112" s="28">
        <f t="shared" si="68"/>
        <v>142</v>
      </c>
      <c r="G112" s="27">
        <v>27075</v>
      </c>
      <c r="H112" s="28">
        <f t="shared" si="69"/>
        <v>137</v>
      </c>
      <c r="I112" s="27">
        <v>7485</v>
      </c>
      <c r="J112" s="28">
        <f t="shared" si="70"/>
        <v>41</v>
      </c>
      <c r="K112" s="27">
        <v>21867</v>
      </c>
      <c r="L112" s="28">
        <f t="shared" si="71"/>
        <v>214</v>
      </c>
      <c r="M112" s="27">
        <v>1088</v>
      </c>
      <c r="N112" s="28">
        <f t="shared" si="72"/>
        <v>12</v>
      </c>
      <c r="O112" s="29">
        <v>31242</v>
      </c>
      <c r="P112" s="28">
        <f t="shared" si="73"/>
        <v>265</v>
      </c>
      <c r="Q112" s="27">
        <v>4415</v>
      </c>
      <c r="R112" s="28">
        <f t="shared" si="74"/>
        <v>74</v>
      </c>
      <c r="S112" s="27">
        <v>5653</v>
      </c>
      <c r="T112" s="28">
        <f t="shared" si="75"/>
        <v>25</v>
      </c>
      <c r="U112" s="27"/>
      <c r="V112" s="28" t="str">
        <f t="shared" si="76"/>
        <v/>
      </c>
      <c r="W112" s="27">
        <v>558</v>
      </c>
      <c r="X112" s="28">
        <f t="shared" si="77"/>
        <v>5</v>
      </c>
      <c r="Y112" s="24">
        <f t="shared" ref="Y112:Y134" si="84">SUM(F112,H112,J112,L112,N112)</f>
        <v>546</v>
      </c>
      <c r="Z112" s="24">
        <f t="shared" ref="Z112:Z134" si="85">SUM(R112,T112,V112,X112)</f>
        <v>104</v>
      </c>
      <c r="AA112" s="24">
        <f t="shared" ref="AA112:AA134" si="86">SUM(F112,H112,J112,L112,N112,R112,T112,V112,X112)</f>
        <v>650</v>
      </c>
      <c r="AB112" s="25">
        <f t="shared" ref="AB112:AB134" si="87">D112-Y112</f>
        <v>16</v>
      </c>
      <c r="AC112" s="25">
        <f t="shared" ref="AC112:AC134" si="88">P112-Z112</f>
        <v>161</v>
      </c>
      <c r="AD112" s="25">
        <f t="shared" ref="AD112:AD134" si="89">(D112+P112)-AA112</f>
        <v>177</v>
      </c>
    </row>
    <row r="113" spans="1:30" x14ac:dyDescent="0.3">
      <c r="A113" s="9" t="s">
        <v>70</v>
      </c>
      <c r="B113" s="33">
        <v>45941</v>
      </c>
      <c r="C113" s="27">
        <v>73325</v>
      </c>
      <c r="D113" s="28">
        <f t="shared" si="67"/>
        <v>573</v>
      </c>
      <c r="E113" s="27">
        <v>10240</v>
      </c>
      <c r="F113" s="28">
        <f t="shared" si="68"/>
        <v>152</v>
      </c>
      <c r="G113" s="27">
        <v>27212</v>
      </c>
      <c r="H113" s="28">
        <f t="shared" si="69"/>
        <v>137</v>
      </c>
      <c r="I113" s="27">
        <v>7526</v>
      </c>
      <c r="J113" s="28">
        <f t="shared" si="70"/>
        <v>25</v>
      </c>
      <c r="K113" s="27">
        <v>22081</v>
      </c>
      <c r="L113" s="28">
        <f t="shared" si="71"/>
        <v>222</v>
      </c>
      <c r="M113" s="27">
        <v>1100</v>
      </c>
      <c r="N113" s="28">
        <f t="shared" si="72"/>
        <v>11</v>
      </c>
      <c r="O113" s="29">
        <v>31507</v>
      </c>
      <c r="P113" s="28">
        <f t="shared" si="73"/>
        <v>295</v>
      </c>
      <c r="Q113" s="27">
        <v>4489</v>
      </c>
      <c r="R113" s="28">
        <f t="shared" si="74"/>
        <v>95</v>
      </c>
      <c r="S113" s="27">
        <v>5678</v>
      </c>
      <c r="T113" s="28">
        <f t="shared" si="75"/>
        <v>26</v>
      </c>
      <c r="U113" s="27"/>
      <c r="V113" s="28" t="str">
        <f t="shared" si="76"/>
        <v/>
      </c>
      <c r="W113" s="27">
        <v>563</v>
      </c>
      <c r="X113" s="28">
        <f t="shared" si="77"/>
        <v>3</v>
      </c>
      <c r="Y113" s="24">
        <f t="shared" si="84"/>
        <v>547</v>
      </c>
      <c r="Z113" s="24">
        <f t="shared" si="85"/>
        <v>124</v>
      </c>
      <c r="AA113" s="24">
        <f t="shared" si="86"/>
        <v>671</v>
      </c>
      <c r="AB113" s="25">
        <f t="shared" si="87"/>
        <v>26</v>
      </c>
      <c r="AC113" s="25">
        <f t="shared" si="88"/>
        <v>171</v>
      </c>
      <c r="AD113" s="25">
        <f t="shared" si="89"/>
        <v>197</v>
      </c>
    </row>
    <row r="114" spans="1:30" x14ac:dyDescent="0.3">
      <c r="A114" s="9" t="s">
        <v>71</v>
      </c>
      <c r="B114" s="33">
        <v>45942</v>
      </c>
      <c r="C114" s="27">
        <v>73898</v>
      </c>
      <c r="D114" s="28">
        <f t="shared" si="67"/>
        <v>7</v>
      </c>
      <c r="E114" s="27">
        <v>10392</v>
      </c>
      <c r="F114" s="28">
        <f t="shared" si="68"/>
        <v>0</v>
      </c>
      <c r="G114" s="27">
        <v>27349</v>
      </c>
      <c r="H114" s="28">
        <f t="shared" si="69"/>
        <v>0</v>
      </c>
      <c r="I114" s="27">
        <v>7551</v>
      </c>
      <c r="J114" s="28">
        <f t="shared" si="70"/>
        <v>0</v>
      </c>
      <c r="K114" s="27">
        <v>22303</v>
      </c>
      <c r="L114" s="28">
        <f t="shared" si="71"/>
        <v>0</v>
      </c>
      <c r="M114" s="27">
        <v>1111</v>
      </c>
      <c r="N114" s="28">
        <f t="shared" si="72"/>
        <v>2</v>
      </c>
      <c r="O114" s="29">
        <v>31802</v>
      </c>
      <c r="P114" s="28">
        <f t="shared" si="73"/>
        <v>11</v>
      </c>
      <c r="Q114" s="27">
        <v>4584</v>
      </c>
      <c r="R114" s="28">
        <f t="shared" si="74"/>
        <v>0</v>
      </c>
      <c r="S114" s="27">
        <v>5704</v>
      </c>
      <c r="T114" s="28">
        <f t="shared" si="75"/>
        <v>0</v>
      </c>
      <c r="U114" s="27"/>
      <c r="V114" s="28" t="str">
        <f t="shared" si="76"/>
        <v/>
      </c>
      <c r="W114" s="27">
        <v>566</v>
      </c>
      <c r="X114" s="28">
        <f t="shared" si="77"/>
        <v>1</v>
      </c>
      <c r="Y114" s="24">
        <f t="shared" si="84"/>
        <v>2</v>
      </c>
      <c r="Z114" s="24">
        <f t="shared" si="85"/>
        <v>1</v>
      </c>
      <c r="AA114" s="24">
        <f t="shared" si="86"/>
        <v>3</v>
      </c>
      <c r="AB114" s="25">
        <f t="shared" si="87"/>
        <v>5</v>
      </c>
      <c r="AC114" s="25">
        <f t="shared" si="88"/>
        <v>10</v>
      </c>
      <c r="AD114" s="25">
        <f t="shared" si="89"/>
        <v>15</v>
      </c>
    </row>
    <row r="115" spans="1:30" x14ac:dyDescent="0.3">
      <c r="A115" s="9" t="s">
        <v>72</v>
      </c>
      <c r="B115" s="33">
        <v>45943</v>
      </c>
      <c r="C115" s="27">
        <v>73905</v>
      </c>
      <c r="D115" s="28">
        <f t="shared" si="67"/>
        <v>585</v>
      </c>
      <c r="E115" s="27">
        <v>10392</v>
      </c>
      <c r="F115" s="28">
        <f t="shared" si="68"/>
        <v>142</v>
      </c>
      <c r="G115" s="27">
        <v>27349</v>
      </c>
      <c r="H115" s="28">
        <f t="shared" si="69"/>
        <v>140</v>
      </c>
      <c r="I115" s="27">
        <v>7551</v>
      </c>
      <c r="J115" s="28">
        <f t="shared" si="70"/>
        <v>42</v>
      </c>
      <c r="K115" s="27">
        <v>22303</v>
      </c>
      <c r="L115" s="28">
        <f t="shared" si="71"/>
        <v>224</v>
      </c>
      <c r="M115" s="27">
        <v>1113</v>
      </c>
      <c r="N115" s="28">
        <f t="shared" si="72"/>
        <v>11</v>
      </c>
      <c r="O115" s="29">
        <v>31813</v>
      </c>
      <c r="P115" s="28">
        <f t="shared" si="73"/>
        <v>328</v>
      </c>
      <c r="Q115" s="27">
        <v>4584</v>
      </c>
      <c r="R115" s="28">
        <f t="shared" si="74"/>
        <v>105</v>
      </c>
      <c r="S115" s="27">
        <v>5704</v>
      </c>
      <c r="T115" s="28">
        <f t="shared" si="75"/>
        <v>38</v>
      </c>
      <c r="U115" s="27"/>
      <c r="V115" s="28" t="str">
        <f t="shared" si="76"/>
        <v/>
      </c>
      <c r="W115" s="27">
        <v>567</v>
      </c>
      <c r="X115" s="28">
        <f t="shared" si="77"/>
        <v>5</v>
      </c>
      <c r="Y115" s="24">
        <f t="shared" si="84"/>
        <v>559</v>
      </c>
      <c r="Z115" s="24">
        <f t="shared" si="85"/>
        <v>148</v>
      </c>
      <c r="AA115" s="24">
        <f t="shared" si="86"/>
        <v>707</v>
      </c>
      <c r="AB115" s="25">
        <f t="shared" si="87"/>
        <v>26</v>
      </c>
      <c r="AC115" s="25">
        <f t="shared" si="88"/>
        <v>180</v>
      </c>
      <c r="AD115" s="25">
        <f t="shared" si="89"/>
        <v>206</v>
      </c>
    </row>
    <row r="116" spans="1:30" x14ac:dyDescent="0.3">
      <c r="A116" s="9" t="s">
        <v>66</v>
      </c>
      <c r="B116" s="33">
        <v>45944</v>
      </c>
      <c r="C116" s="27">
        <v>74490</v>
      </c>
      <c r="D116" s="28">
        <f t="shared" si="67"/>
        <v>595</v>
      </c>
      <c r="E116" s="27">
        <v>10534</v>
      </c>
      <c r="F116" s="28">
        <f t="shared" si="68"/>
        <v>149</v>
      </c>
      <c r="G116" s="27">
        <v>27489</v>
      </c>
      <c r="H116" s="28">
        <f t="shared" si="69"/>
        <v>126</v>
      </c>
      <c r="I116" s="27">
        <v>7593</v>
      </c>
      <c r="J116" s="28">
        <f t="shared" si="70"/>
        <v>46</v>
      </c>
      <c r="K116" s="27">
        <v>22527</v>
      </c>
      <c r="L116" s="28">
        <f t="shared" si="71"/>
        <v>223</v>
      </c>
      <c r="M116" s="27">
        <v>1124</v>
      </c>
      <c r="N116" s="28">
        <f t="shared" si="72"/>
        <v>12</v>
      </c>
      <c r="O116" s="29">
        <v>32141</v>
      </c>
      <c r="P116" s="28">
        <f t="shared" si="73"/>
        <v>329</v>
      </c>
      <c r="Q116" s="27">
        <v>4689</v>
      </c>
      <c r="R116" s="28">
        <f t="shared" si="74"/>
        <v>104</v>
      </c>
      <c r="S116" s="27">
        <v>5742</v>
      </c>
      <c r="T116" s="28">
        <f t="shared" si="75"/>
        <v>39</v>
      </c>
      <c r="U116" s="27"/>
      <c r="V116" s="28" t="str">
        <f t="shared" si="76"/>
        <v/>
      </c>
      <c r="W116" s="27">
        <v>572</v>
      </c>
      <c r="X116" s="28">
        <f t="shared" si="77"/>
        <v>5</v>
      </c>
      <c r="Y116" s="24">
        <f t="shared" si="84"/>
        <v>556</v>
      </c>
      <c r="Z116" s="24">
        <f t="shared" si="85"/>
        <v>148</v>
      </c>
      <c r="AA116" s="24">
        <f t="shared" si="86"/>
        <v>704</v>
      </c>
      <c r="AB116" s="25">
        <f t="shared" si="87"/>
        <v>39</v>
      </c>
      <c r="AC116" s="25">
        <f t="shared" si="88"/>
        <v>181</v>
      </c>
      <c r="AD116" s="25">
        <f t="shared" si="89"/>
        <v>220</v>
      </c>
    </row>
    <row r="117" spans="1:30" x14ac:dyDescent="0.3">
      <c r="A117" s="9" t="s">
        <v>67</v>
      </c>
      <c r="B117" s="33">
        <v>45945</v>
      </c>
      <c r="C117" s="27">
        <v>75085</v>
      </c>
      <c r="D117" s="28">
        <f t="shared" si="67"/>
        <v>599</v>
      </c>
      <c r="E117" s="27">
        <v>10683</v>
      </c>
      <c r="F117" s="28">
        <f t="shared" si="68"/>
        <v>146</v>
      </c>
      <c r="G117" s="27">
        <v>27615</v>
      </c>
      <c r="H117" s="28">
        <f t="shared" si="69"/>
        <v>150</v>
      </c>
      <c r="I117" s="27">
        <v>7639</v>
      </c>
      <c r="J117" s="28">
        <f t="shared" si="70"/>
        <v>31</v>
      </c>
      <c r="K117" s="27">
        <v>22750</v>
      </c>
      <c r="L117" s="28">
        <f t="shared" si="71"/>
        <v>231</v>
      </c>
      <c r="M117" s="27">
        <v>1136</v>
      </c>
      <c r="N117" s="28">
        <f t="shared" si="72"/>
        <v>12</v>
      </c>
      <c r="O117" s="29">
        <v>32470</v>
      </c>
      <c r="P117" s="28">
        <f t="shared" si="73"/>
        <v>326</v>
      </c>
      <c r="Q117" s="27">
        <v>4793</v>
      </c>
      <c r="R117" s="28">
        <f t="shared" si="74"/>
        <v>121</v>
      </c>
      <c r="S117" s="27">
        <v>5781</v>
      </c>
      <c r="T117" s="28">
        <f t="shared" si="75"/>
        <v>37</v>
      </c>
      <c r="U117" s="27"/>
      <c r="V117" s="28" t="str">
        <f t="shared" si="76"/>
        <v/>
      </c>
      <c r="W117" s="27">
        <v>577</v>
      </c>
      <c r="X117" s="28">
        <f t="shared" si="77"/>
        <v>5</v>
      </c>
      <c r="Y117" s="24">
        <f t="shared" si="84"/>
        <v>570</v>
      </c>
      <c r="Z117" s="24">
        <f t="shared" si="85"/>
        <v>163</v>
      </c>
      <c r="AA117" s="24">
        <f t="shared" si="86"/>
        <v>733</v>
      </c>
      <c r="AB117" s="25">
        <f t="shared" si="87"/>
        <v>29</v>
      </c>
      <c r="AC117" s="25">
        <f t="shared" si="88"/>
        <v>163</v>
      </c>
      <c r="AD117" s="25">
        <f t="shared" si="89"/>
        <v>192</v>
      </c>
    </row>
    <row r="118" spans="1:30" x14ac:dyDescent="0.3">
      <c r="A118" s="9" t="s">
        <v>68</v>
      </c>
      <c r="B118" s="33">
        <v>45946</v>
      </c>
      <c r="C118" s="27">
        <v>75684</v>
      </c>
      <c r="D118" s="28">
        <f t="shared" si="67"/>
        <v>574</v>
      </c>
      <c r="E118" s="27">
        <v>10829</v>
      </c>
      <c r="F118" s="28">
        <f t="shared" si="68"/>
        <v>140</v>
      </c>
      <c r="G118" s="27">
        <v>27765</v>
      </c>
      <c r="H118" s="28">
        <f t="shared" si="69"/>
        <v>124</v>
      </c>
      <c r="I118" s="27">
        <v>7670</v>
      </c>
      <c r="J118" s="28">
        <f t="shared" si="70"/>
        <v>42</v>
      </c>
      <c r="K118" s="27">
        <v>22981</v>
      </c>
      <c r="L118" s="28">
        <f t="shared" si="71"/>
        <v>224</v>
      </c>
      <c r="M118" s="27">
        <v>1148</v>
      </c>
      <c r="N118" s="28">
        <f t="shared" si="72"/>
        <v>13</v>
      </c>
      <c r="O118" s="29">
        <v>32796</v>
      </c>
      <c r="P118" s="28">
        <f t="shared" si="73"/>
        <v>338</v>
      </c>
      <c r="Q118" s="27">
        <v>4914</v>
      </c>
      <c r="R118" s="28">
        <f t="shared" si="74"/>
        <v>110</v>
      </c>
      <c r="S118" s="27">
        <v>5818</v>
      </c>
      <c r="T118" s="28">
        <f t="shared" si="75"/>
        <v>41</v>
      </c>
      <c r="U118" s="27"/>
      <c r="V118" s="28" t="str">
        <f t="shared" si="76"/>
        <v/>
      </c>
      <c r="W118" s="27">
        <v>582</v>
      </c>
      <c r="X118" s="28">
        <f t="shared" si="77"/>
        <v>5</v>
      </c>
      <c r="Y118" s="24">
        <f t="shared" si="84"/>
        <v>543</v>
      </c>
      <c r="Z118" s="24">
        <f t="shared" si="85"/>
        <v>156</v>
      </c>
      <c r="AA118" s="24">
        <f t="shared" si="86"/>
        <v>699</v>
      </c>
      <c r="AB118" s="25">
        <f t="shared" si="87"/>
        <v>31</v>
      </c>
      <c r="AC118" s="25">
        <f t="shared" si="88"/>
        <v>182</v>
      </c>
      <c r="AD118" s="25">
        <f t="shared" si="89"/>
        <v>213</v>
      </c>
    </row>
    <row r="119" spans="1:30" x14ac:dyDescent="0.3">
      <c r="A119" s="9" t="s">
        <v>69</v>
      </c>
      <c r="B119" s="33">
        <v>45947</v>
      </c>
      <c r="C119" s="27">
        <v>76258</v>
      </c>
      <c r="D119" s="28">
        <f t="shared" si="67"/>
        <v>579</v>
      </c>
      <c r="E119" s="27">
        <v>10969</v>
      </c>
      <c r="F119" s="28">
        <f t="shared" si="68"/>
        <v>135</v>
      </c>
      <c r="G119" s="27">
        <v>27889</v>
      </c>
      <c r="H119" s="28">
        <f t="shared" si="69"/>
        <v>129</v>
      </c>
      <c r="I119" s="27">
        <v>7712</v>
      </c>
      <c r="J119" s="28">
        <f t="shared" si="70"/>
        <v>45</v>
      </c>
      <c r="K119" s="27">
        <v>23205</v>
      </c>
      <c r="L119" s="28">
        <f t="shared" si="71"/>
        <v>225</v>
      </c>
      <c r="M119" s="27">
        <v>1161</v>
      </c>
      <c r="N119" s="28">
        <f t="shared" si="72"/>
        <v>12</v>
      </c>
      <c r="O119" s="29">
        <v>33134</v>
      </c>
      <c r="P119" s="28">
        <f t="shared" si="73"/>
        <v>329</v>
      </c>
      <c r="Q119" s="27">
        <v>5024</v>
      </c>
      <c r="R119" s="28">
        <f t="shared" si="74"/>
        <v>108</v>
      </c>
      <c r="S119" s="27">
        <v>5859</v>
      </c>
      <c r="T119" s="28">
        <f t="shared" si="75"/>
        <v>38</v>
      </c>
      <c r="U119" s="27"/>
      <c r="V119" s="28" t="str">
        <f t="shared" si="76"/>
        <v/>
      </c>
      <c r="W119" s="27">
        <v>587</v>
      </c>
      <c r="X119" s="28">
        <f t="shared" si="77"/>
        <v>5</v>
      </c>
      <c r="Y119" s="24">
        <f t="shared" si="84"/>
        <v>546</v>
      </c>
      <c r="Z119" s="24">
        <f t="shared" si="85"/>
        <v>151</v>
      </c>
      <c r="AA119" s="24">
        <f t="shared" si="86"/>
        <v>697</v>
      </c>
      <c r="AB119" s="25">
        <f t="shared" si="87"/>
        <v>33</v>
      </c>
      <c r="AC119" s="25">
        <f t="shared" si="88"/>
        <v>178</v>
      </c>
      <c r="AD119" s="25">
        <f t="shared" si="89"/>
        <v>211</v>
      </c>
    </row>
    <row r="120" spans="1:30" x14ac:dyDescent="0.3">
      <c r="A120" s="9" t="s">
        <v>70</v>
      </c>
      <c r="B120" s="33">
        <v>45948</v>
      </c>
      <c r="C120" s="27">
        <v>76837</v>
      </c>
      <c r="D120" s="28">
        <f t="shared" si="67"/>
        <v>576</v>
      </c>
      <c r="E120" s="27">
        <v>11104</v>
      </c>
      <c r="F120" s="28">
        <f t="shared" si="68"/>
        <v>147</v>
      </c>
      <c r="G120" s="27">
        <v>28018</v>
      </c>
      <c r="H120" s="28">
        <f t="shared" si="69"/>
        <v>124</v>
      </c>
      <c r="I120" s="27">
        <v>7757</v>
      </c>
      <c r="J120" s="28">
        <f t="shared" si="70"/>
        <v>50</v>
      </c>
      <c r="K120" s="27">
        <v>23430</v>
      </c>
      <c r="L120" s="28">
        <f t="shared" si="71"/>
        <v>208</v>
      </c>
      <c r="M120" s="27">
        <v>1173</v>
      </c>
      <c r="N120" s="28">
        <f t="shared" si="72"/>
        <v>13</v>
      </c>
      <c r="O120" s="29">
        <v>33463</v>
      </c>
      <c r="P120" s="28">
        <f t="shared" si="73"/>
        <v>322</v>
      </c>
      <c r="Q120" s="27">
        <v>5132</v>
      </c>
      <c r="R120" s="28">
        <f t="shared" si="74"/>
        <v>96</v>
      </c>
      <c r="S120" s="27">
        <v>5897</v>
      </c>
      <c r="T120" s="28">
        <f t="shared" si="75"/>
        <v>46</v>
      </c>
      <c r="U120" s="27"/>
      <c r="V120" s="28" t="str">
        <f t="shared" si="76"/>
        <v/>
      </c>
      <c r="W120" s="27">
        <v>592</v>
      </c>
      <c r="X120" s="28">
        <f t="shared" si="77"/>
        <v>5</v>
      </c>
      <c r="Y120" s="24">
        <f t="shared" si="84"/>
        <v>542</v>
      </c>
      <c r="Z120" s="24">
        <f t="shared" si="85"/>
        <v>147</v>
      </c>
      <c r="AA120" s="24">
        <f t="shared" si="86"/>
        <v>689</v>
      </c>
      <c r="AB120" s="25">
        <f t="shared" si="87"/>
        <v>34</v>
      </c>
      <c r="AC120" s="25">
        <f t="shared" si="88"/>
        <v>175</v>
      </c>
      <c r="AD120" s="25">
        <f t="shared" si="89"/>
        <v>209</v>
      </c>
    </row>
    <row r="121" spans="1:30" x14ac:dyDescent="0.3">
      <c r="A121" s="9" t="s">
        <v>71</v>
      </c>
      <c r="B121" s="33">
        <v>45949</v>
      </c>
      <c r="C121" s="27">
        <v>77413</v>
      </c>
      <c r="D121" s="28">
        <f t="shared" si="67"/>
        <v>28</v>
      </c>
      <c r="E121" s="27">
        <v>11251</v>
      </c>
      <c r="F121" s="28">
        <f t="shared" si="68"/>
        <v>0</v>
      </c>
      <c r="G121" s="27">
        <v>28142</v>
      </c>
      <c r="H121" s="28">
        <f t="shared" si="69"/>
        <v>0</v>
      </c>
      <c r="I121" s="27">
        <v>7807</v>
      </c>
      <c r="J121" s="28">
        <f t="shared" si="70"/>
        <v>23</v>
      </c>
      <c r="K121" s="27">
        <v>23638</v>
      </c>
      <c r="L121" s="28">
        <f t="shared" si="71"/>
        <v>0</v>
      </c>
      <c r="M121" s="27">
        <v>1186</v>
      </c>
      <c r="N121" s="28">
        <f t="shared" si="72"/>
        <v>2</v>
      </c>
      <c r="O121" s="29">
        <v>33785</v>
      </c>
      <c r="P121" s="28">
        <f t="shared" si="73"/>
        <v>35</v>
      </c>
      <c r="Q121" s="27">
        <v>5228</v>
      </c>
      <c r="R121" s="28">
        <f t="shared" si="74"/>
        <v>0</v>
      </c>
      <c r="S121" s="27">
        <v>5943</v>
      </c>
      <c r="T121" s="28">
        <f t="shared" si="75"/>
        <v>0</v>
      </c>
      <c r="U121" s="27"/>
      <c r="V121" s="28" t="str">
        <f t="shared" si="76"/>
        <v/>
      </c>
      <c r="W121" s="27">
        <v>597</v>
      </c>
      <c r="X121" s="28">
        <f t="shared" si="77"/>
        <v>2</v>
      </c>
      <c r="Y121" s="24">
        <f t="shared" si="84"/>
        <v>25</v>
      </c>
      <c r="Z121" s="24">
        <f t="shared" si="85"/>
        <v>2</v>
      </c>
      <c r="AA121" s="24">
        <f t="shared" si="86"/>
        <v>27</v>
      </c>
      <c r="AB121" s="25">
        <f t="shared" si="87"/>
        <v>3</v>
      </c>
      <c r="AC121" s="25">
        <f t="shared" si="88"/>
        <v>33</v>
      </c>
      <c r="AD121" s="25">
        <f t="shared" si="89"/>
        <v>36</v>
      </c>
    </row>
    <row r="122" spans="1:30" x14ac:dyDescent="0.3">
      <c r="A122" s="9" t="s">
        <v>72</v>
      </c>
      <c r="B122" s="33">
        <v>45950</v>
      </c>
      <c r="C122" s="27">
        <v>77441</v>
      </c>
      <c r="D122" s="28">
        <f t="shared" si="67"/>
        <v>641</v>
      </c>
      <c r="E122" s="27">
        <v>11251</v>
      </c>
      <c r="F122" s="28">
        <f t="shared" si="68"/>
        <v>146</v>
      </c>
      <c r="G122" s="27">
        <v>28142</v>
      </c>
      <c r="H122" s="28">
        <f t="shared" si="69"/>
        <v>153</v>
      </c>
      <c r="I122" s="27">
        <v>7830</v>
      </c>
      <c r="J122" s="28">
        <f t="shared" si="70"/>
        <v>50</v>
      </c>
      <c r="K122" s="27">
        <v>23638</v>
      </c>
      <c r="L122" s="28">
        <f t="shared" si="71"/>
        <v>241</v>
      </c>
      <c r="M122" s="27">
        <v>1188</v>
      </c>
      <c r="N122" s="28">
        <f t="shared" si="72"/>
        <v>14</v>
      </c>
      <c r="O122" s="29">
        <v>33820</v>
      </c>
      <c r="P122" s="28">
        <f t="shared" si="73"/>
        <v>360</v>
      </c>
      <c r="Q122" s="27">
        <v>5228</v>
      </c>
      <c r="R122" s="28">
        <f t="shared" si="74"/>
        <v>90</v>
      </c>
      <c r="S122" s="27">
        <v>5943</v>
      </c>
      <c r="T122" s="28">
        <f t="shared" si="75"/>
        <v>54</v>
      </c>
      <c r="U122" s="27"/>
      <c r="V122" s="28" t="str">
        <f t="shared" si="76"/>
        <v/>
      </c>
      <c r="W122" s="27">
        <v>599</v>
      </c>
      <c r="X122" s="28">
        <f t="shared" si="77"/>
        <v>5</v>
      </c>
      <c r="Y122" s="24">
        <f t="shared" si="84"/>
        <v>604</v>
      </c>
      <c r="Z122" s="24">
        <f t="shared" si="85"/>
        <v>149</v>
      </c>
      <c r="AA122" s="24">
        <f t="shared" si="86"/>
        <v>753</v>
      </c>
      <c r="AB122" s="25">
        <f t="shared" si="87"/>
        <v>37</v>
      </c>
      <c r="AC122" s="25">
        <f t="shared" si="88"/>
        <v>211</v>
      </c>
      <c r="AD122" s="25">
        <f t="shared" si="89"/>
        <v>248</v>
      </c>
    </row>
    <row r="123" spans="1:30" x14ac:dyDescent="0.3">
      <c r="A123" s="9" t="s">
        <v>66</v>
      </c>
      <c r="B123" s="33">
        <v>45951</v>
      </c>
      <c r="C123" s="27">
        <v>78082</v>
      </c>
      <c r="D123" s="28">
        <f t="shared" si="67"/>
        <v>604</v>
      </c>
      <c r="E123" s="27">
        <v>11397</v>
      </c>
      <c r="F123" s="28">
        <f t="shared" si="68"/>
        <v>152</v>
      </c>
      <c r="G123" s="27">
        <v>28295</v>
      </c>
      <c r="H123" s="28">
        <f t="shared" si="69"/>
        <v>135</v>
      </c>
      <c r="I123" s="27">
        <v>7880</v>
      </c>
      <c r="J123" s="28">
        <f t="shared" si="70"/>
        <v>42</v>
      </c>
      <c r="K123" s="27">
        <v>23879</v>
      </c>
      <c r="L123" s="28">
        <f t="shared" si="71"/>
        <v>226</v>
      </c>
      <c r="M123" s="27">
        <v>1202</v>
      </c>
      <c r="N123" s="28">
        <f t="shared" si="72"/>
        <v>15</v>
      </c>
      <c r="O123" s="29">
        <v>34180</v>
      </c>
      <c r="P123" s="28">
        <f t="shared" si="73"/>
        <v>343</v>
      </c>
      <c r="Q123" s="27">
        <v>5318</v>
      </c>
      <c r="R123" s="28">
        <f t="shared" si="74"/>
        <v>89</v>
      </c>
      <c r="S123" s="27">
        <v>5997</v>
      </c>
      <c r="T123" s="28">
        <f t="shared" si="75"/>
        <v>41</v>
      </c>
      <c r="U123" s="27"/>
      <c r="V123" s="28" t="str">
        <f t="shared" si="76"/>
        <v/>
      </c>
      <c r="W123" s="27">
        <v>604</v>
      </c>
      <c r="X123" s="28">
        <f t="shared" si="77"/>
        <v>5</v>
      </c>
      <c r="Y123" s="24">
        <f t="shared" si="84"/>
        <v>570</v>
      </c>
      <c r="Z123" s="24">
        <f t="shared" si="85"/>
        <v>135</v>
      </c>
      <c r="AA123" s="24">
        <f t="shared" si="86"/>
        <v>705</v>
      </c>
      <c r="AB123" s="25">
        <f t="shared" si="87"/>
        <v>34</v>
      </c>
      <c r="AC123" s="25">
        <f t="shared" si="88"/>
        <v>208</v>
      </c>
      <c r="AD123" s="25">
        <f t="shared" si="89"/>
        <v>242</v>
      </c>
    </row>
    <row r="124" spans="1:30" x14ac:dyDescent="0.3">
      <c r="A124" s="9" t="s">
        <v>67</v>
      </c>
      <c r="B124" s="33">
        <v>45952</v>
      </c>
      <c r="C124" s="27">
        <v>78686</v>
      </c>
      <c r="D124" s="28">
        <f t="shared" si="67"/>
        <v>692</v>
      </c>
      <c r="E124" s="27">
        <v>11549</v>
      </c>
      <c r="F124" s="28">
        <f t="shared" si="68"/>
        <v>157</v>
      </c>
      <c r="G124" s="27">
        <v>28430</v>
      </c>
      <c r="H124" s="28">
        <f t="shared" si="69"/>
        <v>209</v>
      </c>
      <c r="I124" s="27">
        <v>7922</v>
      </c>
      <c r="J124" s="28">
        <f t="shared" si="70"/>
        <v>46</v>
      </c>
      <c r="K124" s="27">
        <v>24105</v>
      </c>
      <c r="L124" s="28">
        <f t="shared" si="71"/>
        <v>230</v>
      </c>
      <c r="M124" s="27">
        <v>1217</v>
      </c>
      <c r="N124" s="28">
        <f t="shared" si="72"/>
        <v>12</v>
      </c>
      <c r="O124" s="29">
        <v>34523</v>
      </c>
      <c r="P124" s="28">
        <f t="shared" si="73"/>
        <v>363</v>
      </c>
      <c r="Q124" s="27">
        <v>5407</v>
      </c>
      <c r="R124" s="28">
        <f t="shared" si="74"/>
        <v>111</v>
      </c>
      <c r="S124" s="27">
        <v>6038</v>
      </c>
      <c r="T124" s="28">
        <f t="shared" si="75"/>
        <v>43</v>
      </c>
      <c r="U124" s="27"/>
      <c r="V124" s="28" t="str">
        <f t="shared" si="76"/>
        <v/>
      </c>
      <c r="W124" s="27">
        <v>609</v>
      </c>
      <c r="X124" s="28">
        <f t="shared" si="77"/>
        <v>6</v>
      </c>
      <c r="Y124" s="24">
        <f t="shared" si="84"/>
        <v>654</v>
      </c>
      <c r="Z124" s="24">
        <f t="shared" si="85"/>
        <v>160</v>
      </c>
      <c r="AA124" s="24">
        <f t="shared" si="86"/>
        <v>814</v>
      </c>
      <c r="AB124" s="25">
        <f t="shared" si="87"/>
        <v>38</v>
      </c>
      <c r="AC124" s="25">
        <f t="shared" si="88"/>
        <v>203</v>
      </c>
      <c r="AD124" s="25">
        <f t="shared" si="89"/>
        <v>241</v>
      </c>
    </row>
    <row r="125" spans="1:30" x14ac:dyDescent="0.3">
      <c r="A125" s="9" t="s">
        <v>68</v>
      </c>
      <c r="B125" s="33">
        <v>45953</v>
      </c>
      <c r="C125" s="27">
        <v>79378</v>
      </c>
      <c r="D125" s="28">
        <f t="shared" si="67"/>
        <v>581</v>
      </c>
      <c r="E125" s="27">
        <v>11706</v>
      </c>
      <c r="F125" s="28">
        <f t="shared" si="68"/>
        <v>152</v>
      </c>
      <c r="G125" s="27">
        <v>28639</v>
      </c>
      <c r="H125" s="28">
        <f t="shared" si="69"/>
        <v>116</v>
      </c>
      <c r="I125" s="27">
        <v>7968</v>
      </c>
      <c r="J125" s="28">
        <f t="shared" si="70"/>
        <v>48</v>
      </c>
      <c r="K125" s="27">
        <v>24335</v>
      </c>
      <c r="L125" s="28">
        <f t="shared" si="71"/>
        <v>218</v>
      </c>
      <c r="M125" s="27">
        <v>1229</v>
      </c>
      <c r="N125" s="28">
        <f t="shared" si="72"/>
        <v>15</v>
      </c>
      <c r="O125" s="29">
        <v>34886</v>
      </c>
      <c r="P125" s="28">
        <f t="shared" si="73"/>
        <v>327</v>
      </c>
      <c r="Q125" s="27">
        <v>5518</v>
      </c>
      <c r="R125" s="28">
        <f t="shared" si="74"/>
        <v>106</v>
      </c>
      <c r="S125" s="27">
        <v>6081</v>
      </c>
      <c r="T125" s="28">
        <f t="shared" si="75"/>
        <v>42</v>
      </c>
      <c r="U125" s="27"/>
      <c r="V125" s="28" t="str">
        <f t="shared" si="76"/>
        <v/>
      </c>
      <c r="W125" s="27">
        <v>615</v>
      </c>
      <c r="X125" s="28">
        <f t="shared" si="77"/>
        <v>6</v>
      </c>
      <c r="Y125" s="24">
        <f t="shared" si="84"/>
        <v>549</v>
      </c>
      <c r="Z125" s="24">
        <f t="shared" si="85"/>
        <v>154</v>
      </c>
      <c r="AA125" s="24">
        <f t="shared" si="86"/>
        <v>703</v>
      </c>
      <c r="AB125" s="25">
        <f t="shared" si="87"/>
        <v>32</v>
      </c>
      <c r="AC125" s="25">
        <f t="shared" si="88"/>
        <v>173</v>
      </c>
      <c r="AD125" s="25">
        <f t="shared" si="89"/>
        <v>205</v>
      </c>
    </row>
    <row r="126" spans="1:30" x14ac:dyDescent="0.3">
      <c r="A126" s="9" t="s">
        <v>69</v>
      </c>
      <c r="B126" s="33">
        <v>45954</v>
      </c>
      <c r="C126" s="27">
        <v>79959</v>
      </c>
      <c r="D126" s="28">
        <f t="shared" si="67"/>
        <v>559</v>
      </c>
      <c r="E126" s="27">
        <v>11858</v>
      </c>
      <c r="F126" s="28">
        <f t="shared" si="68"/>
        <v>139</v>
      </c>
      <c r="G126" s="27">
        <v>28755</v>
      </c>
      <c r="H126" s="28">
        <f t="shared" si="69"/>
        <v>134</v>
      </c>
      <c r="I126" s="27">
        <v>8016</v>
      </c>
      <c r="J126" s="28">
        <f t="shared" si="70"/>
        <v>30</v>
      </c>
      <c r="K126" s="27">
        <v>24553</v>
      </c>
      <c r="L126" s="28">
        <f t="shared" si="71"/>
        <v>209</v>
      </c>
      <c r="M126" s="27">
        <v>1244</v>
      </c>
      <c r="N126" s="28">
        <f t="shared" si="72"/>
        <v>13</v>
      </c>
      <c r="O126" s="29">
        <v>35213</v>
      </c>
      <c r="P126" s="28">
        <f t="shared" si="73"/>
        <v>330</v>
      </c>
      <c r="Q126" s="27">
        <v>5624</v>
      </c>
      <c r="R126" s="28">
        <f t="shared" si="74"/>
        <v>110</v>
      </c>
      <c r="S126" s="27">
        <v>6123</v>
      </c>
      <c r="T126" s="28">
        <f t="shared" si="75"/>
        <v>44</v>
      </c>
      <c r="U126" s="27"/>
      <c r="V126" s="28" t="str">
        <f t="shared" si="76"/>
        <v/>
      </c>
      <c r="W126" s="27">
        <v>621</v>
      </c>
      <c r="X126" s="28">
        <f t="shared" si="77"/>
        <v>6</v>
      </c>
      <c r="Y126" s="24">
        <f t="shared" si="84"/>
        <v>525</v>
      </c>
      <c r="Z126" s="24">
        <f t="shared" si="85"/>
        <v>160</v>
      </c>
      <c r="AA126" s="24">
        <f t="shared" si="86"/>
        <v>685</v>
      </c>
      <c r="AB126" s="25">
        <f t="shared" si="87"/>
        <v>34</v>
      </c>
      <c r="AC126" s="25">
        <f t="shared" si="88"/>
        <v>170</v>
      </c>
      <c r="AD126" s="25">
        <f t="shared" si="89"/>
        <v>204</v>
      </c>
    </row>
    <row r="127" spans="1:30" x14ac:dyDescent="0.3">
      <c r="A127" s="9" t="s">
        <v>70</v>
      </c>
      <c r="B127" s="33">
        <v>45955</v>
      </c>
      <c r="C127" s="27">
        <v>80518</v>
      </c>
      <c r="D127" s="28">
        <f t="shared" si="67"/>
        <v>669</v>
      </c>
      <c r="E127" s="27">
        <v>11997</v>
      </c>
      <c r="F127" s="28">
        <f t="shared" si="68"/>
        <v>141</v>
      </c>
      <c r="G127" s="27">
        <v>28889</v>
      </c>
      <c r="H127" s="28">
        <f t="shared" si="69"/>
        <v>229</v>
      </c>
      <c r="I127" s="27">
        <v>8046</v>
      </c>
      <c r="J127" s="28">
        <f t="shared" si="70"/>
        <v>48</v>
      </c>
      <c r="K127" s="27">
        <v>24762</v>
      </c>
      <c r="L127" s="28">
        <f t="shared" si="71"/>
        <v>208</v>
      </c>
      <c r="M127" s="27">
        <v>1257</v>
      </c>
      <c r="N127" s="28">
        <f t="shared" si="72"/>
        <v>13</v>
      </c>
      <c r="O127" s="29">
        <v>35543</v>
      </c>
      <c r="P127" s="28">
        <f t="shared" si="73"/>
        <v>315</v>
      </c>
      <c r="Q127" s="27">
        <v>5734</v>
      </c>
      <c r="R127" s="28">
        <f t="shared" si="74"/>
        <v>100</v>
      </c>
      <c r="S127" s="27">
        <v>6167</v>
      </c>
      <c r="T127" s="28">
        <f t="shared" si="75"/>
        <v>40</v>
      </c>
      <c r="U127" s="27"/>
      <c r="V127" s="28" t="str">
        <f t="shared" si="76"/>
        <v/>
      </c>
      <c r="W127" s="27">
        <v>627</v>
      </c>
      <c r="X127" s="28">
        <f t="shared" si="77"/>
        <v>4</v>
      </c>
      <c r="Y127" s="24">
        <f t="shared" si="84"/>
        <v>639</v>
      </c>
      <c r="Z127" s="24">
        <f t="shared" si="85"/>
        <v>144</v>
      </c>
      <c r="AA127" s="24">
        <f t="shared" si="86"/>
        <v>783</v>
      </c>
      <c r="AB127" s="25">
        <f t="shared" si="87"/>
        <v>30</v>
      </c>
      <c r="AC127" s="25">
        <f t="shared" si="88"/>
        <v>171</v>
      </c>
      <c r="AD127" s="25">
        <f t="shared" si="89"/>
        <v>201</v>
      </c>
    </row>
    <row r="128" spans="1:30" x14ac:dyDescent="0.3">
      <c r="A128" s="9" t="s">
        <v>71</v>
      </c>
      <c r="B128" s="33">
        <v>45956</v>
      </c>
      <c r="C128" s="27">
        <v>81187</v>
      </c>
      <c r="D128" s="28">
        <f t="shared" si="67"/>
        <v>32</v>
      </c>
      <c r="E128" s="27">
        <v>12138</v>
      </c>
      <c r="F128" s="28">
        <f t="shared" si="68"/>
        <v>0</v>
      </c>
      <c r="G128" s="27">
        <v>29118</v>
      </c>
      <c r="H128" s="28">
        <f t="shared" si="69"/>
        <v>0</v>
      </c>
      <c r="I128" s="27">
        <v>8094</v>
      </c>
      <c r="J128" s="28">
        <f t="shared" si="70"/>
        <v>24</v>
      </c>
      <c r="K128" s="27">
        <v>24970</v>
      </c>
      <c r="L128" s="28">
        <f t="shared" si="71"/>
        <v>0</v>
      </c>
      <c r="M128" s="27">
        <v>1270</v>
      </c>
      <c r="N128" s="28">
        <f t="shared" si="72"/>
        <v>3</v>
      </c>
      <c r="O128" s="29">
        <v>35858</v>
      </c>
      <c r="P128" s="28">
        <f t="shared" si="73"/>
        <v>46</v>
      </c>
      <c r="Q128" s="27">
        <v>5834</v>
      </c>
      <c r="R128" s="28">
        <f t="shared" si="74"/>
        <v>0</v>
      </c>
      <c r="S128" s="27">
        <v>6207</v>
      </c>
      <c r="T128" s="28">
        <f t="shared" si="75"/>
        <v>0</v>
      </c>
      <c r="U128" s="27"/>
      <c r="V128" s="28" t="str">
        <f t="shared" si="76"/>
        <v/>
      </c>
      <c r="W128" s="27">
        <v>631</v>
      </c>
      <c r="X128" s="28">
        <f t="shared" si="77"/>
        <v>0</v>
      </c>
      <c r="Y128" s="24">
        <f t="shared" si="84"/>
        <v>27</v>
      </c>
      <c r="Z128" s="24">
        <f t="shared" si="85"/>
        <v>0</v>
      </c>
      <c r="AA128" s="24">
        <f t="shared" si="86"/>
        <v>27</v>
      </c>
      <c r="AB128" s="25">
        <f t="shared" si="87"/>
        <v>5</v>
      </c>
      <c r="AC128" s="25">
        <f t="shared" si="88"/>
        <v>46</v>
      </c>
      <c r="AD128" s="25">
        <f t="shared" si="89"/>
        <v>51</v>
      </c>
    </row>
    <row r="129" spans="1:30" x14ac:dyDescent="0.3">
      <c r="A129" s="9" t="s">
        <v>72</v>
      </c>
      <c r="B129" s="33">
        <v>45957</v>
      </c>
      <c r="C129" s="27">
        <v>81219</v>
      </c>
      <c r="D129" s="28">
        <f t="shared" si="67"/>
        <v>552</v>
      </c>
      <c r="E129" s="27">
        <v>12138</v>
      </c>
      <c r="F129" s="28">
        <f t="shared" si="68"/>
        <v>141</v>
      </c>
      <c r="G129" s="27">
        <v>29118</v>
      </c>
      <c r="H129" s="28">
        <f t="shared" si="69"/>
        <v>96</v>
      </c>
      <c r="I129" s="27">
        <v>8118</v>
      </c>
      <c r="J129" s="28">
        <f t="shared" si="70"/>
        <v>47</v>
      </c>
      <c r="K129" s="27">
        <v>24970</v>
      </c>
      <c r="L129" s="28">
        <f t="shared" si="71"/>
        <v>220</v>
      </c>
      <c r="M129" s="27">
        <v>1273</v>
      </c>
      <c r="N129" s="28">
        <f t="shared" si="72"/>
        <v>13</v>
      </c>
      <c r="O129" s="29">
        <v>35904</v>
      </c>
      <c r="P129" s="28">
        <f t="shared" si="73"/>
        <v>313</v>
      </c>
      <c r="Q129" s="27">
        <v>5834</v>
      </c>
      <c r="R129" s="28">
        <f t="shared" si="74"/>
        <v>97</v>
      </c>
      <c r="S129" s="27">
        <v>6207</v>
      </c>
      <c r="T129" s="28">
        <f t="shared" si="75"/>
        <v>36</v>
      </c>
      <c r="U129" s="27"/>
      <c r="V129" s="28" t="str">
        <f t="shared" si="76"/>
        <v/>
      </c>
      <c r="W129" s="27">
        <v>631</v>
      </c>
      <c r="X129" s="28">
        <f t="shared" si="77"/>
        <v>7</v>
      </c>
      <c r="Y129" s="24">
        <f t="shared" si="84"/>
        <v>517</v>
      </c>
      <c r="Z129" s="24">
        <f t="shared" si="85"/>
        <v>140</v>
      </c>
      <c r="AA129" s="24">
        <f t="shared" si="86"/>
        <v>657</v>
      </c>
      <c r="AB129" s="25">
        <f t="shared" si="87"/>
        <v>35</v>
      </c>
      <c r="AC129" s="25">
        <f t="shared" si="88"/>
        <v>173</v>
      </c>
      <c r="AD129" s="25">
        <f t="shared" si="89"/>
        <v>208</v>
      </c>
    </row>
    <row r="130" spans="1:30" x14ac:dyDescent="0.3">
      <c r="A130" s="9" t="s">
        <v>66</v>
      </c>
      <c r="B130" s="33">
        <v>45958</v>
      </c>
      <c r="C130" s="27">
        <v>81771</v>
      </c>
      <c r="D130" s="28">
        <f t="shared" si="67"/>
        <v>587</v>
      </c>
      <c r="E130" s="27">
        <v>12279</v>
      </c>
      <c r="F130" s="28">
        <f t="shared" si="68"/>
        <v>142</v>
      </c>
      <c r="G130" s="27">
        <v>29214</v>
      </c>
      <c r="H130" s="28">
        <f t="shared" si="69"/>
        <v>144</v>
      </c>
      <c r="I130" s="27">
        <v>8165</v>
      </c>
      <c r="J130" s="28">
        <f t="shared" si="70"/>
        <v>40</v>
      </c>
      <c r="K130" s="27">
        <v>25190</v>
      </c>
      <c r="L130" s="28">
        <f t="shared" si="71"/>
        <v>213</v>
      </c>
      <c r="M130" s="27">
        <v>1286</v>
      </c>
      <c r="N130" s="28">
        <f t="shared" si="72"/>
        <v>14</v>
      </c>
      <c r="O130" s="29">
        <v>36217</v>
      </c>
      <c r="P130" s="28">
        <f t="shared" si="73"/>
        <v>286</v>
      </c>
      <c r="Q130" s="27">
        <v>5931</v>
      </c>
      <c r="R130" s="28">
        <f t="shared" si="74"/>
        <v>94</v>
      </c>
      <c r="S130" s="27">
        <v>6243</v>
      </c>
      <c r="T130" s="28">
        <f t="shared" si="75"/>
        <v>30</v>
      </c>
      <c r="U130" s="27"/>
      <c r="V130" s="28" t="str">
        <f t="shared" si="76"/>
        <v/>
      </c>
      <c r="W130" s="27">
        <v>638</v>
      </c>
      <c r="X130" s="28">
        <f t="shared" si="77"/>
        <v>3</v>
      </c>
      <c r="Y130" s="24">
        <f t="shared" si="84"/>
        <v>553</v>
      </c>
      <c r="Z130" s="24">
        <f t="shared" si="85"/>
        <v>127</v>
      </c>
      <c r="AA130" s="24">
        <f t="shared" si="86"/>
        <v>680</v>
      </c>
      <c r="AB130" s="25">
        <f t="shared" si="87"/>
        <v>34</v>
      </c>
      <c r="AC130" s="25">
        <f t="shared" si="88"/>
        <v>159</v>
      </c>
      <c r="AD130" s="25">
        <f t="shared" si="89"/>
        <v>193</v>
      </c>
    </row>
    <row r="131" spans="1:30" x14ac:dyDescent="0.3">
      <c r="A131" s="9" t="s">
        <v>67</v>
      </c>
      <c r="B131" s="33">
        <v>45959</v>
      </c>
      <c r="C131" s="27">
        <v>82358</v>
      </c>
      <c r="D131" s="28">
        <f t="shared" si="67"/>
        <v>540</v>
      </c>
      <c r="E131" s="27">
        <v>12421</v>
      </c>
      <c r="F131" s="28">
        <f t="shared" si="68"/>
        <v>142</v>
      </c>
      <c r="G131" s="27">
        <v>29358</v>
      </c>
      <c r="H131" s="28">
        <f t="shared" si="69"/>
        <v>109</v>
      </c>
      <c r="I131" s="27">
        <v>8205</v>
      </c>
      <c r="J131" s="28">
        <f t="shared" si="70"/>
        <v>47</v>
      </c>
      <c r="K131" s="27">
        <v>25403</v>
      </c>
      <c r="L131" s="28">
        <f t="shared" si="71"/>
        <v>201</v>
      </c>
      <c r="M131" s="27">
        <v>1300</v>
      </c>
      <c r="N131" s="28">
        <f t="shared" si="72"/>
        <v>13</v>
      </c>
      <c r="O131" s="29">
        <v>36503</v>
      </c>
      <c r="P131" s="28">
        <f t="shared" si="73"/>
        <v>296</v>
      </c>
      <c r="Q131" s="27">
        <v>6025</v>
      </c>
      <c r="R131" s="28">
        <f t="shared" si="74"/>
        <v>93</v>
      </c>
      <c r="S131" s="27">
        <v>6273</v>
      </c>
      <c r="T131" s="28">
        <f t="shared" si="75"/>
        <v>31</v>
      </c>
      <c r="U131" s="27"/>
      <c r="V131" s="28" t="str">
        <f t="shared" si="76"/>
        <v/>
      </c>
      <c r="W131" s="27">
        <v>641</v>
      </c>
      <c r="X131" s="28">
        <f t="shared" si="77"/>
        <v>6</v>
      </c>
      <c r="Y131" s="24">
        <f t="shared" si="84"/>
        <v>512</v>
      </c>
      <c r="Z131" s="24">
        <f t="shared" si="85"/>
        <v>130</v>
      </c>
      <c r="AA131" s="24">
        <f t="shared" si="86"/>
        <v>642</v>
      </c>
      <c r="AB131" s="25">
        <f t="shared" si="87"/>
        <v>28</v>
      </c>
      <c r="AC131" s="25">
        <f t="shared" si="88"/>
        <v>166</v>
      </c>
      <c r="AD131" s="25">
        <f t="shared" si="89"/>
        <v>194</v>
      </c>
    </row>
    <row r="132" spans="1:30" x14ac:dyDescent="0.3">
      <c r="A132" s="9" t="s">
        <v>68</v>
      </c>
      <c r="B132" s="33">
        <v>45960</v>
      </c>
      <c r="C132" s="27">
        <v>82898</v>
      </c>
      <c r="D132" s="28">
        <f t="shared" si="67"/>
        <v>524</v>
      </c>
      <c r="E132" s="27">
        <v>12563</v>
      </c>
      <c r="F132" s="28">
        <f t="shared" si="68"/>
        <v>144</v>
      </c>
      <c r="G132" s="27">
        <v>29467</v>
      </c>
      <c r="H132" s="28">
        <f t="shared" si="69"/>
        <v>106</v>
      </c>
      <c r="I132" s="27">
        <v>8252</v>
      </c>
      <c r="J132" s="28">
        <f t="shared" si="70"/>
        <v>24</v>
      </c>
      <c r="K132" s="27">
        <v>25604</v>
      </c>
      <c r="L132" s="28">
        <f t="shared" si="71"/>
        <v>208</v>
      </c>
      <c r="M132" s="27">
        <v>1313</v>
      </c>
      <c r="N132" s="28">
        <f t="shared" si="72"/>
        <v>13</v>
      </c>
      <c r="O132" s="29">
        <v>36799</v>
      </c>
      <c r="P132" s="28">
        <f t="shared" si="73"/>
        <v>233</v>
      </c>
      <c r="Q132" s="27">
        <v>6118</v>
      </c>
      <c r="R132" s="28">
        <f t="shared" si="74"/>
        <v>81</v>
      </c>
      <c r="S132" s="27">
        <v>6304</v>
      </c>
      <c r="T132" s="28">
        <f t="shared" si="75"/>
        <v>15</v>
      </c>
      <c r="U132" s="27"/>
      <c r="V132" s="28" t="str">
        <f t="shared" si="76"/>
        <v/>
      </c>
      <c r="W132" s="27">
        <v>647</v>
      </c>
      <c r="X132" s="28">
        <f t="shared" si="77"/>
        <v>5</v>
      </c>
      <c r="Y132" s="24">
        <f t="shared" si="84"/>
        <v>495</v>
      </c>
      <c r="Z132" s="24">
        <f t="shared" si="85"/>
        <v>101</v>
      </c>
      <c r="AA132" s="24">
        <f t="shared" si="86"/>
        <v>596</v>
      </c>
      <c r="AB132" s="25">
        <f t="shared" si="87"/>
        <v>29</v>
      </c>
      <c r="AC132" s="25">
        <f t="shared" si="88"/>
        <v>132</v>
      </c>
      <c r="AD132" s="25">
        <f t="shared" si="89"/>
        <v>161</v>
      </c>
    </row>
    <row r="133" spans="1:30" x14ac:dyDescent="0.3">
      <c r="A133" s="9" t="s">
        <v>69</v>
      </c>
      <c r="B133" s="33">
        <v>45961</v>
      </c>
      <c r="C133" s="27">
        <v>83422</v>
      </c>
      <c r="D133" s="28">
        <f t="shared" si="67"/>
        <v>513</v>
      </c>
      <c r="E133" s="27">
        <v>12707</v>
      </c>
      <c r="F133" s="28">
        <f t="shared" si="68"/>
        <v>125</v>
      </c>
      <c r="G133" s="27">
        <v>29573</v>
      </c>
      <c r="H133" s="28">
        <f t="shared" si="69"/>
        <v>126</v>
      </c>
      <c r="I133" s="27">
        <v>8276</v>
      </c>
      <c r="J133" s="28">
        <f t="shared" si="70"/>
        <v>21</v>
      </c>
      <c r="K133" s="27">
        <v>25812</v>
      </c>
      <c r="L133" s="28">
        <f t="shared" si="71"/>
        <v>199</v>
      </c>
      <c r="M133" s="27">
        <v>1326</v>
      </c>
      <c r="N133" s="28">
        <f t="shared" si="72"/>
        <v>12</v>
      </c>
      <c r="O133" s="29">
        <v>37032</v>
      </c>
      <c r="P133" s="28">
        <f t="shared" si="73"/>
        <v>180</v>
      </c>
      <c r="Q133" s="27">
        <v>6199</v>
      </c>
      <c r="R133" s="28">
        <f t="shared" si="74"/>
        <v>29</v>
      </c>
      <c r="S133" s="27">
        <v>6319</v>
      </c>
      <c r="T133" s="28">
        <f t="shared" si="75"/>
        <v>29</v>
      </c>
      <c r="U133" s="27"/>
      <c r="V133" s="28" t="str">
        <f t="shared" si="76"/>
        <v/>
      </c>
      <c r="W133" s="27">
        <v>652</v>
      </c>
      <c r="X133" s="28">
        <f t="shared" si="77"/>
        <v>4</v>
      </c>
      <c r="Y133" s="24">
        <f t="shared" si="84"/>
        <v>483</v>
      </c>
      <c r="Z133" s="24">
        <f t="shared" si="85"/>
        <v>62</v>
      </c>
      <c r="AA133" s="24">
        <f t="shared" si="86"/>
        <v>545</v>
      </c>
      <c r="AB133" s="25">
        <f t="shared" si="87"/>
        <v>30</v>
      </c>
      <c r="AC133" s="25">
        <f t="shared" si="88"/>
        <v>118</v>
      </c>
      <c r="AD133" s="25">
        <f t="shared" si="89"/>
        <v>148</v>
      </c>
    </row>
    <row r="134" spans="1:30" x14ac:dyDescent="0.3">
      <c r="A134" s="9" t="s">
        <v>70</v>
      </c>
      <c r="B134" s="33">
        <v>45962</v>
      </c>
      <c r="C134" s="27">
        <v>83935</v>
      </c>
      <c r="D134" s="28" t="str">
        <f t="shared" si="67"/>
        <v/>
      </c>
      <c r="E134" s="27">
        <v>12832</v>
      </c>
      <c r="F134" s="28" t="str">
        <f t="shared" si="68"/>
        <v/>
      </c>
      <c r="G134" s="27">
        <v>29699</v>
      </c>
      <c r="H134" s="28" t="str">
        <f t="shared" si="69"/>
        <v/>
      </c>
      <c r="I134" s="27">
        <v>8297</v>
      </c>
      <c r="J134" s="28" t="str">
        <f t="shared" si="70"/>
        <v/>
      </c>
      <c r="K134" s="27">
        <v>26011</v>
      </c>
      <c r="L134" s="28" t="str">
        <f t="shared" si="71"/>
        <v/>
      </c>
      <c r="M134" s="27">
        <v>1338</v>
      </c>
      <c r="N134" s="28" t="str">
        <f t="shared" si="72"/>
        <v/>
      </c>
      <c r="O134" s="29">
        <v>37212</v>
      </c>
      <c r="P134" s="28" t="str">
        <f t="shared" si="73"/>
        <v/>
      </c>
      <c r="Q134" s="27">
        <v>6228</v>
      </c>
      <c r="R134" s="28" t="str">
        <f t="shared" si="74"/>
        <v/>
      </c>
      <c r="S134" s="27">
        <v>6348</v>
      </c>
      <c r="T134" s="28" t="str">
        <f t="shared" si="75"/>
        <v/>
      </c>
      <c r="U134" s="27"/>
      <c r="V134" s="28" t="str">
        <f t="shared" si="76"/>
        <v/>
      </c>
      <c r="W134" s="27">
        <v>656</v>
      </c>
      <c r="X134" s="28" t="str">
        <f t="shared" si="77"/>
        <v/>
      </c>
      <c r="Y134" s="24">
        <f t="shared" si="84"/>
        <v>0</v>
      </c>
      <c r="Z134" s="24">
        <f t="shared" si="85"/>
        <v>0</v>
      </c>
      <c r="AA134" s="24">
        <f t="shared" si="86"/>
        <v>0</v>
      </c>
      <c r="AB134" s="25" t="e">
        <f t="shared" si="87"/>
        <v>#VALUE!</v>
      </c>
      <c r="AC134" s="25" t="e">
        <f t="shared" si="88"/>
        <v>#VALUE!</v>
      </c>
      <c r="AD134" s="25" t="e">
        <f t="shared" si="89"/>
        <v>#VALUE!</v>
      </c>
    </row>
    <row r="135" spans="1:30" ht="23.4" x14ac:dyDescent="0.3">
      <c r="A135" s="152" t="s">
        <v>73</v>
      </c>
      <c r="B135" s="153"/>
      <c r="C135" s="21"/>
      <c r="D135" s="22">
        <f>SUM(D103:D133)</f>
        <v>16235</v>
      </c>
      <c r="E135" s="21"/>
      <c r="F135" s="22">
        <f>SUM(F103:F133)</f>
        <v>3760</v>
      </c>
      <c r="G135" s="21"/>
      <c r="H135" s="22">
        <f>SUM(H103:H133)</f>
        <v>4112</v>
      </c>
      <c r="I135" s="21"/>
      <c r="J135" s="22">
        <f>SUM(J103:J133)</f>
        <v>1308</v>
      </c>
      <c r="K135" s="21"/>
      <c r="L135" s="22">
        <f>SUM(L103:L133)</f>
        <v>5847</v>
      </c>
      <c r="M135" s="21"/>
      <c r="N135" s="22">
        <f>SUM(N103:N133)</f>
        <v>352</v>
      </c>
      <c r="O135" s="23"/>
      <c r="P135" s="22">
        <f>SUM(P103:P133)</f>
        <v>8252</v>
      </c>
      <c r="Q135" s="21"/>
      <c r="R135" s="22">
        <f>SUM(R103:R133)</f>
        <v>2228</v>
      </c>
      <c r="S135" s="21"/>
      <c r="T135" s="22">
        <f>SUM(T103:T133)</f>
        <v>1044</v>
      </c>
      <c r="U135" s="21"/>
      <c r="V135" s="22">
        <f>SUM(V103:V133)</f>
        <v>0</v>
      </c>
      <c r="W135" s="21"/>
      <c r="X135" s="22">
        <f>SUM(X103:X133)</f>
        <v>141</v>
      </c>
      <c r="Y135" s="24">
        <f>SUM(F135,H135,J135,L135,N135)</f>
        <v>15379</v>
      </c>
      <c r="Z135" s="24">
        <f>SUM(R135,T135,V135,X135)</f>
        <v>3413</v>
      </c>
      <c r="AA135" s="24">
        <f>SUM(F135,H135,J135,L135,N135,R135,T135,V135,X135)</f>
        <v>18792</v>
      </c>
      <c r="AB135" s="25">
        <f>D135-Y135</f>
        <v>856</v>
      </c>
      <c r="AC135" s="25">
        <f>P135-Z135</f>
        <v>4839</v>
      </c>
      <c r="AD135" s="25">
        <f>(D135+P135)-AA135</f>
        <v>5695</v>
      </c>
    </row>
    <row r="136" spans="1:30" x14ac:dyDescent="0.3">
      <c r="A136" s="9" t="s">
        <v>70</v>
      </c>
      <c r="B136" s="33">
        <v>45962</v>
      </c>
      <c r="C136" s="27">
        <v>83935</v>
      </c>
      <c r="D136" s="28">
        <f>IF(C137&lt;&gt;"",C137-C136,"")</f>
        <v>524</v>
      </c>
      <c r="E136" s="27">
        <v>12832</v>
      </c>
      <c r="F136" s="28">
        <f>IF(E137&lt;&gt;"",E137-E136,"")</f>
        <v>124</v>
      </c>
      <c r="G136" s="27">
        <v>29699</v>
      </c>
      <c r="H136" s="28">
        <f>IF(G137&lt;&gt;"",G137-G136,"")</f>
        <v>110</v>
      </c>
      <c r="I136" s="27">
        <v>8297</v>
      </c>
      <c r="J136" s="28">
        <f>IF(I137&lt;&gt;"",I137-I136,"")</f>
        <v>58</v>
      </c>
      <c r="K136" s="27">
        <v>26011</v>
      </c>
      <c r="L136" s="28">
        <f>IF(K137&lt;&gt;"",K137-K136,"")</f>
        <v>206</v>
      </c>
      <c r="M136" s="27">
        <v>1338</v>
      </c>
      <c r="N136" s="28">
        <f>IF(M137&lt;&gt;"",M137-M136,"")</f>
        <v>10</v>
      </c>
      <c r="O136" s="29">
        <v>37212</v>
      </c>
      <c r="P136" s="28">
        <f>IF(O137&lt;&gt;"",O137-O136,"")</f>
        <v>251</v>
      </c>
      <c r="Q136" s="27">
        <v>6228</v>
      </c>
      <c r="R136" s="28">
        <f>IF(Q137&lt;&gt;"",Q137-Q136,"")</f>
        <v>62</v>
      </c>
      <c r="S136" s="27">
        <v>6348</v>
      </c>
      <c r="T136" s="28">
        <f>IF(S137&lt;&gt;"",S137-S136,"")</f>
        <v>25</v>
      </c>
      <c r="U136" s="27"/>
      <c r="V136" s="28" t="str">
        <f>IF(U137&lt;&gt;"",U137-U136,"")</f>
        <v/>
      </c>
      <c r="W136" s="27">
        <v>656</v>
      </c>
      <c r="X136" s="28">
        <f>IF(W137&lt;&gt;"",W137-W136,"")</f>
        <v>5</v>
      </c>
      <c r="Y136" s="24">
        <f>SUM(F136,H136,J136,L136,N136)</f>
        <v>508</v>
      </c>
      <c r="Z136" s="24">
        <f>SUM(R136,T136,V136,X136)</f>
        <v>92</v>
      </c>
      <c r="AA136" s="24">
        <f>SUM(F136,H136,J136,L136,N136,R136,T136,V136,X136)</f>
        <v>600</v>
      </c>
      <c r="AB136" s="25">
        <f>D136-Y136</f>
        <v>16</v>
      </c>
      <c r="AC136" s="25">
        <f>P136-Z136</f>
        <v>159</v>
      </c>
      <c r="AD136" s="25">
        <f>(D136+P136)-AA136</f>
        <v>175</v>
      </c>
    </row>
    <row r="137" spans="1:30" x14ac:dyDescent="0.3">
      <c r="A137" s="9" t="s">
        <v>71</v>
      </c>
      <c r="B137" s="33">
        <v>45963</v>
      </c>
      <c r="C137" s="27">
        <v>84459</v>
      </c>
      <c r="D137" s="28">
        <f t="shared" ref="D137:D166" si="90">IF(C138&lt;&gt;"",C138-C137,"")</f>
        <v>15</v>
      </c>
      <c r="E137" s="27">
        <v>12956</v>
      </c>
      <c r="F137" s="28">
        <f t="shared" ref="F137:F166" si="91">IF(E138&lt;&gt;"",E138-E137,"")</f>
        <v>0</v>
      </c>
      <c r="G137" s="27">
        <v>29809</v>
      </c>
      <c r="H137" s="28">
        <f t="shared" ref="H137:H166" si="92">IF(G138&lt;&gt;"",G138-G137,"")</f>
        <v>0</v>
      </c>
      <c r="I137" s="27">
        <v>8355</v>
      </c>
      <c r="J137" s="28">
        <f t="shared" ref="J137:J166" si="93">IF(I138&lt;&gt;"",I138-I137,"")</f>
        <v>0</v>
      </c>
      <c r="K137" s="27">
        <v>26217</v>
      </c>
      <c r="L137" s="28">
        <f t="shared" ref="L137:L166" si="94">IF(K138&lt;&gt;"",K138-K137,"")</f>
        <v>0</v>
      </c>
      <c r="M137" s="27">
        <v>1348</v>
      </c>
      <c r="N137" s="28">
        <f t="shared" ref="N137:N166" si="95">IF(M138&lt;&gt;"",M138-M137,"")</f>
        <v>1</v>
      </c>
      <c r="O137" s="29">
        <v>37463</v>
      </c>
      <c r="P137" s="28">
        <f t="shared" ref="P137:P166" si="96">IF(O138&lt;&gt;"",O138-O137,"")</f>
        <v>11</v>
      </c>
      <c r="Q137" s="27">
        <v>6290</v>
      </c>
      <c r="R137" s="28">
        <f t="shared" ref="R137:R166" si="97">IF(Q138&lt;&gt;"",Q138-Q137,"")</f>
        <v>0</v>
      </c>
      <c r="S137" s="27">
        <v>6373</v>
      </c>
      <c r="T137" s="28">
        <f t="shared" ref="T137:T166" si="98">IF(S138&lt;&gt;"",S138-S137,"")</f>
        <v>0</v>
      </c>
      <c r="U137" s="27"/>
      <c r="V137" s="28" t="str">
        <f t="shared" ref="V137:V166" si="99">IF(U138&lt;&gt;"",U138-U137,"")</f>
        <v/>
      </c>
      <c r="W137" s="27">
        <v>661</v>
      </c>
      <c r="X137" s="28">
        <f t="shared" ref="X137:X166" si="100">IF(W138&lt;&gt;"",W138-W137,"")</f>
        <v>0</v>
      </c>
      <c r="Y137" s="24">
        <f t="shared" ref="Y137:Y167" si="101">SUM(F137,H137,J137,L137,N137)</f>
        <v>1</v>
      </c>
      <c r="Z137" s="24">
        <f t="shared" ref="Z137:Z167" si="102">SUM(R137,T137,V137,X137)</f>
        <v>0</v>
      </c>
      <c r="AA137" s="24">
        <f t="shared" ref="AA137:AA167" si="103">SUM(F137,H137,J137,L137,N137,R137,T137,V137,X137)</f>
        <v>1</v>
      </c>
      <c r="AB137" s="25">
        <f t="shared" ref="AB137:AB167" si="104">D137-Y137</f>
        <v>14</v>
      </c>
      <c r="AC137" s="25">
        <f t="shared" ref="AC137:AC167" si="105">P137-Z137</f>
        <v>11</v>
      </c>
      <c r="AD137" s="25">
        <f t="shared" ref="AD137:AD167" si="106">(D137+P137)-AA137</f>
        <v>25</v>
      </c>
    </row>
    <row r="138" spans="1:30" x14ac:dyDescent="0.3">
      <c r="A138" s="9" t="s">
        <v>72</v>
      </c>
      <c r="B138" s="33">
        <v>45964</v>
      </c>
      <c r="C138" s="27">
        <v>84474</v>
      </c>
      <c r="D138" s="28">
        <f t="shared" si="90"/>
        <v>480</v>
      </c>
      <c r="E138" s="27">
        <v>12956</v>
      </c>
      <c r="F138" s="28">
        <f t="shared" si="91"/>
        <v>114</v>
      </c>
      <c r="G138" s="27">
        <v>29809</v>
      </c>
      <c r="H138" s="28">
        <f t="shared" si="92"/>
        <v>70</v>
      </c>
      <c r="I138" s="27">
        <v>8355</v>
      </c>
      <c r="J138" s="28">
        <f t="shared" si="93"/>
        <v>27</v>
      </c>
      <c r="K138" s="27">
        <v>26217</v>
      </c>
      <c r="L138" s="28">
        <f t="shared" si="94"/>
        <v>224</v>
      </c>
      <c r="M138" s="27">
        <v>1349</v>
      </c>
      <c r="N138" s="28">
        <f t="shared" si="95"/>
        <v>12</v>
      </c>
      <c r="O138" s="29">
        <v>37474</v>
      </c>
      <c r="P138" s="28">
        <f t="shared" si="96"/>
        <v>246</v>
      </c>
      <c r="Q138" s="27">
        <v>6290</v>
      </c>
      <c r="R138" s="28">
        <f t="shared" si="97"/>
        <v>39</v>
      </c>
      <c r="S138" s="27">
        <v>6373</v>
      </c>
      <c r="T138" s="28">
        <f t="shared" si="98"/>
        <v>26</v>
      </c>
      <c r="U138" s="27"/>
      <c r="V138" s="28" t="str">
        <f t="shared" si="99"/>
        <v/>
      </c>
      <c r="W138" s="27">
        <v>661</v>
      </c>
      <c r="X138" s="28">
        <f t="shared" si="100"/>
        <v>5</v>
      </c>
      <c r="Y138" s="24">
        <f t="shared" si="101"/>
        <v>447</v>
      </c>
      <c r="Z138" s="24">
        <f t="shared" si="102"/>
        <v>70</v>
      </c>
      <c r="AA138" s="24">
        <f t="shared" si="103"/>
        <v>517</v>
      </c>
      <c r="AB138" s="25">
        <f t="shared" si="104"/>
        <v>33</v>
      </c>
      <c r="AC138" s="25">
        <f t="shared" si="105"/>
        <v>176</v>
      </c>
      <c r="AD138" s="25">
        <f t="shared" si="106"/>
        <v>209</v>
      </c>
    </row>
    <row r="139" spans="1:30" x14ac:dyDescent="0.3">
      <c r="A139" s="9" t="s">
        <v>66</v>
      </c>
      <c r="B139" s="33">
        <v>45965</v>
      </c>
      <c r="C139" s="27">
        <v>84954</v>
      </c>
      <c r="D139" s="28">
        <f t="shared" si="90"/>
        <v>456</v>
      </c>
      <c r="E139" s="27">
        <v>13070</v>
      </c>
      <c r="F139" s="28">
        <f t="shared" si="91"/>
        <v>117</v>
      </c>
      <c r="G139" s="27">
        <v>29879</v>
      </c>
      <c r="H139" s="28">
        <f t="shared" si="92"/>
        <v>83</v>
      </c>
      <c r="I139" s="27">
        <v>8382</v>
      </c>
      <c r="J139" s="28">
        <f t="shared" si="93"/>
        <v>18</v>
      </c>
      <c r="K139" s="27">
        <v>26441</v>
      </c>
      <c r="L139" s="28">
        <f t="shared" si="94"/>
        <v>206</v>
      </c>
      <c r="M139" s="27">
        <v>1361</v>
      </c>
      <c r="N139" s="28">
        <f t="shared" si="95"/>
        <v>13</v>
      </c>
      <c r="O139" s="29">
        <v>37720</v>
      </c>
      <c r="P139" s="28">
        <f t="shared" si="96"/>
        <v>227</v>
      </c>
      <c r="Q139" s="27">
        <v>6329</v>
      </c>
      <c r="R139" s="28">
        <f t="shared" si="97"/>
        <v>51</v>
      </c>
      <c r="S139" s="27">
        <v>6399</v>
      </c>
      <c r="T139" s="28">
        <f t="shared" si="98"/>
        <v>18</v>
      </c>
      <c r="U139" s="27"/>
      <c r="V139" s="28" t="str">
        <f t="shared" si="99"/>
        <v/>
      </c>
      <c r="W139" s="27">
        <v>666</v>
      </c>
      <c r="X139" s="28">
        <f t="shared" si="100"/>
        <v>5</v>
      </c>
      <c r="Y139" s="24">
        <f t="shared" si="101"/>
        <v>437</v>
      </c>
      <c r="Z139" s="24">
        <f t="shared" si="102"/>
        <v>74</v>
      </c>
      <c r="AA139" s="24">
        <f t="shared" si="103"/>
        <v>511</v>
      </c>
      <c r="AB139" s="25">
        <f t="shared" si="104"/>
        <v>19</v>
      </c>
      <c r="AC139" s="25">
        <f t="shared" si="105"/>
        <v>153</v>
      </c>
      <c r="AD139" s="25">
        <f t="shared" si="106"/>
        <v>172</v>
      </c>
    </row>
    <row r="140" spans="1:30" x14ac:dyDescent="0.3">
      <c r="A140" s="9" t="s">
        <v>67</v>
      </c>
      <c r="B140" s="33">
        <v>45966</v>
      </c>
      <c r="C140" s="27">
        <v>85410</v>
      </c>
      <c r="D140" s="28">
        <f t="shared" si="90"/>
        <v>436</v>
      </c>
      <c r="E140" s="27">
        <v>13187</v>
      </c>
      <c r="F140" s="28">
        <f t="shared" si="91"/>
        <v>98</v>
      </c>
      <c r="G140" s="27">
        <v>29962</v>
      </c>
      <c r="H140" s="28">
        <f t="shared" si="92"/>
        <v>85</v>
      </c>
      <c r="I140" s="27">
        <v>8400</v>
      </c>
      <c r="J140" s="28">
        <f t="shared" si="93"/>
        <v>25</v>
      </c>
      <c r="K140" s="27">
        <v>26647</v>
      </c>
      <c r="L140" s="28">
        <f t="shared" si="94"/>
        <v>204</v>
      </c>
      <c r="M140" s="27">
        <v>1374</v>
      </c>
      <c r="N140" s="28">
        <f t="shared" si="95"/>
        <v>14</v>
      </c>
      <c r="O140" s="29">
        <v>37947</v>
      </c>
      <c r="P140" s="28">
        <f t="shared" si="96"/>
        <v>218</v>
      </c>
      <c r="Q140" s="27">
        <v>6380</v>
      </c>
      <c r="R140" s="28">
        <f t="shared" si="97"/>
        <v>46</v>
      </c>
      <c r="S140" s="27">
        <v>6417</v>
      </c>
      <c r="T140" s="28">
        <f t="shared" si="98"/>
        <v>9</v>
      </c>
      <c r="U140" s="27"/>
      <c r="V140" s="28" t="str">
        <f t="shared" si="99"/>
        <v/>
      </c>
      <c r="W140" s="27">
        <v>671</v>
      </c>
      <c r="X140" s="28">
        <f t="shared" si="100"/>
        <v>6</v>
      </c>
      <c r="Y140" s="24">
        <f t="shared" si="101"/>
        <v>426</v>
      </c>
      <c r="Z140" s="24">
        <f t="shared" si="102"/>
        <v>61</v>
      </c>
      <c r="AA140" s="24">
        <f t="shared" si="103"/>
        <v>487</v>
      </c>
      <c r="AB140" s="25">
        <f t="shared" si="104"/>
        <v>10</v>
      </c>
      <c r="AC140" s="25">
        <f t="shared" si="105"/>
        <v>157</v>
      </c>
      <c r="AD140" s="25">
        <f t="shared" si="106"/>
        <v>167</v>
      </c>
    </row>
    <row r="141" spans="1:30" x14ac:dyDescent="0.3">
      <c r="A141" s="9" t="s">
        <v>68</v>
      </c>
      <c r="B141" s="33">
        <v>45967</v>
      </c>
      <c r="C141" s="27">
        <v>85846</v>
      </c>
      <c r="D141" s="28">
        <f t="shared" si="90"/>
        <v>334</v>
      </c>
      <c r="E141" s="27">
        <v>13285</v>
      </c>
      <c r="F141" s="28">
        <f t="shared" si="91"/>
        <v>83</v>
      </c>
      <c r="G141" s="27">
        <v>30047</v>
      </c>
      <c r="H141" s="28">
        <f t="shared" si="92"/>
        <v>3</v>
      </c>
      <c r="I141" s="27">
        <v>8425</v>
      </c>
      <c r="J141" s="28">
        <f t="shared" si="93"/>
        <v>15</v>
      </c>
      <c r="K141" s="27">
        <v>26851</v>
      </c>
      <c r="L141" s="28">
        <f t="shared" si="94"/>
        <v>210</v>
      </c>
      <c r="M141" s="27">
        <v>1388</v>
      </c>
      <c r="N141" s="28">
        <f t="shared" si="95"/>
        <v>15</v>
      </c>
      <c r="O141" s="29">
        <v>38165</v>
      </c>
      <c r="P141" s="28">
        <f t="shared" si="96"/>
        <v>201</v>
      </c>
      <c r="Q141" s="27">
        <v>6426</v>
      </c>
      <c r="R141" s="28">
        <f t="shared" si="97"/>
        <v>35</v>
      </c>
      <c r="S141" s="27">
        <v>6426</v>
      </c>
      <c r="T141" s="28">
        <f t="shared" si="98"/>
        <v>3</v>
      </c>
      <c r="U141" s="27"/>
      <c r="V141" s="28" t="str">
        <f t="shared" si="99"/>
        <v/>
      </c>
      <c r="W141" s="27">
        <v>677</v>
      </c>
      <c r="X141" s="28">
        <f t="shared" si="100"/>
        <v>6</v>
      </c>
      <c r="Y141" s="24">
        <f t="shared" si="101"/>
        <v>326</v>
      </c>
      <c r="Z141" s="24">
        <f t="shared" si="102"/>
        <v>44</v>
      </c>
      <c r="AA141" s="24">
        <f t="shared" si="103"/>
        <v>370</v>
      </c>
      <c r="AB141" s="25">
        <f t="shared" si="104"/>
        <v>8</v>
      </c>
      <c r="AC141" s="25">
        <f t="shared" si="105"/>
        <v>157</v>
      </c>
      <c r="AD141" s="25">
        <f t="shared" si="106"/>
        <v>165</v>
      </c>
    </row>
    <row r="142" spans="1:30" x14ac:dyDescent="0.3">
      <c r="A142" s="9" t="s">
        <v>69</v>
      </c>
      <c r="B142" s="33">
        <v>45968</v>
      </c>
      <c r="C142" s="27">
        <v>86180</v>
      </c>
      <c r="D142" s="28">
        <f t="shared" si="90"/>
        <v>352</v>
      </c>
      <c r="E142" s="27">
        <v>13368</v>
      </c>
      <c r="F142" s="28">
        <f t="shared" si="91"/>
        <v>57</v>
      </c>
      <c r="G142" s="27">
        <v>30050</v>
      </c>
      <c r="H142" s="28">
        <f t="shared" si="92"/>
        <v>45</v>
      </c>
      <c r="I142" s="27">
        <v>8440</v>
      </c>
      <c r="J142" s="28">
        <f t="shared" si="93"/>
        <v>26</v>
      </c>
      <c r="K142" s="27">
        <v>27061</v>
      </c>
      <c r="L142" s="28">
        <f t="shared" si="94"/>
        <v>199</v>
      </c>
      <c r="M142" s="27">
        <v>1403</v>
      </c>
      <c r="N142" s="28">
        <f t="shared" si="95"/>
        <v>18</v>
      </c>
      <c r="O142" s="29">
        <v>38366</v>
      </c>
      <c r="P142" s="28">
        <f t="shared" si="96"/>
        <v>182</v>
      </c>
      <c r="Q142" s="27">
        <v>6461</v>
      </c>
      <c r="R142" s="28">
        <f>IF(Q144&lt;&gt;"",Q144-Q142,"")</f>
        <v>45</v>
      </c>
      <c r="S142" s="27">
        <v>6429</v>
      </c>
      <c r="T142" s="28">
        <f t="shared" si="98"/>
        <v>0</v>
      </c>
      <c r="U142" s="27"/>
      <c r="V142" s="28" t="str">
        <f>IF(U144&lt;&gt;"",U144-U142,"")</f>
        <v/>
      </c>
      <c r="W142" s="27">
        <v>683</v>
      </c>
      <c r="X142" s="28">
        <f t="shared" si="100"/>
        <v>6</v>
      </c>
      <c r="Y142" s="24">
        <f t="shared" si="101"/>
        <v>345</v>
      </c>
      <c r="Z142" s="24">
        <f t="shared" si="102"/>
        <v>51</v>
      </c>
      <c r="AA142" s="24">
        <f t="shared" si="103"/>
        <v>396</v>
      </c>
      <c r="AB142" s="25">
        <f t="shared" si="104"/>
        <v>7</v>
      </c>
      <c r="AC142" s="25">
        <f t="shared" si="105"/>
        <v>131</v>
      </c>
      <c r="AD142" s="25">
        <f t="shared" si="106"/>
        <v>138</v>
      </c>
    </row>
    <row r="143" spans="1:30" x14ac:dyDescent="0.3">
      <c r="A143" s="9" t="s">
        <v>70</v>
      </c>
      <c r="B143" s="33">
        <v>45969</v>
      </c>
      <c r="C143" s="27">
        <v>86532</v>
      </c>
      <c r="D143" s="28">
        <f t="shared" si="90"/>
        <v>344</v>
      </c>
      <c r="E143" s="27">
        <v>13425</v>
      </c>
      <c r="F143" s="28">
        <f t="shared" si="91"/>
        <v>63</v>
      </c>
      <c r="G143" s="27">
        <v>30095</v>
      </c>
      <c r="H143" s="28">
        <f t="shared" si="92"/>
        <v>43</v>
      </c>
      <c r="I143" s="27">
        <v>8466</v>
      </c>
      <c r="J143" s="28">
        <f t="shared" si="93"/>
        <v>11</v>
      </c>
      <c r="K143" s="27">
        <v>27260</v>
      </c>
      <c r="L143" s="28">
        <f t="shared" si="94"/>
        <v>208</v>
      </c>
      <c r="M143" s="27">
        <v>1421</v>
      </c>
      <c r="N143" s="28">
        <f t="shared" si="95"/>
        <v>15</v>
      </c>
      <c r="O143" s="29">
        <v>38548</v>
      </c>
      <c r="P143" s="28">
        <f t="shared" si="96"/>
        <v>196</v>
      </c>
      <c r="Q143" s="27">
        <v>6485</v>
      </c>
      <c r="R143" s="28"/>
      <c r="S143" s="27">
        <v>6429</v>
      </c>
      <c r="T143" s="28">
        <f t="shared" si="98"/>
        <v>1</v>
      </c>
      <c r="U143" s="27"/>
      <c r="V143" s="28"/>
      <c r="W143" s="27">
        <v>689</v>
      </c>
      <c r="X143" s="28">
        <f t="shared" si="100"/>
        <v>8</v>
      </c>
      <c r="Y143" s="24"/>
      <c r="Z143" s="24"/>
      <c r="AA143" s="24"/>
      <c r="AB143" s="25"/>
      <c r="AC143" s="25"/>
      <c r="AD143" s="25"/>
    </row>
    <row r="144" spans="1:30" x14ac:dyDescent="0.3">
      <c r="A144" s="9" t="s">
        <v>71</v>
      </c>
      <c r="B144" s="33">
        <v>45970</v>
      </c>
      <c r="C144" s="27">
        <v>86876</v>
      </c>
      <c r="D144" s="28">
        <f t="shared" si="90"/>
        <v>6</v>
      </c>
      <c r="E144" s="27">
        <v>13488</v>
      </c>
      <c r="F144" s="28">
        <f t="shared" si="91"/>
        <v>1</v>
      </c>
      <c r="G144" s="27">
        <v>30138</v>
      </c>
      <c r="H144" s="28">
        <f t="shared" si="92"/>
        <v>0</v>
      </c>
      <c r="I144" s="27">
        <v>8477</v>
      </c>
      <c r="J144" s="28">
        <f t="shared" si="93"/>
        <v>0</v>
      </c>
      <c r="K144" s="27">
        <v>27468</v>
      </c>
      <c r="L144" s="28">
        <f t="shared" si="94"/>
        <v>1</v>
      </c>
      <c r="M144" s="27">
        <v>1436</v>
      </c>
      <c r="N144" s="28">
        <f t="shared" si="95"/>
        <v>4</v>
      </c>
      <c r="O144" s="29">
        <v>38744</v>
      </c>
      <c r="P144" s="28">
        <f t="shared" si="96"/>
        <v>42</v>
      </c>
      <c r="Q144" s="27">
        <v>6506</v>
      </c>
      <c r="R144" s="28">
        <f t="shared" si="97"/>
        <v>0</v>
      </c>
      <c r="S144" s="27">
        <v>6430</v>
      </c>
      <c r="T144" s="28">
        <f t="shared" si="98"/>
        <v>0</v>
      </c>
      <c r="U144" s="27"/>
      <c r="V144" s="28" t="str">
        <f t="shared" si="99"/>
        <v/>
      </c>
      <c r="W144" s="27">
        <v>697</v>
      </c>
      <c r="X144" s="28">
        <f t="shared" si="100"/>
        <v>3</v>
      </c>
      <c r="Y144" s="24">
        <f t="shared" si="101"/>
        <v>6</v>
      </c>
      <c r="Z144" s="24">
        <f t="shared" si="102"/>
        <v>3</v>
      </c>
      <c r="AA144" s="24">
        <f t="shared" si="103"/>
        <v>9</v>
      </c>
      <c r="AB144" s="25">
        <f t="shared" si="104"/>
        <v>0</v>
      </c>
      <c r="AC144" s="25">
        <f t="shared" si="105"/>
        <v>39</v>
      </c>
      <c r="AD144" s="25">
        <f t="shared" si="106"/>
        <v>39</v>
      </c>
    </row>
    <row r="145" spans="1:30" x14ac:dyDescent="0.3">
      <c r="A145" s="9" t="s">
        <v>72</v>
      </c>
      <c r="B145" s="33">
        <v>45971</v>
      </c>
      <c r="C145" s="27">
        <v>86882</v>
      </c>
      <c r="D145" s="28">
        <f t="shared" si="90"/>
        <v>315</v>
      </c>
      <c r="E145" s="27">
        <v>13489</v>
      </c>
      <c r="F145" s="28">
        <f t="shared" si="91"/>
        <v>41</v>
      </c>
      <c r="G145" s="27">
        <v>30138</v>
      </c>
      <c r="H145" s="28">
        <f t="shared" si="92"/>
        <v>39</v>
      </c>
      <c r="I145" s="27">
        <v>8477</v>
      </c>
      <c r="J145" s="28">
        <f t="shared" si="93"/>
        <v>11</v>
      </c>
      <c r="K145" s="27">
        <v>27469</v>
      </c>
      <c r="L145" s="28">
        <f t="shared" si="94"/>
        <v>203</v>
      </c>
      <c r="M145" s="27">
        <v>1440</v>
      </c>
      <c r="N145" s="28">
        <f t="shared" si="95"/>
        <v>19</v>
      </c>
      <c r="O145" s="29">
        <v>38786</v>
      </c>
      <c r="P145" s="28">
        <f t="shared" si="96"/>
        <v>217</v>
      </c>
      <c r="Q145" s="27">
        <v>6506</v>
      </c>
      <c r="R145" s="28">
        <f t="shared" si="97"/>
        <v>65</v>
      </c>
      <c r="S145" s="27">
        <v>6430</v>
      </c>
      <c r="T145" s="28">
        <f t="shared" si="98"/>
        <v>1</v>
      </c>
      <c r="U145" s="27"/>
      <c r="V145" s="28" t="str">
        <f t="shared" si="99"/>
        <v/>
      </c>
      <c r="W145" s="27">
        <v>700</v>
      </c>
      <c r="X145" s="28">
        <f t="shared" si="100"/>
        <v>7</v>
      </c>
      <c r="Y145" s="24">
        <f t="shared" si="101"/>
        <v>313</v>
      </c>
      <c r="Z145" s="24">
        <f t="shared" si="102"/>
        <v>73</v>
      </c>
      <c r="AA145" s="24">
        <f t="shared" si="103"/>
        <v>386</v>
      </c>
      <c r="AB145" s="25">
        <f t="shared" si="104"/>
        <v>2</v>
      </c>
      <c r="AC145" s="25">
        <f t="shared" si="105"/>
        <v>144</v>
      </c>
      <c r="AD145" s="25">
        <f t="shared" si="106"/>
        <v>146</v>
      </c>
    </row>
    <row r="146" spans="1:30" x14ac:dyDescent="0.3">
      <c r="A146" s="9" t="s">
        <v>66</v>
      </c>
      <c r="B146" s="33">
        <v>45972</v>
      </c>
      <c r="C146" s="27">
        <v>87197</v>
      </c>
      <c r="D146" s="28">
        <f t="shared" si="90"/>
        <v>332</v>
      </c>
      <c r="E146" s="27">
        <v>13530</v>
      </c>
      <c r="F146" s="28">
        <f t="shared" si="91"/>
        <v>83</v>
      </c>
      <c r="G146" s="27">
        <v>30177</v>
      </c>
      <c r="H146" s="28">
        <f t="shared" si="92"/>
        <v>14</v>
      </c>
      <c r="I146" s="27">
        <v>8488</v>
      </c>
      <c r="J146" s="28">
        <f t="shared" si="93"/>
        <v>11</v>
      </c>
      <c r="K146" s="27">
        <v>27672</v>
      </c>
      <c r="L146" s="28">
        <f t="shared" si="94"/>
        <v>204</v>
      </c>
      <c r="M146" s="27">
        <v>1459</v>
      </c>
      <c r="N146" s="28">
        <f t="shared" si="95"/>
        <v>16</v>
      </c>
      <c r="O146" s="29">
        <v>39003</v>
      </c>
      <c r="P146" s="28">
        <f t="shared" si="96"/>
        <v>212</v>
      </c>
      <c r="Q146" s="27">
        <v>6571</v>
      </c>
      <c r="R146" s="28">
        <f t="shared" si="97"/>
        <v>66</v>
      </c>
      <c r="S146" s="27">
        <v>6431</v>
      </c>
      <c r="T146" s="28">
        <f t="shared" si="98"/>
        <v>1</v>
      </c>
      <c r="U146" s="27"/>
      <c r="V146" s="28" t="str">
        <f t="shared" si="99"/>
        <v/>
      </c>
      <c r="W146" s="27">
        <v>707</v>
      </c>
      <c r="X146" s="28">
        <f t="shared" si="100"/>
        <v>8</v>
      </c>
      <c r="Y146" s="24">
        <f t="shared" si="101"/>
        <v>328</v>
      </c>
      <c r="Z146" s="24">
        <f t="shared" si="102"/>
        <v>75</v>
      </c>
      <c r="AA146" s="24">
        <f t="shared" si="103"/>
        <v>403</v>
      </c>
      <c r="AB146" s="25">
        <f t="shared" si="104"/>
        <v>4</v>
      </c>
      <c r="AC146" s="25">
        <f t="shared" si="105"/>
        <v>137</v>
      </c>
      <c r="AD146" s="25">
        <f t="shared" si="106"/>
        <v>141</v>
      </c>
    </row>
    <row r="147" spans="1:30" x14ac:dyDescent="0.3">
      <c r="A147" s="9" t="s">
        <v>67</v>
      </c>
      <c r="B147" s="33">
        <v>45973</v>
      </c>
      <c r="C147" s="27">
        <v>87529</v>
      </c>
      <c r="D147" s="28">
        <f t="shared" si="90"/>
        <v>400</v>
      </c>
      <c r="E147" s="27">
        <v>13613</v>
      </c>
      <c r="F147" s="28">
        <f t="shared" si="91"/>
        <v>109</v>
      </c>
      <c r="G147" s="27">
        <v>30191</v>
      </c>
      <c r="H147" s="28">
        <f t="shared" si="92"/>
        <v>39</v>
      </c>
      <c r="I147" s="27">
        <v>8499</v>
      </c>
      <c r="J147" s="28">
        <f t="shared" si="93"/>
        <v>11</v>
      </c>
      <c r="K147" s="27">
        <v>27876</v>
      </c>
      <c r="L147" s="28">
        <f t="shared" si="94"/>
        <v>222</v>
      </c>
      <c r="M147" s="27">
        <v>1475</v>
      </c>
      <c r="N147" s="28">
        <f t="shared" si="95"/>
        <v>19</v>
      </c>
      <c r="O147" s="29">
        <v>39215</v>
      </c>
      <c r="P147" s="28">
        <f t="shared" si="96"/>
        <v>220</v>
      </c>
      <c r="Q147" s="27">
        <v>6637</v>
      </c>
      <c r="R147" s="28">
        <f t="shared" si="97"/>
        <v>57</v>
      </c>
      <c r="S147" s="27">
        <v>6432</v>
      </c>
      <c r="T147" s="28">
        <f t="shared" si="98"/>
        <v>1</v>
      </c>
      <c r="U147" s="27"/>
      <c r="V147" s="28" t="str">
        <f t="shared" si="99"/>
        <v/>
      </c>
      <c r="W147" s="27">
        <v>715</v>
      </c>
      <c r="X147" s="28">
        <f t="shared" si="100"/>
        <v>8</v>
      </c>
      <c r="Y147" s="24">
        <f t="shared" si="101"/>
        <v>400</v>
      </c>
      <c r="Z147" s="24">
        <f t="shared" si="102"/>
        <v>66</v>
      </c>
      <c r="AA147" s="24">
        <f t="shared" si="103"/>
        <v>466</v>
      </c>
      <c r="AB147" s="25">
        <f t="shared" si="104"/>
        <v>0</v>
      </c>
      <c r="AC147" s="25">
        <f t="shared" si="105"/>
        <v>154</v>
      </c>
      <c r="AD147" s="25">
        <f t="shared" si="106"/>
        <v>154</v>
      </c>
    </row>
    <row r="148" spans="1:30" x14ac:dyDescent="0.3">
      <c r="A148" s="9" t="s">
        <v>68</v>
      </c>
      <c r="B148" s="33">
        <v>45974</v>
      </c>
      <c r="C148" s="27">
        <v>87929</v>
      </c>
      <c r="D148" s="28">
        <f t="shared" si="90"/>
        <v>340</v>
      </c>
      <c r="E148" s="27">
        <v>13722</v>
      </c>
      <c r="F148" s="28">
        <f t="shared" si="91"/>
        <v>111</v>
      </c>
      <c r="G148" s="27">
        <v>30230</v>
      </c>
      <c r="H148" s="28">
        <f t="shared" si="92"/>
        <v>0</v>
      </c>
      <c r="I148" s="27">
        <v>8510</v>
      </c>
      <c r="J148" s="28">
        <f t="shared" si="93"/>
        <v>21</v>
      </c>
      <c r="K148" s="27">
        <v>28098</v>
      </c>
      <c r="L148" s="28">
        <f t="shared" si="94"/>
        <v>193</v>
      </c>
      <c r="M148" s="27">
        <v>1494</v>
      </c>
      <c r="N148" s="28">
        <f t="shared" si="95"/>
        <v>11</v>
      </c>
      <c r="O148" s="29">
        <v>39435</v>
      </c>
      <c r="P148" s="28">
        <f t="shared" si="96"/>
        <v>193</v>
      </c>
      <c r="Q148" s="27">
        <v>6694</v>
      </c>
      <c r="R148" s="28">
        <f t="shared" si="97"/>
        <v>59</v>
      </c>
      <c r="S148" s="27">
        <v>6433</v>
      </c>
      <c r="T148" s="28">
        <f t="shared" si="98"/>
        <v>0</v>
      </c>
      <c r="U148" s="27"/>
      <c r="V148" s="28" t="str">
        <f t="shared" si="99"/>
        <v/>
      </c>
      <c r="W148" s="27">
        <v>723</v>
      </c>
      <c r="X148" s="28">
        <f t="shared" si="100"/>
        <v>5</v>
      </c>
      <c r="Y148" s="24">
        <f t="shared" si="101"/>
        <v>336</v>
      </c>
      <c r="Z148" s="24">
        <f t="shared" si="102"/>
        <v>64</v>
      </c>
      <c r="AA148" s="24">
        <f t="shared" si="103"/>
        <v>400</v>
      </c>
      <c r="AB148" s="25">
        <f t="shared" si="104"/>
        <v>4</v>
      </c>
      <c r="AC148" s="25">
        <f t="shared" si="105"/>
        <v>129</v>
      </c>
      <c r="AD148" s="25">
        <f t="shared" si="106"/>
        <v>133</v>
      </c>
    </row>
    <row r="149" spans="1:30" x14ac:dyDescent="0.3">
      <c r="A149" s="9" t="s">
        <v>69</v>
      </c>
      <c r="B149" s="33">
        <v>45975</v>
      </c>
      <c r="C149" s="27">
        <v>88269</v>
      </c>
      <c r="D149" s="28">
        <f t="shared" si="90"/>
        <v>324</v>
      </c>
      <c r="E149" s="27">
        <v>13833</v>
      </c>
      <c r="F149" s="28">
        <f t="shared" si="91"/>
        <v>103</v>
      </c>
      <c r="G149" s="27">
        <v>30230</v>
      </c>
      <c r="H149" s="28">
        <f t="shared" si="92"/>
        <v>0</v>
      </c>
      <c r="I149" s="27">
        <v>8531</v>
      </c>
      <c r="J149" s="28">
        <f t="shared" si="93"/>
        <v>13</v>
      </c>
      <c r="K149" s="27">
        <v>28291</v>
      </c>
      <c r="L149" s="28">
        <f t="shared" si="94"/>
        <v>189</v>
      </c>
      <c r="M149" s="27">
        <v>1505</v>
      </c>
      <c r="N149" s="28">
        <f t="shared" si="95"/>
        <v>15</v>
      </c>
      <c r="O149" s="29">
        <v>39628</v>
      </c>
      <c r="P149" s="28">
        <f t="shared" si="96"/>
        <v>230</v>
      </c>
      <c r="Q149" s="27">
        <v>6753</v>
      </c>
      <c r="R149" s="28">
        <f t="shared" si="97"/>
        <v>81</v>
      </c>
      <c r="S149" s="27">
        <v>6433</v>
      </c>
      <c r="T149" s="28">
        <f t="shared" si="98"/>
        <v>3</v>
      </c>
      <c r="U149" s="27"/>
      <c r="V149" s="28" t="str">
        <f t="shared" si="99"/>
        <v/>
      </c>
      <c r="W149" s="27">
        <v>728</v>
      </c>
      <c r="X149" s="28">
        <f t="shared" si="100"/>
        <v>7</v>
      </c>
      <c r="Y149" s="24">
        <f t="shared" si="101"/>
        <v>320</v>
      </c>
      <c r="Z149" s="24">
        <f t="shared" si="102"/>
        <v>91</v>
      </c>
      <c r="AA149" s="24">
        <f t="shared" si="103"/>
        <v>411</v>
      </c>
      <c r="AB149" s="25">
        <f t="shared" si="104"/>
        <v>4</v>
      </c>
      <c r="AC149" s="25">
        <f t="shared" si="105"/>
        <v>139</v>
      </c>
      <c r="AD149" s="25">
        <f t="shared" si="106"/>
        <v>143</v>
      </c>
    </row>
    <row r="150" spans="1:30" x14ac:dyDescent="0.3">
      <c r="A150" s="9" t="s">
        <v>70</v>
      </c>
      <c r="B150" s="33">
        <v>45976</v>
      </c>
      <c r="C150" s="27">
        <v>88593</v>
      </c>
      <c r="D150" s="28">
        <f t="shared" si="90"/>
        <v>341</v>
      </c>
      <c r="E150" s="27">
        <v>13936</v>
      </c>
      <c r="F150" s="28">
        <f t="shared" si="91"/>
        <v>114</v>
      </c>
      <c r="G150" s="27">
        <v>30230</v>
      </c>
      <c r="H150" s="28">
        <f t="shared" si="92"/>
        <v>7</v>
      </c>
      <c r="I150" s="27">
        <v>8544</v>
      </c>
      <c r="J150" s="28">
        <f t="shared" si="93"/>
        <v>4</v>
      </c>
      <c r="K150" s="27">
        <v>28480</v>
      </c>
      <c r="L150" s="28">
        <f t="shared" si="94"/>
        <v>201</v>
      </c>
      <c r="M150" s="27">
        <v>1520</v>
      </c>
      <c r="N150" s="28">
        <f t="shared" si="95"/>
        <v>12</v>
      </c>
      <c r="O150" s="29">
        <v>39858</v>
      </c>
      <c r="P150" s="28">
        <f t="shared" si="96"/>
        <v>213</v>
      </c>
      <c r="Q150" s="27">
        <v>6834</v>
      </c>
      <c r="R150" s="28">
        <f t="shared" si="97"/>
        <v>80</v>
      </c>
      <c r="S150" s="27">
        <v>6436</v>
      </c>
      <c r="T150" s="28">
        <f t="shared" si="98"/>
        <v>0</v>
      </c>
      <c r="U150" s="27"/>
      <c r="V150" s="28" t="str">
        <f t="shared" si="99"/>
        <v/>
      </c>
      <c r="W150" s="27">
        <v>735</v>
      </c>
      <c r="X150" s="28">
        <f t="shared" si="100"/>
        <v>6</v>
      </c>
      <c r="Y150" s="24">
        <f t="shared" si="101"/>
        <v>338</v>
      </c>
      <c r="Z150" s="24">
        <f t="shared" si="102"/>
        <v>86</v>
      </c>
      <c r="AA150" s="24">
        <f t="shared" si="103"/>
        <v>424</v>
      </c>
      <c r="AB150" s="25">
        <f t="shared" si="104"/>
        <v>3</v>
      </c>
      <c r="AC150" s="25">
        <f t="shared" si="105"/>
        <v>127</v>
      </c>
      <c r="AD150" s="25">
        <f t="shared" si="106"/>
        <v>130</v>
      </c>
    </row>
    <row r="151" spans="1:30" x14ac:dyDescent="0.3">
      <c r="A151" s="9" t="s">
        <v>71</v>
      </c>
      <c r="B151" s="33">
        <v>45977</v>
      </c>
      <c r="C151" s="27">
        <v>88934</v>
      </c>
      <c r="D151" s="28">
        <f t="shared" si="90"/>
        <v>3</v>
      </c>
      <c r="E151" s="27">
        <v>14050</v>
      </c>
      <c r="F151" s="28">
        <f t="shared" si="91"/>
        <v>0</v>
      </c>
      <c r="G151" s="27">
        <v>30237</v>
      </c>
      <c r="H151" s="28">
        <f t="shared" si="92"/>
        <v>0</v>
      </c>
      <c r="I151" s="27">
        <v>8548</v>
      </c>
      <c r="J151" s="28">
        <f t="shared" si="93"/>
        <v>0</v>
      </c>
      <c r="K151" s="27">
        <v>28681</v>
      </c>
      <c r="L151" s="28">
        <f t="shared" si="94"/>
        <v>1</v>
      </c>
      <c r="M151" s="27">
        <v>1532</v>
      </c>
      <c r="N151" s="28">
        <f t="shared" si="95"/>
        <v>0</v>
      </c>
      <c r="O151" s="29">
        <v>40071</v>
      </c>
      <c r="P151" s="28">
        <f t="shared" si="96"/>
        <v>8</v>
      </c>
      <c r="Q151" s="27">
        <v>6914</v>
      </c>
      <c r="R151" s="28">
        <f t="shared" si="97"/>
        <v>0</v>
      </c>
      <c r="S151" s="27">
        <v>6436</v>
      </c>
      <c r="T151" s="28">
        <f t="shared" si="98"/>
        <v>0</v>
      </c>
      <c r="U151" s="27"/>
      <c r="V151" s="28" t="str">
        <f t="shared" si="99"/>
        <v/>
      </c>
      <c r="W151" s="27">
        <v>741</v>
      </c>
      <c r="X151" s="28">
        <f t="shared" si="100"/>
        <v>0</v>
      </c>
      <c r="Y151" s="24">
        <f t="shared" si="101"/>
        <v>1</v>
      </c>
      <c r="Z151" s="24">
        <f t="shared" si="102"/>
        <v>0</v>
      </c>
      <c r="AA151" s="24">
        <f t="shared" si="103"/>
        <v>1</v>
      </c>
      <c r="AB151" s="25">
        <f t="shared" si="104"/>
        <v>2</v>
      </c>
      <c r="AC151" s="25">
        <f t="shared" si="105"/>
        <v>8</v>
      </c>
      <c r="AD151" s="25">
        <f t="shared" si="106"/>
        <v>10</v>
      </c>
    </row>
    <row r="152" spans="1:30" x14ac:dyDescent="0.3">
      <c r="A152" s="9" t="s">
        <v>72</v>
      </c>
      <c r="B152" s="33">
        <v>45978</v>
      </c>
      <c r="C152" s="27">
        <v>88937</v>
      </c>
      <c r="D152" s="28">
        <f t="shared" si="90"/>
        <v>337</v>
      </c>
      <c r="E152" s="27">
        <v>14050</v>
      </c>
      <c r="F152" s="28">
        <f t="shared" si="91"/>
        <v>118</v>
      </c>
      <c r="G152" s="27">
        <v>30237</v>
      </c>
      <c r="H152" s="28">
        <f t="shared" si="92"/>
        <v>0</v>
      </c>
      <c r="I152" s="27">
        <v>8548</v>
      </c>
      <c r="J152" s="28">
        <f t="shared" si="93"/>
        <v>1</v>
      </c>
      <c r="K152" s="27">
        <v>28682</v>
      </c>
      <c r="L152" s="28">
        <f t="shared" si="94"/>
        <v>202</v>
      </c>
      <c r="M152" s="27">
        <v>1532</v>
      </c>
      <c r="N152" s="28">
        <f t="shared" si="95"/>
        <v>13</v>
      </c>
      <c r="O152" s="29">
        <v>40079</v>
      </c>
      <c r="P152" s="28">
        <f t="shared" si="96"/>
        <v>203</v>
      </c>
      <c r="Q152" s="27">
        <v>6914</v>
      </c>
      <c r="R152" s="28">
        <f t="shared" si="97"/>
        <v>61</v>
      </c>
      <c r="S152" s="27">
        <v>6436</v>
      </c>
      <c r="T152" s="28">
        <f t="shared" si="98"/>
        <v>0</v>
      </c>
      <c r="U152" s="27"/>
      <c r="V152" s="28" t="str">
        <f t="shared" si="99"/>
        <v/>
      </c>
      <c r="W152" s="27">
        <v>741</v>
      </c>
      <c r="X152" s="28">
        <f t="shared" si="100"/>
        <v>7</v>
      </c>
      <c r="Y152" s="24">
        <f t="shared" si="101"/>
        <v>334</v>
      </c>
      <c r="Z152" s="24">
        <f t="shared" si="102"/>
        <v>68</v>
      </c>
      <c r="AA152" s="24">
        <f t="shared" si="103"/>
        <v>402</v>
      </c>
      <c r="AB152" s="25">
        <f t="shared" si="104"/>
        <v>3</v>
      </c>
      <c r="AC152" s="25">
        <f t="shared" si="105"/>
        <v>135</v>
      </c>
      <c r="AD152" s="25">
        <f t="shared" si="106"/>
        <v>138</v>
      </c>
    </row>
    <row r="153" spans="1:30" x14ac:dyDescent="0.3">
      <c r="A153" s="9" t="s">
        <v>66</v>
      </c>
      <c r="B153" s="33">
        <v>45979</v>
      </c>
      <c r="C153" s="27">
        <v>89274</v>
      </c>
      <c r="D153" s="28">
        <f t="shared" si="90"/>
        <v>346</v>
      </c>
      <c r="E153" s="27">
        <v>14168</v>
      </c>
      <c r="F153" s="28">
        <f t="shared" si="91"/>
        <v>114</v>
      </c>
      <c r="G153" s="27">
        <v>30237</v>
      </c>
      <c r="H153" s="28">
        <f t="shared" si="92"/>
        <v>0</v>
      </c>
      <c r="I153" s="27">
        <v>8549</v>
      </c>
      <c r="J153" s="28">
        <f t="shared" si="93"/>
        <v>1</v>
      </c>
      <c r="K153" s="27">
        <v>28884</v>
      </c>
      <c r="L153" s="28">
        <f t="shared" si="94"/>
        <v>208</v>
      </c>
      <c r="M153" s="27">
        <v>1545</v>
      </c>
      <c r="N153" s="28">
        <f t="shared" si="95"/>
        <v>18</v>
      </c>
      <c r="O153" s="29">
        <v>40282</v>
      </c>
      <c r="P153" s="28">
        <f t="shared" si="96"/>
        <v>242</v>
      </c>
      <c r="Q153" s="27">
        <v>6975</v>
      </c>
      <c r="R153" s="28">
        <f t="shared" si="97"/>
        <v>93</v>
      </c>
      <c r="S153" s="27">
        <v>6436</v>
      </c>
      <c r="T153" s="28">
        <f t="shared" si="98"/>
        <v>2</v>
      </c>
      <c r="U153" s="27"/>
      <c r="V153" s="28" t="str">
        <f t="shared" si="99"/>
        <v/>
      </c>
      <c r="W153" s="27">
        <v>748</v>
      </c>
      <c r="X153" s="28">
        <f t="shared" si="100"/>
        <v>7</v>
      </c>
      <c r="Y153" s="24">
        <f t="shared" si="101"/>
        <v>341</v>
      </c>
      <c r="Z153" s="24">
        <f t="shared" si="102"/>
        <v>102</v>
      </c>
      <c r="AA153" s="24">
        <f t="shared" si="103"/>
        <v>443</v>
      </c>
      <c r="AB153" s="25">
        <f t="shared" si="104"/>
        <v>5</v>
      </c>
      <c r="AC153" s="25">
        <f t="shared" si="105"/>
        <v>140</v>
      </c>
      <c r="AD153" s="25">
        <f t="shared" si="106"/>
        <v>145</v>
      </c>
    </row>
    <row r="154" spans="1:30" x14ac:dyDescent="0.3">
      <c r="A154" s="9" t="s">
        <v>67</v>
      </c>
      <c r="B154" s="33">
        <v>45980</v>
      </c>
      <c r="C154" s="27">
        <v>89620</v>
      </c>
      <c r="D154" s="28">
        <f t="shared" si="90"/>
        <v>373</v>
      </c>
      <c r="E154" s="27">
        <v>14282</v>
      </c>
      <c r="F154" s="28">
        <f t="shared" si="91"/>
        <v>121</v>
      </c>
      <c r="G154" s="27">
        <v>30237</v>
      </c>
      <c r="H154" s="28">
        <f t="shared" si="92"/>
        <v>0</v>
      </c>
      <c r="I154" s="27">
        <v>8550</v>
      </c>
      <c r="J154" s="28">
        <f t="shared" si="93"/>
        <v>0</v>
      </c>
      <c r="K154" s="27">
        <v>29092</v>
      </c>
      <c r="L154" s="28">
        <f t="shared" si="94"/>
        <v>203</v>
      </c>
      <c r="M154" s="27">
        <v>1563</v>
      </c>
      <c r="N154" s="28">
        <f t="shared" si="95"/>
        <v>46</v>
      </c>
      <c r="O154" s="29">
        <v>40524</v>
      </c>
      <c r="P154" s="28">
        <f t="shared" si="96"/>
        <v>237</v>
      </c>
      <c r="Q154" s="27">
        <v>7068</v>
      </c>
      <c r="R154" s="28">
        <f t="shared" si="97"/>
        <v>85</v>
      </c>
      <c r="S154" s="27">
        <v>6438</v>
      </c>
      <c r="T154" s="28">
        <f t="shared" si="98"/>
        <v>0</v>
      </c>
      <c r="U154" s="27"/>
      <c r="V154" s="28" t="str">
        <f t="shared" si="99"/>
        <v/>
      </c>
      <c r="W154" s="27">
        <v>755</v>
      </c>
      <c r="X154" s="28">
        <f t="shared" si="100"/>
        <v>8</v>
      </c>
      <c r="Y154" s="24">
        <f t="shared" si="101"/>
        <v>370</v>
      </c>
      <c r="Z154" s="24">
        <f t="shared" si="102"/>
        <v>93</v>
      </c>
      <c r="AA154" s="24">
        <f t="shared" si="103"/>
        <v>463</v>
      </c>
      <c r="AB154" s="25">
        <f t="shared" si="104"/>
        <v>3</v>
      </c>
      <c r="AC154" s="25">
        <f t="shared" si="105"/>
        <v>144</v>
      </c>
      <c r="AD154" s="25">
        <f t="shared" si="106"/>
        <v>147</v>
      </c>
    </row>
    <row r="155" spans="1:30" x14ac:dyDescent="0.3">
      <c r="A155" s="9" t="s">
        <v>68</v>
      </c>
      <c r="B155" s="33">
        <v>45981</v>
      </c>
      <c r="C155" s="27">
        <v>89993</v>
      </c>
      <c r="D155" s="28">
        <f t="shared" si="90"/>
        <v>337</v>
      </c>
      <c r="E155" s="27">
        <v>14403</v>
      </c>
      <c r="F155" s="28">
        <f t="shared" si="91"/>
        <v>112</v>
      </c>
      <c r="G155" s="27">
        <v>30237</v>
      </c>
      <c r="H155" s="28">
        <f t="shared" si="92"/>
        <v>0</v>
      </c>
      <c r="I155" s="27">
        <v>8550</v>
      </c>
      <c r="J155" s="28">
        <f t="shared" si="93"/>
        <v>2</v>
      </c>
      <c r="K155" s="27">
        <v>29295</v>
      </c>
      <c r="L155" s="28">
        <f t="shared" si="94"/>
        <v>202</v>
      </c>
      <c r="M155" s="27">
        <v>1609</v>
      </c>
      <c r="N155" s="28">
        <f t="shared" si="95"/>
        <v>19</v>
      </c>
      <c r="O155" s="29">
        <v>40761</v>
      </c>
      <c r="P155" s="28">
        <f t="shared" si="96"/>
        <v>188</v>
      </c>
      <c r="Q155" s="27">
        <v>7153</v>
      </c>
      <c r="R155" s="28">
        <f t="shared" si="97"/>
        <v>50</v>
      </c>
      <c r="S155" s="27">
        <v>6438</v>
      </c>
      <c r="T155" s="28">
        <f t="shared" si="98"/>
        <v>2</v>
      </c>
      <c r="U155" s="27"/>
      <c r="V155" s="28" t="str">
        <f t="shared" si="99"/>
        <v/>
      </c>
      <c r="W155" s="27">
        <v>763</v>
      </c>
      <c r="X155" s="28">
        <f t="shared" si="100"/>
        <v>7</v>
      </c>
      <c r="Y155" s="24">
        <f t="shared" si="101"/>
        <v>335</v>
      </c>
      <c r="Z155" s="24">
        <f t="shared" si="102"/>
        <v>59</v>
      </c>
      <c r="AA155" s="24">
        <f t="shared" si="103"/>
        <v>394</v>
      </c>
      <c r="AB155" s="25">
        <f t="shared" si="104"/>
        <v>2</v>
      </c>
      <c r="AC155" s="25">
        <f t="shared" si="105"/>
        <v>129</v>
      </c>
      <c r="AD155" s="25">
        <f t="shared" si="106"/>
        <v>131</v>
      </c>
    </row>
    <row r="156" spans="1:30" x14ac:dyDescent="0.3">
      <c r="A156" s="9" t="s">
        <v>69</v>
      </c>
      <c r="B156" s="33">
        <v>45982</v>
      </c>
      <c r="C156" s="27">
        <v>90330</v>
      </c>
      <c r="D156" s="28">
        <f t="shared" si="90"/>
        <v>333</v>
      </c>
      <c r="E156" s="27">
        <v>14515</v>
      </c>
      <c r="F156" s="28">
        <f t="shared" si="91"/>
        <v>116</v>
      </c>
      <c r="G156" s="27">
        <v>30237</v>
      </c>
      <c r="H156" s="28">
        <f t="shared" si="92"/>
        <v>0</v>
      </c>
      <c r="I156" s="27">
        <v>8552</v>
      </c>
      <c r="J156" s="28">
        <f t="shared" si="93"/>
        <v>1</v>
      </c>
      <c r="K156" s="27">
        <v>29497</v>
      </c>
      <c r="L156" s="28">
        <f t="shared" si="94"/>
        <v>194</v>
      </c>
      <c r="M156" s="27">
        <v>1628</v>
      </c>
      <c r="N156" s="28">
        <f t="shared" si="95"/>
        <v>19</v>
      </c>
      <c r="O156" s="29">
        <v>40949</v>
      </c>
      <c r="P156" s="28">
        <f t="shared" si="96"/>
        <v>175</v>
      </c>
      <c r="Q156" s="27">
        <v>7203</v>
      </c>
      <c r="R156" s="28">
        <f t="shared" si="97"/>
        <v>52</v>
      </c>
      <c r="S156" s="27">
        <v>6440</v>
      </c>
      <c r="T156" s="28">
        <f t="shared" si="98"/>
        <v>0</v>
      </c>
      <c r="U156" s="27"/>
      <c r="V156" s="28" t="str">
        <f t="shared" si="99"/>
        <v/>
      </c>
      <c r="W156" s="27">
        <v>770</v>
      </c>
      <c r="X156" s="28">
        <f t="shared" si="100"/>
        <v>1</v>
      </c>
      <c r="Y156" s="24">
        <f t="shared" si="101"/>
        <v>330</v>
      </c>
      <c r="Z156" s="24">
        <f t="shared" si="102"/>
        <v>53</v>
      </c>
      <c r="AA156" s="24">
        <f t="shared" si="103"/>
        <v>383</v>
      </c>
      <c r="AB156" s="25">
        <f t="shared" si="104"/>
        <v>3</v>
      </c>
      <c r="AC156" s="25">
        <f t="shared" si="105"/>
        <v>122</v>
      </c>
      <c r="AD156" s="25">
        <f t="shared" si="106"/>
        <v>125</v>
      </c>
    </row>
    <row r="157" spans="1:30" x14ac:dyDescent="0.3">
      <c r="A157" s="9" t="s">
        <v>70</v>
      </c>
      <c r="B157" s="33">
        <v>45983</v>
      </c>
      <c r="C157" s="27">
        <v>90663</v>
      </c>
      <c r="D157" s="28">
        <f t="shared" si="90"/>
        <v>360</v>
      </c>
      <c r="E157" s="27">
        <v>14631</v>
      </c>
      <c r="F157" s="28">
        <f t="shared" si="91"/>
        <v>126</v>
      </c>
      <c r="G157" s="27">
        <v>30237</v>
      </c>
      <c r="H157" s="28">
        <f t="shared" si="92"/>
        <v>0</v>
      </c>
      <c r="I157" s="27">
        <v>8553</v>
      </c>
      <c r="J157" s="28">
        <f t="shared" si="93"/>
        <v>1</v>
      </c>
      <c r="K157" s="27">
        <v>29691</v>
      </c>
      <c r="L157" s="28">
        <f t="shared" si="94"/>
        <v>214</v>
      </c>
      <c r="M157" s="27">
        <v>1647</v>
      </c>
      <c r="N157" s="28">
        <f t="shared" si="95"/>
        <v>20</v>
      </c>
      <c r="O157" s="29">
        <v>41124</v>
      </c>
      <c r="P157" s="28">
        <f t="shared" si="96"/>
        <v>184</v>
      </c>
      <c r="Q157" s="27">
        <v>7255</v>
      </c>
      <c r="R157" s="28">
        <f t="shared" si="97"/>
        <v>41</v>
      </c>
      <c r="S157" s="27">
        <v>6440</v>
      </c>
      <c r="T157" s="28">
        <f t="shared" si="98"/>
        <v>1</v>
      </c>
      <c r="U157" s="27"/>
      <c r="V157" s="28" t="str">
        <f t="shared" si="99"/>
        <v/>
      </c>
      <c r="W157" s="27">
        <v>771</v>
      </c>
      <c r="X157" s="28">
        <f t="shared" si="100"/>
        <v>12</v>
      </c>
      <c r="Y157" s="24">
        <f t="shared" si="101"/>
        <v>361</v>
      </c>
      <c r="Z157" s="24">
        <f t="shared" si="102"/>
        <v>54</v>
      </c>
      <c r="AA157" s="24">
        <f t="shared" si="103"/>
        <v>415</v>
      </c>
      <c r="AB157" s="25">
        <f t="shared" si="104"/>
        <v>-1</v>
      </c>
      <c r="AC157" s="25">
        <f t="shared" si="105"/>
        <v>130</v>
      </c>
      <c r="AD157" s="25">
        <f t="shared" si="106"/>
        <v>129</v>
      </c>
    </row>
    <row r="158" spans="1:30" x14ac:dyDescent="0.3">
      <c r="A158" s="9" t="s">
        <v>71</v>
      </c>
      <c r="B158" s="33">
        <v>45984</v>
      </c>
      <c r="C158" s="27">
        <v>91023</v>
      </c>
      <c r="D158" s="28">
        <f t="shared" si="90"/>
        <v>10</v>
      </c>
      <c r="E158" s="27">
        <v>14757</v>
      </c>
      <c r="F158" s="28">
        <f t="shared" si="91"/>
        <v>0</v>
      </c>
      <c r="G158" s="27">
        <v>30237</v>
      </c>
      <c r="H158" s="28">
        <f t="shared" si="92"/>
        <v>0</v>
      </c>
      <c r="I158" s="27">
        <v>8554</v>
      </c>
      <c r="J158" s="28">
        <f t="shared" si="93"/>
        <v>0</v>
      </c>
      <c r="K158" s="27">
        <v>29905</v>
      </c>
      <c r="L158" s="28">
        <f t="shared" si="94"/>
        <v>1</v>
      </c>
      <c r="M158" s="27">
        <v>1667</v>
      </c>
      <c r="N158" s="28">
        <f t="shared" si="95"/>
        <v>7</v>
      </c>
      <c r="O158" s="29">
        <v>41308</v>
      </c>
      <c r="P158" s="28">
        <f t="shared" si="96"/>
        <v>21</v>
      </c>
      <c r="Q158" s="27">
        <v>7296</v>
      </c>
      <c r="R158" s="28">
        <f t="shared" si="97"/>
        <v>4</v>
      </c>
      <c r="S158" s="27">
        <v>6441</v>
      </c>
      <c r="T158" s="28">
        <f t="shared" si="98"/>
        <v>0</v>
      </c>
      <c r="U158" s="27"/>
      <c r="V158" s="28" t="str">
        <f t="shared" si="99"/>
        <v/>
      </c>
      <c r="W158" s="27">
        <v>783</v>
      </c>
      <c r="X158" s="28">
        <f t="shared" si="100"/>
        <v>4</v>
      </c>
      <c r="Y158" s="24">
        <f t="shared" si="101"/>
        <v>8</v>
      </c>
      <c r="Z158" s="24">
        <f t="shared" si="102"/>
        <v>8</v>
      </c>
      <c r="AA158" s="24">
        <f t="shared" si="103"/>
        <v>16</v>
      </c>
      <c r="AB158" s="25">
        <f t="shared" si="104"/>
        <v>2</v>
      </c>
      <c r="AC158" s="25">
        <f t="shared" si="105"/>
        <v>13</v>
      </c>
      <c r="AD158" s="25">
        <f t="shared" si="106"/>
        <v>15</v>
      </c>
    </row>
    <row r="159" spans="1:30" x14ac:dyDescent="0.3">
      <c r="A159" s="9" t="s">
        <v>72</v>
      </c>
      <c r="B159" s="33">
        <v>45985</v>
      </c>
      <c r="C159" s="27">
        <v>91033</v>
      </c>
      <c r="D159" s="28">
        <f t="shared" si="90"/>
        <v>358</v>
      </c>
      <c r="E159" s="27">
        <v>14757</v>
      </c>
      <c r="F159" s="28">
        <f t="shared" si="91"/>
        <v>93</v>
      </c>
      <c r="G159" s="27">
        <v>30237</v>
      </c>
      <c r="H159" s="28">
        <f t="shared" si="92"/>
        <v>0</v>
      </c>
      <c r="I159" s="27">
        <v>8554</v>
      </c>
      <c r="J159" s="28">
        <f t="shared" si="93"/>
        <v>0</v>
      </c>
      <c r="K159" s="27">
        <v>29906</v>
      </c>
      <c r="L159" s="28">
        <f t="shared" si="94"/>
        <v>233</v>
      </c>
      <c r="M159" s="27">
        <v>1674</v>
      </c>
      <c r="N159" s="28">
        <f t="shared" si="95"/>
        <v>25</v>
      </c>
      <c r="O159" s="29">
        <v>41329</v>
      </c>
      <c r="P159" s="28">
        <f t="shared" si="96"/>
        <v>175</v>
      </c>
      <c r="Q159" s="27">
        <v>7300</v>
      </c>
      <c r="R159" s="28">
        <f t="shared" si="97"/>
        <v>25</v>
      </c>
      <c r="S159" s="27">
        <v>6441</v>
      </c>
      <c r="T159" s="28">
        <f t="shared" si="98"/>
        <v>0</v>
      </c>
      <c r="U159" s="27"/>
      <c r="V159" s="28" t="str">
        <f t="shared" si="99"/>
        <v/>
      </c>
      <c r="W159" s="27">
        <v>787</v>
      </c>
      <c r="X159" s="28">
        <f t="shared" si="100"/>
        <v>7</v>
      </c>
      <c r="Y159" s="24">
        <f t="shared" si="101"/>
        <v>351</v>
      </c>
      <c r="Z159" s="24">
        <f t="shared" si="102"/>
        <v>32</v>
      </c>
      <c r="AA159" s="24">
        <f t="shared" si="103"/>
        <v>383</v>
      </c>
      <c r="AB159" s="25">
        <f t="shared" si="104"/>
        <v>7</v>
      </c>
      <c r="AC159" s="25">
        <f t="shared" si="105"/>
        <v>143</v>
      </c>
      <c r="AD159" s="25">
        <f t="shared" si="106"/>
        <v>150</v>
      </c>
    </row>
    <row r="160" spans="1:30" x14ac:dyDescent="0.3">
      <c r="A160" s="9" t="s">
        <v>66</v>
      </c>
      <c r="B160" s="33">
        <v>45986</v>
      </c>
      <c r="C160" s="27">
        <v>91391</v>
      </c>
      <c r="D160" s="28">
        <f t="shared" si="90"/>
        <v>359</v>
      </c>
      <c r="E160" s="27">
        <v>14850</v>
      </c>
      <c r="F160" s="28">
        <f t="shared" si="91"/>
        <v>101</v>
      </c>
      <c r="G160" s="27">
        <v>30237</v>
      </c>
      <c r="H160" s="28">
        <f t="shared" si="92"/>
        <v>0</v>
      </c>
      <c r="I160" s="27">
        <v>8554</v>
      </c>
      <c r="J160" s="28">
        <f t="shared" si="93"/>
        <v>0</v>
      </c>
      <c r="K160" s="27">
        <v>30139</v>
      </c>
      <c r="L160" s="28">
        <f t="shared" si="94"/>
        <v>230</v>
      </c>
      <c r="M160" s="27">
        <v>1699</v>
      </c>
      <c r="N160" s="28">
        <f t="shared" si="95"/>
        <v>24</v>
      </c>
      <c r="O160" s="29">
        <v>41504</v>
      </c>
      <c r="P160" s="28">
        <f t="shared" si="96"/>
        <v>193</v>
      </c>
      <c r="Q160" s="27">
        <v>7325</v>
      </c>
      <c r="R160" s="28">
        <f t="shared" si="97"/>
        <v>33</v>
      </c>
      <c r="S160" s="27">
        <v>6441</v>
      </c>
      <c r="T160" s="28">
        <f t="shared" si="98"/>
        <v>1</v>
      </c>
      <c r="U160" s="27"/>
      <c r="V160" s="28" t="str">
        <f t="shared" si="99"/>
        <v/>
      </c>
      <c r="W160" s="27">
        <v>794</v>
      </c>
      <c r="X160" s="28">
        <f t="shared" si="100"/>
        <v>7</v>
      </c>
      <c r="Y160" s="24">
        <f t="shared" si="101"/>
        <v>355</v>
      </c>
      <c r="Z160" s="24">
        <f t="shared" si="102"/>
        <v>41</v>
      </c>
      <c r="AA160" s="24">
        <f t="shared" si="103"/>
        <v>396</v>
      </c>
      <c r="AB160" s="25">
        <f t="shared" si="104"/>
        <v>4</v>
      </c>
      <c r="AC160" s="25">
        <f t="shared" si="105"/>
        <v>152</v>
      </c>
      <c r="AD160" s="25">
        <f t="shared" si="106"/>
        <v>156</v>
      </c>
    </row>
    <row r="161" spans="1:30" x14ac:dyDescent="0.3">
      <c r="A161" s="9" t="s">
        <v>67</v>
      </c>
      <c r="B161" s="33">
        <v>45987</v>
      </c>
      <c r="C161" s="27">
        <v>91750</v>
      </c>
      <c r="D161" s="28">
        <f t="shared" si="90"/>
        <v>341</v>
      </c>
      <c r="E161" s="27">
        <v>14951</v>
      </c>
      <c r="F161" s="28">
        <f t="shared" si="91"/>
        <v>92</v>
      </c>
      <c r="G161" s="27">
        <v>30237</v>
      </c>
      <c r="H161" s="28">
        <f t="shared" si="92"/>
        <v>0</v>
      </c>
      <c r="I161" s="27">
        <v>8554</v>
      </c>
      <c r="J161" s="28">
        <f t="shared" si="93"/>
        <v>0</v>
      </c>
      <c r="K161" s="27">
        <v>30369</v>
      </c>
      <c r="L161" s="28">
        <f t="shared" si="94"/>
        <v>221</v>
      </c>
      <c r="M161" s="27">
        <v>1723</v>
      </c>
      <c r="N161" s="28">
        <f t="shared" si="95"/>
        <v>25</v>
      </c>
      <c r="O161" s="29">
        <v>41697</v>
      </c>
      <c r="P161" s="28">
        <f t="shared" si="96"/>
        <v>170</v>
      </c>
      <c r="Q161" s="27">
        <v>7358</v>
      </c>
      <c r="R161" s="28">
        <f t="shared" si="97"/>
        <v>11</v>
      </c>
      <c r="S161" s="27">
        <v>6442</v>
      </c>
      <c r="T161" s="28">
        <f t="shared" si="98"/>
        <v>0</v>
      </c>
      <c r="U161" s="27"/>
      <c r="V161" s="28" t="str">
        <f t="shared" si="99"/>
        <v/>
      </c>
      <c r="W161" s="27">
        <v>801</v>
      </c>
      <c r="X161" s="28">
        <f t="shared" si="100"/>
        <v>9</v>
      </c>
      <c r="Y161" s="24">
        <f t="shared" si="101"/>
        <v>338</v>
      </c>
      <c r="Z161" s="24">
        <f t="shared" si="102"/>
        <v>20</v>
      </c>
      <c r="AA161" s="24">
        <f t="shared" si="103"/>
        <v>358</v>
      </c>
      <c r="AB161" s="25">
        <f t="shared" si="104"/>
        <v>3</v>
      </c>
      <c r="AC161" s="25">
        <f t="shared" si="105"/>
        <v>150</v>
      </c>
      <c r="AD161" s="25">
        <f t="shared" si="106"/>
        <v>153</v>
      </c>
    </row>
    <row r="162" spans="1:30" x14ac:dyDescent="0.3">
      <c r="A162" s="9" t="s">
        <v>68</v>
      </c>
      <c r="B162" s="33">
        <v>45988</v>
      </c>
      <c r="C162" s="27">
        <v>92091</v>
      </c>
      <c r="D162" s="28">
        <f t="shared" si="90"/>
        <v>334</v>
      </c>
      <c r="E162" s="27">
        <v>15043</v>
      </c>
      <c r="F162" s="28">
        <f t="shared" si="91"/>
        <v>93</v>
      </c>
      <c r="G162" s="27">
        <v>30237</v>
      </c>
      <c r="H162" s="28">
        <f t="shared" si="92"/>
        <v>0</v>
      </c>
      <c r="I162" s="27">
        <v>8554</v>
      </c>
      <c r="J162" s="28">
        <f t="shared" si="93"/>
        <v>1</v>
      </c>
      <c r="K162" s="27">
        <v>30590</v>
      </c>
      <c r="L162" s="28">
        <f t="shared" si="94"/>
        <v>210</v>
      </c>
      <c r="M162" s="27">
        <v>1748</v>
      </c>
      <c r="N162" s="28">
        <f t="shared" si="95"/>
        <v>26</v>
      </c>
      <c r="O162" s="29">
        <v>41867</v>
      </c>
      <c r="P162" s="28">
        <f t="shared" si="96"/>
        <v>220</v>
      </c>
      <c r="Q162" s="27">
        <v>7369</v>
      </c>
      <c r="R162" s="28">
        <f t="shared" si="97"/>
        <v>48</v>
      </c>
      <c r="S162" s="27">
        <v>6442</v>
      </c>
      <c r="T162" s="28">
        <f t="shared" si="98"/>
        <v>0</v>
      </c>
      <c r="U162" s="27"/>
      <c r="V162" s="28" t="str">
        <f t="shared" si="99"/>
        <v/>
      </c>
      <c r="W162" s="27">
        <v>810</v>
      </c>
      <c r="X162" s="28">
        <f t="shared" si="100"/>
        <v>8</v>
      </c>
      <c r="Y162" s="24">
        <f t="shared" si="101"/>
        <v>330</v>
      </c>
      <c r="Z162" s="24">
        <f t="shared" si="102"/>
        <v>56</v>
      </c>
      <c r="AA162" s="24">
        <f t="shared" si="103"/>
        <v>386</v>
      </c>
      <c r="AB162" s="25">
        <f t="shared" si="104"/>
        <v>4</v>
      </c>
      <c r="AC162" s="25">
        <f t="shared" si="105"/>
        <v>164</v>
      </c>
      <c r="AD162" s="25">
        <f t="shared" si="106"/>
        <v>168</v>
      </c>
    </row>
    <row r="163" spans="1:30" x14ac:dyDescent="0.3">
      <c r="A163" s="9" t="s">
        <v>69</v>
      </c>
      <c r="B163" s="33">
        <v>45989</v>
      </c>
      <c r="C163" s="27">
        <v>92425</v>
      </c>
      <c r="D163" s="28">
        <f t="shared" si="90"/>
        <v>341</v>
      </c>
      <c r="E163" s="27">
        <v>15136</v>
      </c>
      <c r="F163" s="28">
        <f t="shared" si="91"/>
        <v>99</v>
      </c>
      <c r="G163" s="27">
        <v>30237</v>
      </c>
      <c r="H163" s="28">
        <f t="shared" si="92"/>
        <v>0</v>
      </c>
      <c r="I163" s="27">
        <v>8555</v>
      </c>
      <c r="J163" s="28">
        <f t="shared" si="93"/>
        <v>4</v>
      </c>
      <c r="K163" s="27">
        <v>30800</v>
      </c>
      <c r="L163" s="28">
        <f t="shared" si="94"/>
        <v>208</v>
      </c>
      <c r="M163" s="27">
        <v>1774</v>
      </c>
      <c r="N163" s="28">
        <f t="shared" si="95"/>
        <v>27</v>
      </c>
      <c r="O163" s="29">
        <v>42087</v>
      </c>
      <c r="P163" s="28">
        <f t="shared" si="96"/>
        <v>196</v>
      </c>
      <c r="Q163" s="27">
        <v>7417</v>
      </c>
      <c r="R163" s="28">
        <f t="shared" si="97"/>
        <v>52</v>
      </c>
      <c r="S163" s="27">
        <v>6442</v>
      </c>
      <c r="T163" s="28">
        <f t="shared" si="98"/>
        <v>0</v>
      </c>
      <c r="U163" s="27"/>
      <c r="V163" s="28" t="str">
        <f t="shared" si="99"/>
        <v/>
      </c>
      <c r="W163" s="27">
        <v>818</v>
      </c>
      <c r="X163" s="28">
        <f t="shared" si="100"/>
        <v>8</v>
      </c>
      <c r="Y163" s="24">
        <f t="shared" si="101"/>
        <v>338</v>
      </c>
      <c r="Z163" s="24">
        <f t="shared" si="102"/>
        <v>60</v>
      </c>
      <c r="AA163" s="24">
        <f t="shared" si="103"/>
        <v>398</v>
      </c>
      <c r="AB163" s="25">
        <f t="shared" si="104"/>
        <v>3</v>
      </c>
      <c r="AC163" s="25">
        <f t="shared" si="105"/>
        <v>136</v>
      </c>
      <c r="AD163" s="25">
        <f t="shared" si="106"/>
        <v>139</v>
      </c>
    </row>
    <row r="164" spans="1:30" x14ac:dyDescent="0.3">
      <c r="A164" s="9" t="s">
        <v>70</v>
      </c>
      <c r="B164" s="33">
        <v>45990</v>
      </c>
      <c r="C164" s="27">
        <v>92766</v>
      </c>
      <c r="D164" s="28">
        <f t="shared" si="90"/>
        <v>303</v>
      </c>
      <c r="E164" s="27">
        <v>15235</v>
      </c>
      <c r="F164" s="28">
        <f t="shared" si="91"/>
        <v>90</v>
      </c>
      <c r="G164" s="27">
        <v>30237</v>
      </c>
      <c r="H164" s="28">
        <f t="shared" si="92"/>
        <v>0</v>
      </c>
      <c r="I164" s="27">
        <v>8559</v>
      </c>
      <c r="J164" s="28">
        <f t="shared" si="93"/>
        <v>4</v>
      </c>
      <c r="K164" s="27">
        <v>31008</v>
      </c>
      <c r="L164" s="28">
        <f t="shared" si="94"/>
        <v>177</v>
      </c>
      <c r="M164" s="27">
        <v>1801</v>
      </c>
      <c r="N164" s="28">
        <f t="shared" si="95"/>
        <v>26</v>
      </c>
      <c r="O164" s="29">
        <v>42283</v>
      </c>
      <c r="P164" s="28">
        <f t="shared" si="96"/>
        <v>183</v>
      </c>
      <c r="Q164" s="27">
        <v>7469</v>
      </c>
      <c r="R164" s="28">
        <f t="shared" si="97"/>
        <v>52</v>
      </c>
      <c r="S164" s="27">
        <v>6442</v>
      </c>
      <c r="T164" s="28">
        <f t="shared" si="98"/>
        <v>0</v>
      </c>
      <c r="U164" s="27"/>
      <c r="V164" s="28" t="str">
        <f t="shared" si="99"/>
        <v/>
      </c>
      <c r="W164" s="27">
        <v>826</v>
      </c>
      <c r="X164" s="28">
        <f t="shared" si="100"/>
        <v>8</v>
      </c>
      <c r="Y164" s="24">
        <f t="shared" si="101"/>
        <v>297</v>
      </c>
      <c r="Z164" s="24">
        <f t="shared" si="102"/>
        <v>60</v>
      </c>
      <c r="AA164" s="24">
        <f t="shared" si="103"/>
        <v>357</v>
      </c>
      <c r="AB164" s="25">
        <f t="shared" si="104"/>
        <v>6</v>
      </c>
      <c r="AC164" s="25">
        <f t="shared" si="105"/>
        <v>123</v>
      </c>
      <c r="AD164" s="25">
        <f t="shared" si="106"/>
        <v>129</v>
      </c>
    </row>
    <row r="165" spans="1:30" x14ac:dyDescent="0.3">
      <c r="A165" s="9" t="s">
        <v>71</v>
      </c>
      <c r="B165" s="33">
        <v>45991</v>
      </c>
      <c r="C165" s="27">
        <v>93069</v>
      </c>
      <c r="D165" s="28">
        <f t="shared" si="90"/>
        <v>9</v>
      </c>
      <c r="E165" s="27">
        <v>15325</v>
      </c>
      <c r="F165" s="28">
        <f t="shared" si="91"/>
        <v>0</v>
      </c>
      <c r="G165" s="27">
        <v>30237</v>
      </c>
      <c r="H165" s="28">
        <f t="shared" si="92"/>
        <v>0</v>
      </c>
      <c r="I165" s="27">
        <v>8563</v>
      </c>
      <c r="J165" s="28">
        <f t="shared" si="93"/>
        <v>0</v>
      </c>
      <c r="K165" s="27">
        <v>31185</v>
      </c>
      <c r="L165" s="28">
        <f t="shared" si="94"/>
        <v>5</v>
      </c>
      <c r="M165" s="27">
        <v>1827</v>
      </c>
      <c r="N165" s="28">
        <f t="shared" si="95"/>
        <v>3</v>
      </c>
      <c r="O165" s="29">
        <v>42466</v>
      </c>
      <c r="P165" s="28">
        <f t="shared" si="96"/>
        <v>20</v>
      </c>
      <c r="Q165" s="27">
        <v>7521</v>
      </c>
      <c r="R165" s="28">
        <f t="shared" si="97"/>
        <v>5</v>
      </c>
      <c r="S165" s="27">
        <v>6442</v>
      </c>
      <c r="T165" s="28">
        <f t="shared" si="98"/>
        <v>0</v>
      </c>
      <c r="U165" s="27"/>
      <c r="V165" s="28" t="str">
        <f t="shared" si="99"/>
        <v/>
      </c>
      <c r="W165" s="27">
        <v>834</v>
      </c>
      <c r="X165" s="28">
        <f t="shared" si="100"/>
        <v>2</v>
      </c>
      <c r="Y165" s="24">
        <f t="shared" si="101"/>
        <v>8</v>
      </c>
      <c r="Z165" s="24">
        <f t="shared" si="102"/>
        <v>7</v>
      </c>
      <c r="AA165" s="24">
        <f t="shared" si="103"/>
        <v>15</v>
      </c>
      <c r="AB165" s="25">
        <f t="shared" si="104"/>
        <v>1</v>
      </c>
      <c r="AC165" s="25">
        <f t="shared" si="105"/>
        <v>13</v>
      </c>
      <c r="AD165" s="25">
        <f t="shared" si="106"/>
        <v>14</v>
      </c>
    </row>
    <row r="166" spans="1:30" x14ac:dyDescent="0.3">
      <c r="A166" s="9" t="s">
        <v>72</v>
      </c>
      <c r="B166" s="33">
        <v>45992</v>
      </c>
      <c r="C166" s="27">
        <v>93078</v>
      </c>
      <c r="D166" s="28" t="str">
        <f t="shared" si="90"/>
        <v/>
      </c>
      <c r="E166" s="27">
        <v>15325</v>
      </c>
      <c r="F166" s="28" t="str">
        <f t="shared" si="91"/>
        <v/>
      </c>
      <c r="G166" s="27">
        <v>30237</v>
      </c>
      <c r="H166" s="28" t="str">
        <f t="shared" si="92"/>
        <v/>
      </c>
      <c r="I166" s="27">
        <v>8563</v>
      </c>
      <c r="J166" s="28" t="str">
        <f t="shared" si="93"/>
        <v/>
      </c>
      <c r="K166" s="27">
        <v>31190</v>
      </c>
      <c r="L166" s="28" t="str">
        <f t="shared" si="94"/>
        <v/>
      </c>
      <c r="M166" s="27">
        <v>1830</v>
      </c>
      <c r="N166" s="28" t="str">
        <f t="shared" si="95"/>
        <v/>
      </c>
      <c r="O166" s="29">
        <v>42486</v>
      </c>
      <c r="P166" s="28" t="str">
        <f t="shared" si="96"/>
        <v/>
      </c>
      <c r="Q166" s="27">
        <v>7526</v>
      </c>
      <c r="R166" s="28" t="str">
        <f t="shared" si="97"/>
        <v/>
      </c>
      <c r="S166" s="27">
        <v>6442</v>
      </c>
      <c r="T166" s="28" t="str">
        <f t="shared" si="98"/>
        <v/>
      </c>
      <c r="U166" s="27"/>
      <c r="V166" s="28" t="str">
        <f t="shared" si="99"/>
        <v/>
      </c>
      <c r="W166" s="27">
        <v>836</v>
      </c>
      <c r="X166" s="28" t="str">
        <f t="shared" si="100"/>
        <v/>
      </c>
      <c r="Y166" s="24">
        <f t="shared" si="101"/>
        <v>0</v>
      </c>
      <c r="Z166" s="24">
        <f t="shared" si="102"/>
        <v>0</v>
      </c>
      <c r="AA166" s="24">
        <f t="shared" si="103"/>
        <v>0</v>
      </c>
      <c r="AB166" s="25" t="e">
        <f t="shared" si="104"/>
        <v>#VALUE!</v>
      </c>
      <c r="AC166" s="25" t="e">
        <f t="shared" si="105"/>
        <v>#VALUE!</v>
      </c>
      <c r="AD166" s="25" t="e">
        <f t="shared" si="106"/>
        <v>#VALUE!</v>
      </c>
    </row>
    <row r="167" spans="1:30" x14ac:dyDescent="0.3">
      <c r="A167" s="9" t="s">
        <v>66</v>
      </c>
      <c r="B167" s="33">
        <v>45993</v>
      </c>
      <c r="C167" s="27"/>
      <c r="D167" s="28"/>
      <c r="E167" s="27"/>
      <c r="F167" s="28"/>
      <c r="G167" s="27"/>
      <c r="H167" s="28"/>
      <c r="I167" s="27"/>
      <c r="J167" s="28"/>
      <c r="K167" s="27"/>
      <c r="L167" s="28"/>
      <c r="M167" s="27"/>
      <c r="N167" s="28"/>
      <c r="O167" s="29"/>
      <c r="P167" s="28"/>
      <c r="Q167" s="27"/>
      <c r="R167" s="28"/>
      <c r="S167" s="27"/>
      <c r="T167" s="28"/>
      <c r="U167" s="27"/>
      <c r="V167" s="28"/>
      <c r="W167" s="27"/>
      <c r="X167" s="28"/>
      <c r="Y167" s="24">
        <f t="shared" si="101"/>
        <v>0</v>
      </c>
      <c r="Z167" s="24">
        <f t="shared" si="102"/>
        <v>0</v>
      </c>
      <c r="AA167" s="24">
        <f t="shared" si="103"/>
        <v>0</v>
      </c>
      <c r="AB167" s="25">
        <f t="shared" si="104"/>
        <v>0</v>
      </c>
      <c r="AC167" s="25">
        <f t="shared" si="105"/>
        <v>0</v>
      </c>
      <c r="AD167" s="25">
        <f t="shared" si="106"/>
        <v>0</v>
      </c>
    </row>
    <row r="168" spans="1:30" ht="23.4" x14ac:dyDescent="0.3">
      <c r="A168" s="152" t="s">
        <v>73</v>
      </c>
      <c r="B168" s="153"/>
      <c r="C168" s="21"/>
      <c r="D168" s="22">
        <f>SUM(D136:D167)</f>
        <v>9143</v>
      </c>
      <c r="E168" s="21"/>
      <c r="F168" s="22">
        <f>SUM(F136:F167)</f>
        <v>2493</v>
      </c>
      <c r="G168" s="21"/>
      <c r="H168" s="22">
        <f>SUM(H136:H167)</f>
        <v>538</v>
      </c>
      <c r="I168" s="21"/>
      <c r="J168" s="22">
        <f>SUM(J136:J167)</f>
        <v>266</v>
      </c>
      <c r="K168" s="21"/>
      <c r="L168" s="22">
        <f>SUM(L136:L167)</f>
        <v>5179</v>
      </c>
      <c r="M168" s="21"/>
      <c r="N168" s="22">
        <f>SUM(N136:N167)</f>
        <v>492</v>
      </c>
      <c r="O168" s="23"/>
      <c r="P168" s="22">
        <f>SUM(P136:P167)</f>
        <v>5274</v>
      </c>
      <c r="Q168" s="21"/>
      <c r="R168" s="22">
        <f>SUM(R136:R167)</f>
        <v>1298</v>
      </c>
      <c r="S168" s="21"/>
      <c r="T168" s="22">
        <f>SUM(T136:T167)</f>
        <v>94</v>
      </c>
      <c r="U168" s="21"/>
      <c r="V168" s="22">
        <f>SUM(V136:V167)</f>
        <v>0</v>
      </c>
      <c r="W168" s="21"/>
      <c r="X168" s="22">
        <f>SUM(X136:X167)</f>
        <v>180</v>
      </c>
      <c r="Y168" s="24">
        <f>SUM(F168,H168,J168,L168,N168)</f>
        <v>8968</v>
      </c>
      <c r="Z168" s="24">
        <f>SUM(R168,T168,V168,X168)</f>
        <v>1572</v>
      </c>
      <c r="AA168" s="24">
        <f>SUM(F168,H168,J168,L168,N168,R168,T168,V168,X168)</f>
        <v>10540</v>
      </c>
      <c r="AB168" s="25">
        <f>D168-Y168</f>
        <v>175</v>
      </c>
      <c r="AC168" s="25">
        <f>P168-Z168</f>
        <v>3702</v>
      </c>
      <c r="AD168" s="25">
        <f>(D168+P168)-AA168</f>
        <v>3877</v>
      </c>
    </row>
  </sheetData>
  <mergeCells count="40">
    <mergeCell ref="A168:B168"/>
    <mergeCell ref="A37:B37"/>
    <mergeCell ref="A1:AA1"/>
    <mergeCell ref="A2:A5"/>
    <mergeCell ref="B2:B5"/>
    <mergeCell ref="C2:D2"/>
    <mergeCell ref="E2:N2"/>
    <mergeCell ref="Y2:Y5"/>
    <mergeCell ref="Z2:Z5"/>
    <mergeCell ref="AA2:AA5"/>
    <mergeCell ref="C3:D3"/>
    <mergeCell ref="O2:P2"/>
    <mergeCell ref="Q2:X2"/>
    <mergeCell ref="E3:F3"/>
    <mergeCell ref="G3:H3"/>
    <mergeCell ref="I3:J3"/>
    <mergeCell ref="K3:L3"/>
    <mergeCell ref="C4:D4"/>
    <mergeCell ref="M3:N3"/>
    <mergeCell ref="E4:F4"/>
    <mergeCell ref="G4:H4"/>
    <mergeCell ref="I4:J4"/>
    <mergeCell ref="K4:L4"/>
    <mergeCell ref="M4:N4"/>
    <mergeCell ref="A135:B135"/>
    <mergeCell ref="A102:B102"/>
    <mergeCell ref="AB2:AB5"/>
    <mergeCell ref="AC2:AC5"/>
    <mergeCell ref="AD2:AD5"/>
    <mergeCell ref="O4:P4"/>
    <mergeCell ref="Q4:R4"/>
    <mergeCell ref="S4:T4"/>
    <mergeCell ref="U4:V4"/>
    <mergeCell ref="W4:X4"/>
    <mergeCell ref="O3:P3"/>
    <mergeCell ref="A70:B70"/>
    <mergeCell ref="Q3:R3"/>
    <mergeCell ref="S3:T3"/>
    <mergeCell ref="U3:V3"/>
    <mergeCell ref="W3:X3"/>
  </mergeCells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S168"/>
  <sheetViews>
    <sheetView showGridLines="0" zoomScale="70" zoomScaleNormal="70" workbookViewId="0">
      <pane ySplit="5" topLeftCell="A135" activePane="bottomLeft" state="frozen"/>
      <selection activeCell="J4" sqref="J4:K4"/>
      <selection pane="bottomLeft" activeCell="L172" sqref="L172"/>
    </sheetView>
  </sheetViews>
  <sheetFormatPr defaultRowHeight="14.4" x14ac:dyDescent="0.3"/>
  <cols>
    <col min="1" max="1" width="2.6640625" customWidth="1"/>
    <col min="2" max="2" width="6.44140625" bestFit="1" customWidth="1"/>
    <col min="3" max="3" width="12.109375" bestFit="1" customWidth="1"/>
    <col min="4" max="4" width="11.5546875" style="3" customWidth="1"/>
    <col min="5" max="5" width="12.44140625" style="3" customWidth="1"/>
    <col min="6" max="6" width="7.88671875" style="2" customWidth="1"/>
    <col min="7" max="7" width="10.109375" style="2" customWidth="1"/>
    <col min="8" max="8" width="7.88671875" style="2" customWidth="1"/>
    <col min="9" max="9" width="10.109375" style="2" customWidth="1"/>
    <col min="10" max="10" width="7.88671875" style="2" customWidth="1"/>
    <col min="11" max="11" width="10.109375" style="2" customWidth="1"/>
    <col min="12" max="12" width="7.88671875" style="2" customWidth="1"/>
    <col min="13" max="13" width="8.33203125" style="2" customWidth="1"/>
    <col min="14" max="14" width="11.6640625" style="2" customWidth="1"/>
    <col min="15" max="15" width="10.6640625" style="2" bestFit="1" customWidth="1"/>
    <col min="16" max="16" width="10.44140625" style="2" customWidth="1"/>
    <col min="17" max="17" width="11.6640625" style="2" customWidth="1"/>
    <col min="18" max="18" width="7.88671875" style="2" customWidth="1"/>
    <col min="19" max="19" width="10.109375" style="2" customWidth="1"/>
    <col min="20" max="20" width="11.33203125" style="2" customWidth="1"/>
    <col min="21" max="21" width="12.44140625" style="2" bestFit="1" customWidth="1"/>
    <col min="22" max="22" width="10.109375" style="2" customWidth="1"/>
    <col min="23" max="23" width="11.109375" style="2" customWidth="1"/>
    <col min="24" max="24" width="7.88671875" style="2" customWidth="1"/>
    <col min="25" max="25" width="10.109375" style="2" customWidth="1"/>
    <col min="26" max="26" width="7.88671875" style="2" customWidth="1"/>
    <col min="27" max="27" width="10.109375" style="2" customWidth="1"/>
    <col min="28" max="28" width="9.109375" style="2" customWidth="1"/>
    <col min="29" max="29" width="10.6640625" style="2" bestFit="1" customWidth="1"/>
    <col min="30" max="30" width="9.109375" style="2" customWidth="1"/>
    <col min="31" max="31" width="11.5546875" customWidth="1"/>
    <col min="32" max="32" width="7.88671875" style="2" customWidth="1"/>
    <col min="33" max="33" width="10.109375" style="2" customWidth="1"/>
    <col min="34" max="34" width="7.88671875" style="2" customWidth="1"/>
    <col min="35" max="35" width="10.109375" customWidth="1"/>
    <col min="36" max="36" width="7.88671875" customWidth="1"/>
    <col min="37" max="37" width="10.109375" customWidth="1"/>
    <col min="38" max="38" width="7.88671875" customWidth="1"/>
    <col min="39" max="39" width="10.109375" customWidth="1"/>
    <col min="40" max="40" width="10.6640625" bestFit="1" customWidth="1"/>
    <col min="41" max="41" width="13.6640625" customWidth="1"/>
    <col min="42" max="42" width="10.6640625" customWidth="1"/>
    <col min="43" max="43" width="10.109375" bestFit="1" customWidth="1"/>
    <col min="44" max="44" width="8.33203125" customWidth="1"/>
    <col min="45" max="45" width="9.88671875" customWidth="1"/>
  </cols>
  <sheetData>
    <row r="1" spans="2:45" ht="21" x14ac:dyDescent="0.3">
      <c r="B1" s="172" t="s">
        <v>56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3"/>
      <c r="AP1" s="174"/>
      <c r="AQ1" s="4"/>
      <c r="AR1" s="4"/>
      <c r="AS1" s="4"/>
    </row>
    <row r="2" spans="2:45" s="1" customFormat="1" ht="15.6" customHeight="1" x14ac:dyDescent="0.3">
      <c r="B2" s="154" t="s">
        <v>74</v>
      </c>
      <c r="C2" s="160" t="s">
        <v>0</v>
      </c>
      <c r="D2" s="163" t="s">
        <v>41</v>
      </c>
      <c r="E2" s="164"/>
      <c r="F2" s="163" t="s">
        <v>58</v>
      </c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92" t="s">
        <v>41</v>
      </c>
      <c r="U2" s="192"/>
      <c r="V2" s="163" t="s">
        <v>59</v>
      </c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4"/>
      <c r="AN2" s="154" t="s">
        <v>102</v>
      </c>
      <c r="AO2" s="154" t="s">
        <v>103</v>
      </c>
      <c r="AP2" s="154" t="s">
        <v>42</v>
      </c>
      <c r="AQ2" s="154" t="s">
        <v>76</v>
      </c>
      <c r="AR2" s="154" t="s">
        <v>77</v>
      </c>
      <c r="AS2" s="154" t="s">
        <v>78</v>
      </c>
    </row>
    <row r="3" spans="2:45" ht="15.6" customHeight="1" x14ac:dyDescent="0.3">
      <c r="B3" s="155"/>
      <c r="C3" s="161"/>
      <c r="D3" s="169">
        <v>0</v>
      </c>
      <c r="E3" s="170"/>
      <c r="F3" s="138">
        <v>1</v>
      </c>
      <c r="G3" s="171"/>
      <c r="H3" s="138">
        <v>2</v>
      </c>
      <c r="I3" s="171"/>
      <c r="J3" s="138">
        <v>3</v>
      </c>
      <c r="K3" s="171"/>
      <c r="L3" s="138">
        <v>4</v>
      </c>
      <c r="M3" s="171"/>
      <c r="N3" s="138">
        <v>5</v>
      </c>
      <c r="O3" s="171"/>
      <c r="P3" s="138">
        <v>6</v>
      </c>
      <c r="Q3" s="171"/>
      <c r="R3" s="138">
        <v>7</v>
      </c>
      <c r="S3" s="171"/>
      <c r="T3" s="136">
        <v>0</v>
      </c>
      <c r="U3" s="136"/>
      <c r="V3" s="136">
        <v>1</v>
      </c>
      <c r="W3" s="136"/>
      <c r="X3" s="136">
        <v>2</v>
      </c>
      <c r="Y3" s="136"/>
      <c r="Z3" s="136">
        <v>3</v>
      </c>
      <c r="AA3" s="136"/>
      <c r="AB3" s="136">
        <v>4</v>
      </c>
      <c r="AC3" s="136"/>
      <c r="AD3" s="136">
        <v>5</v>
      </c>
      <c r="AE3" s="136"/>
      <c r="AF3" s="136">
        <v>6</v>
      </c>
      <c r="AG3" s="136"/>
      <c r="AH3" s="136">
        <v>7</v>
      </c>
      <c r="AI3" s="136"/>
      <c r="AJ3" s="136">
        <v>8</v>
      </c>
      <c r="AK3" s="136"/>
      <c r="AL3" s="136">
        <v>9</v>
      </c>
      <c r="AM3" s="136"/>
      <c r="AN3" s="155"/>
      <c r="AO3" s="155"/>
      <c r="AP3" s="155"/>
      <c r="AQ3" s="155"/>
      <c r="AR3" s="155"/>
      <c r="AS3" s="155"/>
    </row>
    <row r="4" spans="2:45" s="20" customFormat="1" ht="41.4" customHeight="1" x14ac:dyDescent="0.3">
      <c r="B4" s="155"/>
      <c r="C4" s="161"/>
      <c r="D4" s="139" t="s">
        <v>55</v>
      </c>
      <c r="E4" s="136"/>
      <c r="F4" s="138" t="s">
        <v>87</v>
      </c>
      <c r="G4" s="171"/>
      <c r="H4" s="138" t="s">
        <v>88</v>
      </c>
      <c r="I4" s="171"/>
      <c r="J4" s="138" t="s">
        <v>89</v>
      </c>
      <c r="K4" s="171"/>
      <c r="L4" s="138" t="s">
        <v>90</v>
      </c>
      <c r="M4" s="171"/>
      <c r="N4" s="136" t="s">
        <v>3</v>
      </c>
      <c r="O4" s="136"/>
      <c r="P4" s="138" t="s">
        <v>33</v>
      </c>
      <c r="Q4" s="171"/>
      <c r="R4" s="136" t="s">
        <v>34</v>
      </c>
      <c r="S4" s="136"/>
      <c r="T4" s="136" t="s">
        <v>83</v>
      </c>
      <c r="U4" s="136"/>
      <c r="V4" s="136" t="s">
        <v>82</v>
      </c>
      <c r="W4" s="136"/>
      <c r="X4" s="136" t="s">
        <v>91</v>
      </c>
      <c r="Y4" s="136"/>
      <c r="Z4" s="138" t="s">
        <v>92</v>
      </c>
      <c r="AA4" s="171"/>
      <c r="AB4" s="136" t="s">
        <v>62</v>
      </c>
      <c r="AC4" s="136"/>
      <c r="AD4" s="138" t="s">
        <v>63</v>
      </c>
      <c r="AE4" s="168"/>
      <c r="AF4" s="136" t="s">
        <v>64</v>
      </c>
      <c r="AG4" s="136"/>
      <c r="AH4" s="138" t="s">
        <v>65</v>
      </c>
      <c r="AI4" s="168"/>
      <c r="AJ4" s="138" t="s">
        <v>85</v>
      </c>
      <c r="AK4" s="168"/>
      <c r="AL4" s="138" t="s">
        <v>86</v>
      </c>
      <c r="AM4" s="168"/>
      <c r="AN4" s="155"/>
      <c r="AO4" s="155"/>
      <c r="AP4" s="155"/>
      <c r="AQ4" s="155"/>
      <c r="AR4" s="155"/>
      <c r="AS4" s="155"/>
    </row>
    <row r="5" spans="2:45" s="20" customFormat="1" ht="43.2" x14ac:dyDescent="0.3">
      <c r="B5" s="156"/>
      <c r="C5" s="162"/>
      <c r="D5" s="5" t="s">
        <v>37</v>
      </c>
      <c r="E5" s="6" t="s">
        <v>38</v>
      </c>
      <c r="F5" s="5" t="s">
        <v>37</v>
      </c>
      <c r="G5" s="6" t="s">
        <v>38</v>
      </c>
      <c r="H5" s="5" t="s">
        <v>37</v>
      </c>
      <c r="I5" s="6" t="s">
        <v>38</v>
      </c>
      <c r="J5" s="5" t="s">
        <v>37</v>
      </c>
      <c r="K5" s="6" t="s">
        <v>38</v>
      </c>
      <c r="L5" s="5" t="s">
        <v>37</v>
      </c>
      <c r="M5" s="6" t="s">
        <v>38</v>
      </c>
      <c r="N5" s="5" t="s">
        <v>37</v>
      </c>
      <c r="O5" s="6" t="s">
        <v>38</v>
      </c>
      <c r="P5" s="5" t="s">
        <v>37</v>
      </c>
      <c r="Q5" s="6" t="s">
        <v>38</v>
      </c>
      <c r="R5" s="5" t="s">
        <v>37</v>
      </c>
      <c r="S5" s="6" t="s">
        <v>38</v>
      </c>
      <c r="T5" s="13" t="s">
        <v>37</v>
      </c>
      <c r="U5" s="6" t="s">
        <v>38</v>
      </c>
      <c r="V5" s="5" t="s">
        <v>37</v>
      </c>
      <c r="W5" s="6" t="s">
        <v>38</v>
      </c>
      <c r="X5" s="5" t="s">
        <v>37</v>
      </c>
      <c r="Y5" s="6" t="s">
        <v>38</v>
      </c>
      <c r="Z5" s="5" t="s">
        <v>37</v>
      </c>
      <c r="AA5" s="6" t="s">
        <v>38</v>
      </c>
      <c r="AB5" s="5" t="s">
        <v>37</v>
      </c>
      <c r="AC5" s="6" t="s">
        <v>38</v>
      </c>
      <c r="AD5" s="5" t="s">
        <v>37</v>
      </c>
      <c r="AE5" s="6" t="s">
        <v>38</v>
      </c>
      <c r="AF5" s="5" t="s">
        <v>37</v>
      </c>
      <c r="AG5" s="6" t="s">
        <v>38</v>
      </c>
      <c r="AH5" s="5" t="s">
        <v>37</v>
      </c>
      <c r="AI5" s="6" t="s">
        <v>38</v>
      </c>
      <c r="AJ5" s="5" t="s">
        <v>37</v>
      </c>
      <c r="AK5" s="6" t="s">
        <v>38</v>
      </c>
      <c r="AL5" s="5" t="s">
        <v>37</v>
      </c>
      <c r="AM5" s="6" t="s">
        <v>38</v>
      </c>
      <c r="AN5" s="156"/>
      <c r="AO5" s="156"/>
      <c r="AP5" s="156"/>
      <c r="AQ5" s="156"/>
      <c r="AR5" s="156"/>
      <c r="AS5" s="156"/>
    </row>
    <row r="6" spans="2:45" s="20" customFormat="1" ht="14.1" hidden="1" customHeight="1" x14ac:dyDescent="0.3">
      <c r="B6" s="9" t="s">
        <v>66</v>
      </c>
      <c r="C6" s="10">
        <v>45839</v>
      </c>
      <c r="D6" s="13">
        <v>17011</v>
      </c>
      <c r="E6" s="6">
        <f t="shared" ref="E6:E35" si="0">IF(D7&lt;&gt;"",D7-D6,"")</f>
        <v>1001</v>
      </c>
      <c r="F6" s="5"/>
      <c r="G6" s="6"/>
      <c r="H6" s="5"/>
      <c r="I6" s="6"/>
      <c r="J6" s="5"/>
      <c r="K6" s="6"/>
      <c r="L6" s="5"/>
      <c r="M6" s="6"/>
      <c r="N6" s="5">
        <v>6113</v>
      </c>
      <c r="O6" s="28">
        <f t="shared" ref="O6:O35" si="1">IF(N7&lt;&gt;"",N7-N6,"")</f>
        <v>122</v>
      </c>
      <c r="P6" s="5">
        <v>181</v>
      </c>
      <c r="Q6" s="28">
        <f t="shared" ref="Q6:Q35" si="2">IF(P7&lt;&gt;"",P7-P6,"")</f>
        <v>18</v>
      </c>
      <c r="R6" s="5"/>
      <c r="S6" s="6"/>
      <c r="T6" s="13">
        <v>625</v>
      </c>
      <c r="U6" s="28">
        <f t="shared" ref="U6:U35" si="3">IF(T7&lt;&gt;"",T7-T6,"")</f>
        <v>310</v>
      </c>
      <c r="V6" s="5"/>
      <c r="W6" s="6"/>
      <c r="X6" s="5"/>
      <c r="Y6" s="6"/>
      <c r="Z6" s="5"/>
      <c r="AA6" s="6"/>
      <c r="AB6" s="5"/>
      <c r="AC6" s="6"/>
      <c r="AD6" s="5"/>
      <c r="AE6" s="6"/>
      <c r="AF6" s="5"/>
      <c r="AG6" s="6"/>
      <c r="AH6" s="5"/>
      <c r="AI6" s="6"/>
      <c r="AJ6" s="5"/>
      <c r="AK6" s="6"/>
      <c r="AL6" s="5"/>
      <c r="AM6" s="6"/>
      <c r="AN6" s="24">
        <f t="shared" ref="AN6:AN36" si="4">SUM(G6,I6,K6,M6,O6,Q6,S6)</f>
        <v>140</v>
      </c>
      <c r="AO6" s="24">
        <f t="shared" ref="AO6:AO36" si="5">SUM(W6,Y6,AA6,AE6,AG6,AK6,AM6)</f>
        <v>0</v>
      </c>
      <c r="AP6" s="24">
        <f t="shared" ref="AP6:AP36" si="6">SUM(G6,I6,K6,M6,O6,Q6,S6,W6,Y6,AA6,AC6,AE6,AG6,AI6,AK6,AM6)</f>
        <v>140</v>
      </c>
      <c r="AQ6" s="25">
        <f t="shared" ref="AQ6:AQ36" si="7">E6-AN6</f>
        <v>861</v>
      </c>
      <c r="AR6" s="25">
        <f t="shared" ref="AR6:AR36" si="8">U6-AO6</f>
        <v>310</v>
      </c>
      <c r="AS6" s="25">
        <f t="shared" ref="AS6:AS36" si="9">(E6+U6)-AP6</f>
        <v>1171</v>
      </c>
    </row>
    <row r="7" spans="2:45" s="20" customFormat="1" ht="14.1" hidden="1" customHeight="1" x14ac:dyDescent="0.3">
      <c r="B7" s="9" t="s">
        <v>67</v>
      </c>
      <c r="C7" s="10">
        <v>45840</v>
      </c>
      <c r="D7" s="13">
        <v>18012</v>
      </c>
      <c r="E7" s="6">
        <f t="shared" si="0"/>
        <v>1052</v>
      </c>
      <c r="F7" s="5"/>
      <c r="G7" s="6"/>
      <c r="H7" s="5"/>
      <c r="I7" s="6"/>
      <c r="J7" s="5"/>
      <c r="K7" s="6"/>
      <c r="L7" s="5"/>
      <c r="M7" s="6"/>
      <c r="N7" s="5">
        <v>6235</v>
      </c>
      <c r="O7" s="28">
        <f t="shared" si="1"/>
        <v>120</v>
      </c>
      <c r="P7" s="5">
        <v>199</v>
      </c>
      <c r="Q7" s="28">
        <f t="shared" si="2"/>
        <v>11</v>
      </c>
      <c r="R7" s="5"/>
      <c r="S7" s="6"/>
      <c r="T7" s="13">
        <v>935</v>
      </c>
      <c r="U7" s="28">
        <f t="shared" si="3"/>
        <v>246</v>
      </c>
      <c r="V7" s="5"/>
      <c r="W7" s="6"/>
      <c r="X7" s="5"/>
      <c r="Y7" s="6"/>
      <c r="Z7" s="5"/>
      <c r="AA7" s="6"/>
      <c r="AB7" s="5"/>
      <c r="AC7" s="6"/>
      <c r="AD7" s="5"/>
      <c r="AE7" s="6"/>
      <c r="AF7" s="5"/>
      <c r="AG7" s="6"/>
      <c r="AH7" s="5"/>
      <c r="AI7" s="6"/>
      <c r="AJ7" s="5"/>
      <c r="AK7" s="6"/>
      <c r="AL7" s="5"/>
      <c r="AM7" s="6"/>
      <c r="AN7" s="24">
        <f t="shared" si="4"/>
        <v>131</v>
      </c>
      <c r="AO7" s="24">
        <f t="shared" si="5"/>
        <v>0</v>
      </c>
      <c r="AP7" s="24">
        <f t="shared" si="6"/>
        <v>131</v>
      </c>
      <c r="AQ7" s="25">
        <f t="shared" si="7"/>
        <v>921</v>
      </c>
      <c r="AR7" s="25">
        <f t="shared" si="8"/>
        <v>246</v>
      </c>
      <c r="AS7" s="25">
        <f t="shared" si="9"/>
        <v>1167</v>
      </c>
    </row>
    <row r="8" spans="2:45" s="20" customFormat="1" ht="14.1" hidden="1" customHeight="1" x14ac:dyDescent="0.3">
      <c r="B8" s="9" t="s">
        <v>68</v>
      </c>
      <c r="C8" s="10">
        <v>45841</v>
      </c>
      <c r="D8" s="13">
        <v>19064</v>
      </c>
      <c r="E8" s="6">
        <f t="shared" si="0"/>
        <v>954</v>
      </c>
      <c r="F8" s="5"/>
      <c r="G8" s="6"/>
      <c r="H8" s="5"/>
      <c r="I8" s="6"/>
      <c r="J8" s="5"/>
      <c r="K8" s="6"/>
      <c r="L8" s="5"/>
      <c r="M8" s="6"/>
      <c r="N8" s="5">
        <v>6355</v>
      </c>
      <c r="O8" s="28">
        <f t="shared" si="1"/>
        <v>194</v>
      </c>
      <c r="P8" s="5">
        <v>210</v>
      </c>
      <c r="Q8" s="28">
        <f t="shared" si="2"/>
        <v>11</v>
      </c>
      <c r="R8" s="5"/>
      <c r="S8" s="6"/>
      <c r="T8" s="13">
        <v>1181</v>
      </c>
      <c r="U8" s="28">
        <f t="shared" si="3"/>
        <v>372</v>
      </c>
      <c r="V8" s="5"/>
      <c r="W8" s="6"/>
      <c r="X8" s="5"/>
      <c r="Y8" s="6"/>
      <c r="Z8" s="5"/>
      <c r="AA8" s="6"/>
      <c r="AB8" s="5"/>
      <c r="AC8" s="6"/>
      <c r="AD8" s="5"/>
      <c r="AE8" s="6"/>
      <c r="AF8" s="5"/>
      <c r="AG8" s="6"/>
      <c r="AH8" s="5"/>
      <c r="AI8" s="6"/>
      <c r="AJ8" s="5"/>
      <c r="AK8" s="6"/>
      <c r="AL8" s="5"/>
      <c r="AM8" s="6"/>
      <c r="AN8" s="24">
        <f t="shared" si="4"/>
        <v>205</v>
      </c>
      <c r="AO8" s="24">
        <f t="shared" si="5"/>
        <v>0</v>
      </c>
      <c r="AP8" s="24">
        <f t="shared" si="6"/>
        <v>205</v>
      </c>
      <c r="AQ8" s="25">
        <f t="shared" si="7"/>
        <v>749</v>
      </c>
      <c r="AR8" s="25">
        <f t="shared" si="8"/>
        <v>372</v>
      </c>
      <c r="AS8" s="25">
        <f t="shared" si="9"/>
        <v>1121</v>
      </c>
    </row>
    <row r="9" spans="2:45" s="20" customFormat="1" ht="14.1" hidden="1" customHeight="1" x14ac:dyDescent="0.3">
      <c r="B9" s="9" t="s">
        <v>69</v>
      </c>
      <c r="C9" s="10">
        <v>45842</v>
      </c>
      <c r="D9" s="13">
        <v>20018</v>
      </c>
      <c r="E9" s="6">
        <f t="shared" si="0"/>
        <v>894</v>
      </c>
      <c r="F9" s="5"/>
      <c r="G9" s="6"/>
      <c r="H9" s="5"/>
      <c r="I9" s="6"/>
      <c r="J9" s="5"/>
      <c r="K9" s="6"/>
      <c r="L9" s="5"/>
      <c r="M9" s="6"/>
      <c r="N9" s="5">
        <v>6549</v>
      </c>
      <c r="O9" s="28">
        <f t="shared" si="1"/>
        <v>238</v>
      </c>
      <c r="P9" s="5">
        <v>221</v>
      </c>
      <c r="Q9" s="28">
        <f t="shared" si="2"/>
        <v>6</v>
      </c>
      <c r="R9" s="5"/>
      <c r="S9" s="6"/>
      <c r="T9" s="13">
        <v>1553</v>
      </c>
      <c r="U9" s="28">
        <f t="shared" si="3"/>
        <v>251</v>
      </c>
      <c r="V9" s="5"/>
      <c r="W9" s="6"/>
      <c r="X9" s="5"/>
      <c r="Y9" s="6"/>
      <c r="Z9" s="5"/>
      <c r="AA9" s="6"/>
      <c r="AB9" s="5"/>
      <c r="AC9" s="6"/>
      <c r="AD9" s="5"/>
      <c r="AE9" s="6"/>
      <c r="AF9" s="5"/>
      <c r="AG9" s="6"/>
      <c r="AH9" s="5"/>
      <c r="AI9" s="6"/>
      <c r="AJ9" s="5"/>
      <c r="AK9" s="6"/>
      <c r="AL9" s="5"/>
      <c r="AM9" s="6"/>
      <c r="AN9" s="24">
        <f t="shared" si="4"/>
        <v>244</v>
      </c>
      <c r="AO9" s="24">
        <f t="shared" si="5"/>
        <v>0</v>
      </c>
      <c r="AP9" s="24">
        <f t="shared" si="6"/>
        <v>244</v>
      </c>
      <c r="AQ9" s="25">
        <f t="shared" si="7"/>
        <v>650</v>
      </c>
      <c r="AR9" s="25">
        <f t="shared" si="8"/>
        <v>251</v>
      </c>
      <c r="AS9" s="25">
        <f t="shared" si="9"/>
        <v>901</v>
      </c>
    </row>
    <row r="10" spans="2:45" s="20" customFormat="1" ht="14.1" hidden="1" customHeight="1" x14ac:dyDescent="0.3">
      <c r="B10" s="9" t="s">
        <v>70</v>
      </c>
      <c r="C10" s="10">
        <v>45843</v>
      </c>
      <c r="D10" s="13">
        <v>20912</v>
      </c>
      <c r="E10" s="6">
        <f t="shared" si="0"/>
        <v>555</v>
      </c>
      <c r="F10" s="5"/>
      <c r="G10" s="6"/>
      <c r="H10" s="5"/>
      <c r="I10" s="6"/>
      <c r="J10" s="5"/>
      <c r="K10" s="6"/>
      <c r="L10" s="5"/>
      <c r="M10" s="6"/>
      <c r="N10" s="5">
        <v>6787</v>
      </c>
      <c r="O10" s="28">
        <f t="shared" si="1"/>
        <v>154</v>
      </c>
      <c r="P10" s="5">
        <v>227</v>
      </c>
      <c r="Q10" s="28">
        <f t="shared" si="2"/>
        <v>7</v>
      </c>
      <c r="R10" s="5"/>
      <c r="S10" s="6"/>
      <c r="T10" s="13">
        <v>1804</v>
      </c>
      <c r="U10" s="28">
        <f t="shared" si="3"/>
        <v>192</v>
      </c>
      <c r="V10" s="5"/>
      <c r="W10" s="6"/>
      <c r="X10" s="5"/>
      <c r="Y10" s="6"/>
      <c r="Z10" s="5"/>
      <c r="AA10" s="6"/>
      <c r="AB10" s="5"/>
      <c r="AC10" s="6"/>
      <c r="AD10" s="5"/>
      <c r="AE10" s="6"/>
      <c r="AF10" s="5"/>
      <c r="AG10" s="6"/>
      <c r="AH10" s="5"/>
      <c r="AI10" s="6"/>
      <c r="AJ10" s="5"/>
      <c r="AK10" s="6"/>
      <c r="AL10" s="5"/>
      <c r="AM10" s="6"/>
      <c r="AN10" s="24">
        <f t="shared" si="4"/>
        <v>161</v>
      </c>
      <c r="AO10" s="24">
        <f t="shared" si="5"/>
        <v>0</v>
      </c>
      <c r="AP10" s="24">
        <f t="shared" si="6"/>
        <v>161</v>
      </c>
      <c r="AQ10" s="25">
        <f t="shared" si="7"/>
        <v>394</v>
      </c>
      <c r="AR10" s="25">
        <f t="shared" si="8"/>
        <v>192</v>
      </c>
      <c r="AS10" s="25">
        <f t="shared" si="9"/>
        <v>586</v>
      </c>
    </row>
    <row r="11" spans="2:45" s="20" customFormat="1" ht="14.1" hidden="1" customHeight="1" x14ac:dyDescent="0.3">
      <c r="B11" s="9" t="s">
        <v>71</v>
      </c>
      <c r="C11" s="10">
        <v>45844</v>
      </c>
      <c r="D11" s="13">
        <v>21467</v>
      </c>
      <c r="E11" s="6">
        <f t="shared" si="0"/>
        <v>0</v>
      </c>
      <c r="F11" s="5"/>
      <c r="G11" s="6"/>
      <c r="H11" s="5"/>
      <c r="I11" s="6"/>
      <c r="J11" s="5"/>
      <c r="K11" s="6"/>
      <c r="L11" s="5"/>
      <c r="M11" s="6"/>
      <c r="N11" s="5">
        <v>6941</v>
      </c>
      <c r="O11" s="28">
        <f t="shared" si="1"/>
        <v>0</v>
      </c>
      <c r="P11" s="5">
        <v>234</v>
      </c>
      <c r="Q11" s="28">
        <f t="shared" si="2"/>
        <v>0</v>
      </c>
      <c r="R11" s="5"/>
      <c r="S11" s="6"/>
      <c r="T11" s="13">
        <v>1996</v>
      </c>
      <c r="U11" s="28">
        <f t="shared" si="3"/>
        <v>0</v>
      </c>
      <c r="V11" s="5"/>
      <c r="W11" s="6"/>
      <c r="X11" s="5"/>
      <c r="Y11" s="6"/>
      <c r="Z11" s="5"/>
      <c r="AA11" s="6"/>
      <c r="AB11" s="5"/>
      <c r="AC11" s="6"/>
      <c r="AD11" s="5"/>
      <c r="AE11" s="6"/>
      <c r="AF11" s="5"/>
      <c r="AG11" s="6"/>
      <c r="AH11" s="5"/>
      <c r="AI11" s="6"/>
      <c r="AJ11" s="5"/>
      <c r="AK11" s="6"/>
      <c r="AL11" s="5"/>
      <c r="AM11" s="6"/>
      <c r="AN11" s="24">
        <f t="shared" si="4"/>
        <v>0</v>
      </c>
      <c r="AO11" s="24">
        <f t="shared" si="5"/>
        <v>0</v>
      </c>
      <c r="AP11" s="24">
        <f t="shared" si="6"/>
        <v>0</v>
      </c>
      <c r="AQ11" s="25">
        <f t="shared" si="7"/>
        <v>0</v>
      </c>
      <c r="AR11" s="25">
        <f t="shared" si="8"/>
        <v>0</v>
      </c>
      <c r="AS11" s="25">
        <f t="shared" si="9"/>
        <v>0</v>
      </c>
    </row>
    <row r="12" spans="2:45" s="20" customFormat="1" ht="14.1" hidden="1" customHeight="1" x14ac:dyDescent="0.3">
      <c r="B12" s="9" t="s">
        <v>72</v>
      </c>
      <c r="C12" s="10">
        <v>45845</v>
      </c>
      <c r="D12" s="13">
        <v>21467</v>
      </c>
      <c r="E12" s="6">
        <f t="shared" si="0"/>
        <v>1345</v>
      </c>
      <c r="F12" s="5"/>
      <c r="G12" s="6"/>
      <c r="H12" s="5"/>
      <c r="I12" s="6"/>
      <c r="J12" s="5"/>
      <c r="K12" s="6"/>
      <c r="L12" s="5"/>
      <c r="M12" s="6"/>
      <c r="N12" s="5">
        <v>6941</v>
      </c>
      <c r="O12" s="28">
        <f t="shared" si="1"/>
        <v>269</v>
      </c>
      <c r="P12" s="5">
        <v>234</v>
      </c>
      <c r="Q12" s="28">
        <f t="shared" si="2"/>
        <v>13</v>
      </c>
      <c r="R12" s="5"/>
      <c r="S12" s="6"/>
      <c r="T12" s="13">
        <v>1996</v>
      </c>
      <c r="U12" s="28">
        <f t="shared" si="3"/>
        <v>422</v>
      </c>
      <c r="V12" s="5"/>
      <c r="W12" s="6"/>
      <c r="X12" s="5"/>
      <c r="Y12" s="6"/>
      <c r="Z12" s="5"/>
      <c r="AA12" s="6"/>
      <c r="AB12" s="5"/>
      <c r="AC12" s="6"/>
      <c r="AD12" s="5"/>
      <c r="AE12" s="6"/>
      <c r="AF12" s="5"/>
      <c r="AG12" s="6"/>
      <c r="AH12" s="5"/>
      <c r="AI12" s="6"/>
      <c r="AJ12" s="5"/>
      <c r="AK12" s="6"/>
      <c r="AL12" s="5"/>
      <c r="AM12" s="6"/>
      <c r="AN12" s="24">
        <f t="shared" si="4"/>
        <v>282</v>
      </c>
      <c r="AO12" s="24">
        <f t="shared" si="5"/>
        <v>0</v>
      </c>
      <c r="AP12" s="24">
        <f t="shared" si="6"/>
        <v>282</v>
      </c>
      <c r="AQ12" s="25">
        <f t="shared" si="7"/>
        <v>1063</v>
      </c>
      <c r="AR12" s="25">
        <f t="shared" si="8"/>
        <v>422</v>
      </c>
      <c r="AS12" s="25">
        <f t="shared" si="9"/>
        <v>1485</v>
      </c>
    </row>
    <row r="13" spans="2:45" s="20" customFormat="1" ht="14.1" hidden="1" customHeight="1" x14ac:dyDescent="0.3">
      <c r="B13" s="9" t="s">
        <v>66</v>
      </c>
      <c r="C13" s="10">
        <v>45846</v>
      </c>
      <c r="D13" s="13">
        <v>22812</v>
      </c>
      <c r="E13" s="6">
        <f t="shared" si="0"/>
        <v>1320</v>
      </c>
      <c r="F13" s="5"/>
      <c r="G13" s="6"/>
      <c r="H13" s="5"/>
      <c r="I13" s="6"/>
      <c r="J13" s="5"/>
      <c r="K13" s="6"/>
      <c r="L13" s="5"/>
      <c r="M13" s="6"/>
      <c r="N13" s="5">
        <v>7210</v>
      </c>
      <c r="O13" s="28">
        <f t="shared" si="1"/>
        <v>235</v>
      </c>
      <c r="P13" s="5">
        <v>247</v>
      </c>
      <c r="Q13" s="28">
        <f t="shared" si="2"/>
        <v>13</v>
      </c>
      <c r="R13" s="5"/>
      <c r="S13" s="6"/>
      <c r="T13" s="13">
        <v>2418</v>
      </c>
      <c r="U13" s="28">
        <f t="shared" si="3"/>
        <v>398</v>
      </c>
      <c r="V13" s="5"/>
      <c r="W13" s="6"/>
      <c r="X13" s="5"/>
      <c r="Y13" s="6"/>
      <c r="Z13" s="5"/>
      <c r="AA13" s="6"/>
      <c r="AB13" s="5"/>
      <c r="AC13" s="6"/>
      <c r="AD13" s="5"/>
      <c r="AE13" s="6"/>
      <c r="AF13" s="5"/>
      <c r="AG13" s="6"/>
      <c r="AH13" s="5"/>
      <c r="AI13" s="6"/>
      <c r="AJ13" s="5"/>
      <c r="AK13" s="6"/>
      <c r="AL13" s="5"/>
      <c r="AM13" s="6"/>
      <c r="AN13" s="24">
        <f t="shared" si="4"/>
        <v>248</v>
      </c>
      <c r="AO13" s="24">
        <f t="shared" si="5"/>
        <v>0</v>
      </c>
      <c r="AP13" s="24">
        <f t="shared" si="6"/>
        <v>248</v>
      </c>
      <c r="AQ13" s="25">
        <f t="shared" si="7"/>
        <v>1072</v>
      </c>
      <c r="AR13" s="25">
        <f t="shared" si="8"/>
        <v>398</v>
      </c>
      <c r="AS13" s="25">
        <f t="shared" si="9"/>
        <v>1470</v>
      </c>
    </row>
    <row r="14" spans="2:45" s="20" customFormat="1" ht="14.1" hidden="1" customHeight="1" x14ac:dyDescent="0.3">
      <c r="B14" s="9" t="s">
        <v>67</v>
      </c>
      <c r="C14" s="10">
        <v>45847</v>
      </c>
      <c r="D14" s="13">
        <v>24132</v>
      </c>
      <c r="E14" s="6">
        <f t="shared" si="0"/>
        <v>1159</v>
      </c>
      <c r="F14" s="5"/>
      <c r="G14" s="6"/>
      <c r="H14" s="5"/>
      <c r="I14" s="6"/>
      <c r="J14" s="5"/>
      <c r="K14" s="6"/>
      <c r="L14" s="5"/>
      <c r="M14" s="6"/>
      <c r="N14" s="5">
        <v>7445</v>
      </c>
      <c r="O14" s="28">
        <f t="shared" si="1"/>
        <v>164</v>
      </c>
      <c r="P14" s="5">
        <v>260</v>
      </c>
      <c r="Q14" s="28">
        <f t="shared" si="2"/>
        <v>13</v>
      </c>
      <c r="R14" s="5"/>
      <c r="S14" s="6"/>
      <c r="T14" s="13">
        <v>2816</v>
      </c>
      <c r="U14" s="28">
        <f t="shared" si="3"/>
        <v>320</v>
      </c>
      <c r="V14" s="5"/>
      <c r="W14" s="6"/>
      <c r="X14" s="5"/>
      <c r="Y14" s="6"/>
      <c r="Z14" s="5"/>
      <c r="AA14" s="6"/>
      <c r="AB14" s="5"/>
      <c r="AC14" s="6"/>
      <c r="AD14" s="5"/>
      <c r="AE14" s="6"/>
      <c r="AF14" s="5"/>
      <c r="AG14" s="6"/>
      <c r="AH14" s="5"/>
      <c r="AI14" s="6"/>
      <c r="AJ14" s="5"/>
      <c r="AK14" s="6"/>
      <c r="AL14" s="5"/>
      <c r="AM14" s="6"/>
      <c r="AN14" s="24">
        <f t="shared" si="4"/>
        <v>177</v>
      </c>
      <c r="AO14" s="24">
        <f t="shared" si="5"/>
        <v>0</v>
      </c>
      <c r="AP14" s="24">
        <f t="shared" si="6"/>
        <v>177</v>
      </c>
      <c r="AQ14" s="25">
        <f t="shared" si="7"/>
        <v>982</v>
      </c>
      <c r="AR14" s="25">
        <f t="shared" si="8"/>
        <v>320</v>
      </c>
      <c r="AS14" s="25">
        <f t="shared" si="9"/>
        <v>1302</v>
      </c>
    </row>
    <row r="15" spans="2:45" s="20" customFormat="1" ht="14.1" hidden="1" customHeight="1" x14ac:dyDescent="0.3">
      <c r="B15" s="9" t="s">
        <v>68</v>
      </c>
      <c r="C15" s="10">
        <v>45848</v>
      </c>
      <c r="D15" s="13">
        <v>25291</v>
      </c>
      <c r="E15" s="6">
        <f t="shared" si="0"/>
        <v>1212</v>
      </c>
      <c r="F15" s="5"/>
      <c r="G15" s="6"/>
      <c r="H15" s="5"/>
      <c r="I15" s="6"/>
      <c r="J15" s="5"/>
      <c r="K15" s="6"/>
      <c r="L15" s="5"/>
      <c r="M15" s="6"/>
      <c r="N15" s="5">
        <v>7609</v>
      </c>
      <c r="O15" s="28">
        <f t="shared" si="1"/>
        <v>221</v>
      </c>
      <c r="P15" s="5">
        <v>273</v>
      </c>
      <c r="Q15" s="28">
        <f t="shared" si="2"/>
        <v>13</v>
      </c>
      <c r="R15" s="5"/>
      <c r="S15" s="6"/>
      <c r="T15" s="13">
        <v>3136</v>
      </c>
      <c r="U15" s="28">
        <f t="shared" si="3"/>
        <v>408</v>
      </c>
      <c r="V15" s="5"/>
      <c r="W15" s="6"/>
      <c r="X15" s="5"/>
      <c r="Y15" s="6"/>
      <c r="Z15" s="5"/>
      <c r="AA15" s="6"/>
      <c r="AB15" s="5"/>
      <c r="AC15" s="6"/>
      <c r="AD15" s="5"/>
      <c r="AE15" s="6"/>
      <c r="AF15" s="5"/>
      <c r="AG15" s="6"/>
      <c r="AH15" s="5"/>
      <c r="AI15" s="6"/>
      <c r="AJ15" s="5"/>
      <c r="AK15" s="6"/>
      <c r="AL15" s="5"/>
      <c r="AM15" s="6"/>
      <c r="AN15" s="24">
        <f t="shared" si="4"/>
        <v>234</v>
      </c>
      <c r="AO15" s="24">
        <f t="shared" si="5"/>
        <v>0</v>
      </c>
      <c r="AP15" s="24">
        <f t="shared" si="6"/>
        <v>234</v>
      </c>
      <c r="AQ15" s="25">
        <f t="shared" si="7"/>
        <v>978</v>
      </c>
      <c r="AR15" s="25">
        <f t="shared" si="8"/>
        <v>408</v>
      </c>
      <c r="AS15" s="25">
        <f t="shared" si="9"/>
        <v>1386</v>
      </c>
    </row>
    <row r="16" spans="2:45" s="20" customFormat="1" ht="14.1" hidden="1" customHeight="1" x14ac:dyDescent="0.3">
      <c r="B16" s="9" t="s">
        <v>69</v>
      </c>
      <c r="C16" s="10">
        <v>45849</v>
      </c>
      <c r="D16" s="13">
        <v>26503</v>
      </c>
      <c r="E16" s="6">
        <f t="shared" si="0"/>
        <v>1358</v>
      </c>
      <c r="F16" s="5"/>
      <c r="G16" s="6"/>
      <c r="H16" s="5"/>
      <c r="I16" s="6"/>
      <c r="J16" s="5"/>
      <c r="K16" s="6"/>
      <c r="L16" s="5"/>
      <c r="M16" s="6"/>
      <c r="N16" s="5">
        <v>7830</v>
      </c>
      <c r="O16" s="28">
        <f t="shared" si="1"/>
        <v>247</v>
      </c>
      <c r="P16" s="5">
        <v>286</v>
      </c>
      <c r="Q16" s="28">
        <f t="shared" si="2"/>
        <v>14</v>
      </c>
      <c r="R16" s="5"/>
      <c r="S16" s="6"/>
      <c r="T16" s="13">
        <v>3544</v>
      </c>
      <c r="U16" s="28">
        <f t="shared" si="3"/>
        <v>418</v>
      </c>
      <c r="V16" s="5"/>
      <c r="W16" s="6"/>
      <c r="X16" s="5"/>
      <c r="Y16" s="6"/>
      <c r="Z16" s="5"/>
      <c r="AA16" s="6"/>
      <c r="AB16" s="5"/>
      <c r="AC16" s="6"/>
      <c r="AD16" s="5"/>
      <c r="AE16" s="6"/>
      <c r="AF16" s="5"/>
      <c r="AG16" s="6"/>
      <c r="AH16" s="5"/>
      <c r="AI16" s="6"/>
      <c r="AJ16" s="5"/>
      <c r="AK16" s="6"/>
      <c r="AL16" s="5"/>
      <c r="AM16" s="6"/>
      <c r="AN16" s="24">
        <f t="shared" si="4"/>
        <v>261</v>
      </c>
      <c r="AO16" s="24">
        <f t="shared" si="5"/>
        <v>0</v>
      </c>
      <c r="AP16" s="24">
        <f t="shared" si="6"/>
        <v>261</v>
      </c>
      <c r="AQ16" s="25">
        <f t="shared" si="7"/>
        <v>1097</v>
      </c>
      <c r="AR16" s="25">
        <f t="shared" si="8"/>
        <v>418</v>
      </c>
      <c r="AS16" s="25">
        <f t="shared" si="9"/>
        <v>1515</v>
      </c>
    </row>
    <row r="17" spans="2:45" s="20" customFormat="1" ht="14.1" hidden="1" customHeight="1" x14ac:dyDescent="0.3">
      <c r="B17" s="9" t="s">
        <v>70</v>
      </c>
      <c r="C17" s="10">
        <v>45850</v>
      </c>
      <c r="D17" s="13">
        <v>27861</v>
      </c>
      <c r="E17" s="6">
        <f t="shared" si="0"/>
        <v>1653</v>
      </c>
      <c r="F17" s="5"/>
      <c r="G17" s="6"/>
      <c r="H17" s="5"/>
      <c r="I17" s="6"/>
      <c r="J17" s="5"/>
      <c r="K17" s="6"/>
      <c r="L17" s="5"/>
      <c r="M17" s="6"/>
      <c r="N17" s="5">
        <v>8077</v>
      </c>
      <c r="O17" s="28">
        <f t="shared" si="1"/>
        <v>387</v>
      </c>
      <c r="P17" s="5">
        <v>300</v>
      </c>
      <c r="Q17" s="28">
        <f t="shared" si="2"/>
        <v>12</v>
      </c>
      <c r="R17" s="5"/>
      <c r="S17" s="6"/>
      <c r="T17" s="13">
        <v>3962</v>
      </c>
      <c r="U17" s="28">
        <f t="shared" si="3"/>
        <v>649</v>
      </c>
      <c r="V17" s="5"/>
      <c r="W17" s="6"/>
      <c r="X17" s="5"/>
      <c r="Y17" s="6"/>
      <c r="Z17" s="5"/>
      <c r="AA17" s="6"/>
      <c r="AB17" s="5"/>
      <c r="AC17" s="6"/>
      <c r="AD17" s="5"/>
      <c r="AE17" s="6"/>
      <c r="AF17" s="5"/>
      <c r="AG17" s="6"/>
      <c r="AH17" s="5"/>
      <c r="AI17" s="6"/>
      <c r="AJ17" s="5"/>
      <c r="AK17" s="6"/>
      <c r="AL17" s="5"/>
      <c r="AM17" s="6"/>
      <c r="AN17" s="24">
        <f t="shared" si="4"/>
        <v>399</v>
      </c>
      <c r="AO17" s="24">
        <f t="shared" si="5"/>
        <v>0</v>
      </c>
      <c r="AP17" s="24">
        <f t="shared" si="6"/>
        <v>399</v>
      </c>
      <c r="AQ17" s="25">
        <f t="shared" si="7"/>
        <v>1254</v>
      </c>
      <c r="AR17" s="25">
        <f t="shared" si="8"/>
        <v>649</v>
      </c>
      <c r="AS17" s="25">
        <f t="shared" si="9"/>
        <v>1903</v>
      </c>
    </row>
    <row r="18" spans="2:45" s="20" customFormat="1" ht="14.1" hidden="1" customHeight="1" x14ac:dyDescent="0.3">
      <c r="B18" s="9" t="s">
        <v>71</v>
      </c>
      <c r="C18" s="10">
        <v>45851</v>
      </c>
      <c r="D18" s="13">
        <v>29514</v>
      </c>
      <c r="E18" s="6">
        <f t="shared" si="0"/>
        <v>0</v>
      </c>
      <c r="F18" s="5"/>
      <c r="G18" s="6"/>
      <c r="H18" s="5"/>
      <c r="I18" s="6"/>
      <c r="J18" s="5"/>
      <c r="K18" s="6"/>
      <c r="L18" s="5"/>
      <c r="M18" s="6"/>
      <c r="N18" s="5">
        <v>8464</v>
      </c>
      <c r="O18" s="28">
        <f t="shared" si="1"/>
        <v>0</v>
      </c>
      <c r="P18" s="5">
        <v>312</v>
      </c>
      <c r="Q18" s="28">
        <f t="shared" si="2"/>
        <v>0</v>
      </c>
      <c r="R18" s="5"/>
      <c r="S18" s="6"/>
      <c r="T18" s="13">
        <v>4611</v>
      </c>
      <c r="U18" s="28">
        <f t="shared" si="3"/>
        <v>0</v>
      </c>
      <c r="V18" s="5"/>
      <c r="W18" s="6"/>
      <c r="X18" s="5"/>
      <c r="Y18" s="6"/>
      <c r="Z18" s="5"/>
      <c r="AA18" s="6"/>
      <c r="AB18" s="5"/>
      <c r="AC18" s="6"/>
      <c r="AD18" s="5"/>
      <c r="AE18" s="6"/>
      <c r="AF18" s="5"/>
      <c r="AG18" s="6"/>
      <c r="AH18" s="5"/>
      <c r="AI18" s="6"/>
      <c r="AJ18" s="5"/>
      <c r="AK18" s="6"/>
      <c r="AL18" s="5"/>
      <c r="AM18" s="6"/>
      <c r="AN18" s="24">
        <f t="shared" si="4"/>
        <v>0</v>
      </c>
      <c r="AO18" s="24">
        <f t="shared" si="5"/>
        <v>0</v>
      </c>
      <c r="AP18" s="24">
        <f t="shared" si="6"/>
        <v>0</v>
      </c>
      <c r="AQ18" s="25">
        <f t="shared" si="7"/>
        <v>0</v>
      </c>
      <c r="AR18" s="25">
        <f t="shared" si="8"/>
        <v>0</v>
      </c>
      <c r="AS18" s="25">
        <f t="shared" si="9"/>
        <v>0</v>
      </c>
    </row>
    <row r="19" spans="2:45" s="20" customFormat="1" ht="14.1" hidden="1" customHeight="1" x14ac:dyDescent="0.3">
      <c r="B19" s="9" t="s">
        <v>72</v>
      </c>
      <c r="C19" s="10">
        <v>45852</v>
      </c>
      <c r="D19" s="13">
        <v>29514</v>
      </c>
      <c r="E19" s="6">
        <f t="shared" si="0"/>
        <v>1237</v>
      </c>
      <c r="F19" s="5"/>
      <c r="G19" s="6"/>
      <c r="H19" s="5"/>
      <c r="I19" s="6"/>
      <c r="J19" s="5"/>
      <c r="K19" s="6"/>
      <c r="L19" s="5"/>
      <c r="M19" s="6"/>
      <c r="N19" s="5">
        <v>8464</v>
      </c>
      <c r="O19" s="28">
        <f t="shared" si="1"/>
        <v>201</v>
      </c>
      <c r="P19" s="5">
        <v>312</v>
      </c>
      <c r="Q19" s="28">
        <f t="shared" si="2"/>
        <v>17</v>
      </c>
      <c r="R19" s="5"/>
      <c r="S19" s="6"/>
      <c r="T19" s="13">
        <v>4611</v>
      </c>
      <c r="U19" s="28">
        <f t="shared" si="3"/>
        <v>335</v>
      </c>
      <c r="V19" s="5"/>
      <c r="W19" s="6"/>
      <c r="X19" s="5"/>
      <c r="Y19" s="6"/>
      <c r="Z19" s="5"/>
      <c r="AA19" s="6"/>
      <c r="AB19" s="5"/>
      <c r="AC19" s="6"/>
      <c r="AD19" s="5"/>
      <c r="AE19" s="6"/>
      <c r="AF19" s="5"/>
      <c r="AG19" s="6"/>
      <c r="AH19" s="5"/>
      <c r="AI19" s="6"/>
      <c r="AJ19" s="5"/>
      <c r="AK19" s="6"/>
      <c r="AL19" s="5"/>
      <c r="AM19" s="6"/>
      <c r="AN19" s="24">
        <f t="shared" si="4"/>
        <v>218</v>
      </c>
      <c r="AO19" s="24">
        <f t="shared" si="5"/>
        <v>0</v>
      </c>
      <c r="AP19" s="24">
        <f t="shared" si="6"/>
        <v>218</v>
      </c>
      <c r="AQ19" s="25">
        <f t="shared" si="7"/>
        <v>1019</v>
      </c>
      <c r="AR19" s="25">
        <f t="shared" si="8"/>
        <v>335</v>
      </c>
      <c r="AS19" s="25">
        <f t="shared" si="9"/>
        <v>1354</v>
      </c>
    </row>
    <row r="20" spans="2:45" s="20" customFormat="1" ht="14.1" hidden="1" customHeight="1" x14ac:dyDescent="0.3">
      <c r="B20" s="9" t="s">
        <v>66</v>
      </c>
      <c r="C20" s="10">
        <v>45853</v>
      </c>
      <c r="D20" s="13">
        <v>30751</v>
      </c>
      <c r="E20" s="6">
        <f t="shared" si="0"/>
        <v>1236</v>
      </c>
      <c r="F20" s="5"/>
      <c r="G20" s="6"/>
      <c r="H20" s="5"/>
      <c r="I20" s="6"/>
      <c r="J20" s="5"/>
      <c r="K20" s="6"/>
      <c r="L20" s="5"/>
      <c r="M20" s="6"/>
      <c r="N20" s="5">
        <v>8665</v>
      </c>
      <c r="O20" s="28">
        <f t="shared" si="1"/>
        <v>203</v>
      </c>
      <c r="P20" s="5">
        <v>329</v>
      </c>
      <c r="Q20" s="28">
        <f t="shared" si="2"/>
        <v>14</v>
      </c>
      <c r="R20" s="5"/>
      <c r="S20" s="6"/>
      <c r="T20" s="13">
        <v>4946</v>
      </c>
      <c r="U20" s="28">
        <f t="shared" si="3"/>
        <v>428</v>
      </c>
      <c r="V20" s="5"/>
      <c r="W20" s="6"/>
      <c r="X20" s="5"/>
      <c r="Y20" s="6"/>
      <c r="Z20" s="5"/>
      <c r="AA20" s="6"/>
      <c r="AB20" s="5"/>
      <c r="AC20" s="6"/>
      <c r="AD20" s="5"/>
      <c r="AE20" s="6"/>
      <c r="AF20" s="5"/>
      <c r="AG20" s="6"/>
      <c r="AH20" s="5"/>
      <c r="AI20" s="6"/>
      <c r="AJ20" s="5"/>
      <c r="AK20" s="6"/>
      <c r="AL20" s="5"/>
      <c r="AM20" s="6"/>
      <c r="AN20" s="24">
        <f t="shared" si="4"/>
        <v>217</v>
      </c>
      <c r="AO20" s="24">
        <f t="shared" si="5"/>
        <v>0</v>
      </c>
      <c r="AP20" s="24">
        <f t="shared" si="6"/>
        <v>217</v>
      </c>
      <c r="AQ20" s="25">
        <f t="shared" si="7"/>
        <v>1019</v>
      </c>
      <c r="AR20" s="25">
        <f t="shared" si="8"/>
        <v>428</v>
      </c>
      <c r="AS20" s="25">
        <f t="shared" si="9"/>
        <v>1447</v>
      </c>
    </row>
    <row r="21" spans="2:45" s="20" customFormat="1" ht="14.1" hidden="1" customHeight="1" x14ac:dyDescent="0.3">
      <c r="B21" s="9" t="s">
        <v>67</v>
      </c>
      <c r="C21" s="10">
        <v>45854</v>
      </c>
      <c r="D21" s="13">
        <v>31987</v>
      </c>
      <c r="E21" s="6">
        <f t="shared" si="0"/>
        <v>1673</v>
      </c>
      <c r="F21" s="5"/>
      <c r="G21" s="6"/>
      <c r="H21" s="5"/>
      <c r="I21" s="6"/>
      <c r="J21" s="5"/>
      <c r="K21" s="6"/>
      <c r="L21" s="5"/>
      <c r="M21" s="6"/>
      <c r="N21" s="5">
        <v>8868</v>
      </c>
      <c r="O21" s="28">
        <f t="shared" si="1"/>
        <v>187</v>
      </c>
      <c r="P21" s="5">
        <v>343</v>
      </c>
      <c r="Q21" s="28">
        <f t="shared" si="2"/>
        <v>14</v>
      </c>
      <c r="R21" s="5"/>
      <c r="S21" s="6"/>
      <c r="T21" s="13">
        <v>5374</v>
      </c>
      <c r="U21" s="28">
        <f t="shared" si="3"/>
        <v>541</v>
      </c>
      <c r="V21" s="5"/>
      <c r="W21" s="6"/>
      <c r="X21" s="5"/>
      <c r="Y21" s="6"/>
      <c r="Z21" s="5"/>
      <c r="AA21" s="6"/>
      <c r="AB21" s="5"/>
      <c r="AC21" s="6"/>
      <c r="AD21" s="5"/>
      <c r="AE21" s="6"/>
      <c r="AF21" s="5"/>
      <c r="AG21" s="6"/>
      <c r="AH21" s="5"/>
      <c r="AI21" s="6"/>
      <c r="AJ21" s="5"/>
      <c r="AK21" s="6"/>
      <c r="AL21" s="5"/>
      <c r="AM21" s="6"/>
      <c r="AN21" s="24">
        <f t="shared" si="4"/>
        <v>201</v>
      </c>
      <c r="AO21" s="24">
        <f t="shared" si="5"/>
        <v>0</v>
      </c>
      <c r="AP21" s="24">
        <f t="shared" si="6"/>
        <v>201</v>
      </c>
      <c r="AQ21" s="25">
        <f t="shared" si="7"/>
        <v>1472</v>
      </c>
      <c r="AR21" s="25">
        <f t="shared" si="8"/>
        <v>541</v>
      </c>
      <c r="AS21" s="25">
        <f t="shared" si="9"/>
        <v>2013</v>
      </c>
    </row>
    <row r="22" spans="2:45" s="20" customFormat="1" ht="14.1" hidden="1" customHeight="1" x14ac:dyDescent="0.3">
      <c r="B22" s="9" t="s">
        <v>68</v>
      </c>
      <c r="C22" s="10">
        <v>45855</v>
      </c>
      <c r="D22" s="13">
        <v>33660</v>
      </c>
      <c r="E22" s="6">
        <f t="shared" si="0"/>
        <v>1420</v>
      </c>
      <c r="F22" s="5"/>
      <c r="G22" s="6"/>
      <c r="H22" s="5"/>
      <c r="I22" s="6"/>
      <c r="J22" s="5"/>
      <c r="K22" s="6"/>
      <c r="L22" s="5"/>
      <c r="M22" s="6"/>
      <c r="N22" s="5">
        <v>9055</v>
      </c>
      <c r="O22" s="28">
        <f t="shared" si="1"/>
        <v>206</v>
      </c>
      <c r="P22" s="5">
        <v>357</v>
      </c>
      <c r="Q22" s="28">
        <f t="shared" si="2"/>
        <v>13</v>
      </c>
      <c r="R22" s="5"/>
      <c r="S22" s="6"/>
      <c r="T22" s="13">
        <v>5915</v>
      </c>
      <c r="U22" s="28">
        <f t="shared" si="3"/>
        <v>584</v>
      </c>
      <c r="V22" s="5"/>
      <c r="W22" s="6"/>
      <c r="X22" s="5"/>
      <c r="Y22" s="6"/>
      <c r="Z22" s="5"/>
      <c r="AA22" s="6"/>
      <c r="AB22" s="5"/>
      <c r="AC22" s="6"/>
      <c r="AD22" s="5"/>
      <c r="AE22" s="6"/>
      <c r="AF22" s="5"/>
      <c r="AG22" s="6"/>
      <c r="AH22" s="5"/>
      <c r="AI22" s="6"/>
      <c r="AJ22" s="5"/>
      <c r="AK22" s="6"/>
      <c r="AL22" s="5"/>
      <c r="AM22" s="6"/>
      <c r="AN22" s="24">
        <f t="shared" si="4"/>
        <v>219</v>
      </c>
      <c r="AO22" s="24">
        <f t="shared" si="5"/>
        <v>0</v>
      </c>
      <c r="AP22" s="24">
        <f t="shared" si="6"/>
        <v>219</v>
      </c>
      <c r="AQ22" s="25">
        <f t="shared" si="7"/>
        <v>1201</v>
      </c>
      <c r="AR22" s="25">
        <f t="shared" si="8"/>
        <v>584</v>
      </c>
      <c r="AS22" s="25">
        <f t="shared" si="9"/>
        <v>1785</v>
      </c>
    </row>
    <row r="23" spans="2:45" s="20" customFormat="1" ht="14.1" hidden="1" customHeight="1" x14ac:dyDescent="0.3">
      <c r="B23" s="9" t="s">
        <v>69</v>
      </c>
      <c r="C23" s="10">
        <v>45856</v>
      </c>
      <c r="D23" s="13">
        <v>35080</v>
      </c>
      <c r="E23" s="6">
        <f t="shared" si="0"/>
        <v>1331</v>
      </c>
      <c r="F23" s="5"/>
      <c r="G23" s="6"/>
      <c r="H23" s="5"/>
      <c r="I23" s="6"/>
      <c r="J23" s="5"/>
      <c r="K23" s="6"/>
      <c r="L23" s="5"/>
      <c r="M23" s="6"/>
      <c r="N23" s="5">
        <v>9261</v>
      </c>
      <c r="O23" s="28">
        <f t="shared" si="1"/>
        <v>221</v>
      </c>
      <c r="P23" s="5">
        <v>370</v>
      </c>
      <c r="Q23" s="28">
        <f t="shared" si="2"/>
        <v>14</v>
      </c>
      <c r="R23" s="5"/>
      <c r="S23" s="6"/>
      <c r="T23" s="13">
        <v>6499</v>
      </c>
      <c r="U23" s="28">
        <f t="shared" si="3"/>
        <v>479</v>
      </c>
      <c r="V23" s="5"/>
      <c r="W23" s="6"/>
      <c r="X23" s="5"/>
      <c r="Y23" s="6"/>
      <c r="Z23" s="5"/>
      <c r="AA23" s="6"/>
      <c r="AB23" s="5"/>
      <c r="AC23" s="6"/>
      <c r="AD23" s="5"/>
      <c r="AE23" s="6"/>
      <c r="AF23" s="5"/>
      <c r="AG23" s="6"/>
      <c r="AH23" s="5"/>
      <c r="AI23" s="6"/>
      <c r="AJ23" s="5"/>
      <c r="AK23" s="6"/>
      <c r="AL23" s="5"/>
      <c r="AM23" s="6"/>
      <c r="AN23" s="24">
        <f t="shared" si="4"/>
        <v>235</v>
      </c>
      <c r="AO23" s="24">
        <f t="shared" si="5"/>
        <v>0</v>
      </c>
      <c r="AP23" s="24">
        <f t="shared" si="6"/>
        <v>235</v>
      </c>
      <c r="AQ23" s="25">
        <f t="shared" si="7"/>
        <v>1096</v>
      </c>
      <c r="AR23" s="25">
        <f t="shared" si="8"/>
        <v>479</v>
      </c>
      <c r="AS23" s="25">
        <f t="shared" si="9"/>
        <v>1575</v>
      </c>
    </row>
    <row r="24" spans="2:45" s="20" customFormat="1" ht="14.1" hidden="1" customHeight="1" x14ac:dyDescent="0.3">
      <c r="B24" s="9" t="s">
        <v>70</v>
      </c>
      <c r="C24" s="10">
        <v>45857</v>
      </c>
      <c r="D24" s="13">
        <v>36411</v>
      </c>
      <c r="E24" s="6">
        <f t="shared" si="0"/>
        <v>1579</v>
      </c>
      <c r="F24" s="5"/>
      <c r="G24" s="6"/>
      <c r="H24" s="5"/>
      <c r="I24" s="6"/>
      <c r="J24" s="5"/>
      <c r="K24" s="6"/>
      <c r="L24" s="5"/>
      <c r="M24" s="6"/>
      <c r="N24" s="5">
        <v>9482</v>
      </c>
      <c r="O24" s="28">
        <f t="shared" si="1"/>
        <v>401</v>
      </c>
      <c r="P24" s="5">
        <v>384</v>
      </c>
      <c r="Q24" s="28">
        <f t="shared" si="2"/>
        <v>19</v>
      </c>
      <c r="R24" s="5"/>
      <c r="S24" s="6"/>
      <c r="T24" s="13">
        <v>6978</v>
      </c>
      <c r="U24" s="28">
        <f t="shared" si="3"/>
        <v>790</v>
      </c>
      <c r="V24" s="5"/>
      <c r="W24" s="6"/>
      <c r="X24" s="5"/>
      <c r="Y24" s="6"/>
      <c r="Z24" s="5"/>
      <c r="AA24" s="6"/>
      <c r="AB24" s="5"/>
      <c r="AC24" s="6"/>
      <c r="AD24" s="5"/>
      <c r="AE24" s="6"/>
      <c r="AF24" s="5"/>
      <c r="AG24" s="6"/>
      <c r="AH24" s="5"/>
      <c r="AI24" s="6"/>
      <c r="AJ24" s="5"/>
      <c r="AK24" s="6"/>
      <c r="AL24" s="5"/>
      <c r="AM24" s="6"/>
      <c r="AN24" s="24">
        <f t="shared" si="4"/>
        <v>420</v>
      </c>
      <c r="AO24" s="24">
        <f t="shared" si="5"/>
        <v>0</v>
      </c>
      <c r="AP24" s="24">
        <f t="shared" si="6"/>
        <v>420</v>
      </c>
      <c r="AQ24" s="25">
        <f t="shared" si="7"/>
        <v>1159</v>
      </c>
      <c r="AR24" s="25">
        <f t="shared" si="8"/>
        <v>790</v>
      </c>
      <c r="AS24" s="25">
        <f t="shared" si="9"/>
        <v>1949</v>
      </c>
    </row>
    <row r="25" spans="2:45" s="20" customFormat="1" ht="14.1" hidden="1" customHeight="1" x14ac:dyDescent="0.3">
      <c r="B25" s="9" t="s">
        <v>71</v>
      </c>
      <c r="C25" s="10">
        <v>45858</v>
      </c>
      <c r="D25" s="13">
        <v>37990</v>
      </c>
      <c r="E25" s="6">
        <f t="shared" si="0"/>
        <v>0</v>
      </c>
      <c r="F25" s="5"/>
      <c r="G25" s="6"/>
      <c r="H25" s="5"/>
      <c r="I25" s="6"/>
      <c r="J25" s="5"/>
      <c r="K25" s="6"/>
      <c r="L25" s="5"/>
      <c r="M25" s="6"/>
      <c r="N25" s="5">
        <v>9883</v>
      </c>
      <c r="O25" s="28">
        <f t="shared" si="1"/>
        <v>0</v>
      </c>
      <c r="P25" s="5">
        <v>403</v>
      </c>
      <c r="Q25" s="28">
        <f t="shared" si="2"/>
        <v>0</v>
      </c>
      <c r="R25" s="5"/>
      <c r="S25" s="6"/>
      <c r="T25" s="13">
        <v>7768</v>
      </c>
      <c r="U25" s="28">
        <f t="shared" si="3"/>
        <v>0</v>
      </c>
      <c r="V25" s="5"/>
      <c r="W25" s="6"/>
      <c r="X25" s="5"/>
      <c r="Y25" s="6"/>
      <c r="Z25" s="5"/>
      <c r="AA25" s="6"/>
      <c r="AB25" s="5"/>
      <c r="AC25" s="6"/>
      <c r="AD25" s="5"/>
      <c r="AE25" s="6"/>
      <c r="AF25" s="5"/>
      <c r="AG25" s="6"/>
      <c r="AH25" s="5"/>
      <c r="AI25" s="6"/>
      <c r="AJ25" s="5"/>
      <c r="AK25" s="6"/>
      <c r="AL25" s="5"/>
      <c r="AM25" s="6"/>
      <c r="AN25" s="24">
        <f t="shared" si="4"/>
        <v>0</v>
      </c>
      <c r="AO25" s="24">
        <f t="shared" si="5"/>
        <v>0</v>
      </c>
      <c r="AP25" s="24">
        <f t="shared" si="6"/>
        <v>0</v>
      </c>
      <c r="AQ25" s="25">
        <f t="shared" si="7"/>
        <v>0</v>
      </c>
      <c r="AR25" s="25">
        <f t="shared" si="8"/>
        <v>0</v>
      </c>
      <c r="AS25" s="25">
        <f t="shared" si="9"/>
        <v>0</v>
      </c>
    </row>
    <row r="26" spans="2:45" s="20" customFormat="1" ht="14.1" hidden="1" customHeight="1" x14ac:dyDescent="0.3">
      <c r="B26" s="9" t="s">
        <v>72</v>
      </c>
      <c r="C26" s="10">
        <v>45859</v>
      </c>
      <c r="D26" s="13">
        <v>37990</v>
      </c>
      <c r="E26" s="6">
        <f t="shared" si="0"/>
        <v>1464</v>
      </c>
      <c r="F26" s="5"/>
      <c r="G26" s="6"/>
      <c r="H26" s="5"/>
      <c r="I26" s="6"/>
      <c r="J26" s="5"/>
      <c r="K26" s="6"/>
      <c r="L26" s="5"/>
      <c r="M26" s="6"/>
      <c r="N26" s="5">
        <v>9883</v>
      </c>
      <c r="O26" s="28">
        <f t="shared" si="1"/>
        <v>290</v>
      </c>
      <c r="P26" s="5">
        <v>403</v>
      </c>
      <c r="Q26" s="28">
        <f t="shared" si="2"/>
        <v>11</v>
      </c>
      <c r="R26" s="5"/>
      <c r="S26" s="6"/>
      <c r="T26" s="13">
        <v>7768</v>
      </c>
      <c r="U26" s="28">
        <f t="shared" si="3"/>
        <v>694</v>
      </c>
      <c r="V26" s="5"/>
      <c r="W26" s="6"/>
      <c r="X26" s="5"/>
      <c r="Y26" s="6"/>
      <c r="Z26" s="5"/>
      <c r="AA26" s="6"/>
      <c r="AB26" s="5"/>
      <c r="AC26" s="6"/>
      <c r="AD26" s="5"/>
      <c r="AE26" s="6"/>
      <c r="AF26" s="5"/>
      <c r="AG26" s="6"/>
      <c r="AH26" s="5"/>
      <c r="AI26" s="6"/>
      <c r="AJ26" s="5"/>
      <c r="AK26" s="6"/>
      <c r="AL26" s="5"/>
      <c r="AM26" s="6"/>
      <c r="AN26" s="24">
        <f t="shared" si="4"/>
        <v>301</v>
      </c>
      <c r="AO26" s="24">
        <f t="shared" si="5"/>
        <v>0</v>
      </c>
      <c r="AP26" s="24">
        <f t="shared" si="6"/>
        <v>301</v>
      </c>
      <c r="AQ26" s="25">
        <f t="shared" si="7"/>
        <v>1163</v>
      </c>
      <c r="AR26" s="25">
        <f t="shared" si="8"/>
        <v>694</v>
      </c>
      <c r="AS26" s="25">
        <f t="shared" si="9"/>
        <v>1857</v>
      </c>
    </row>
    <row r="27" spans="2:45" s="20" customFormat="1" ht="14.1" hidden="1" customHeight="1" x14ac:dyDescent="0.3">
      <c r="B27" s="9" t="s">
        <v>66</v>
      </c>
      <c r="C27" s="10">
        <v>45860</v>
      </c>
      <c r="D27" s="13">
        <v>39454</v>
      </c>
      <c r="E27" s="6">
        <f t="shared" si="0"/>
        <v>1438</v>
      </c>
      <c r="F27" s="5"/>
      <c r="G27" s="6"/>
      <c r="H27" s="5"/>
      <c r="I27" s="6"/>
      <c r="J27" s="5"/>
      <c r="K27" s="6"/>
      <c r="L27" s="5"/>
      <c r="M27" s="6"/>
      <c r="N27" s="5">
        <v>10173</v>
      </c>
      <c r="O27" s="28">
        <f t="shared" si="1"/>
        <v>290</v>
      </c>
      <c r="P27" s="5">
        <v>414</v>
      </c>
      <c r="Q27" s="28">
        <f t="shared" si="2"/>
        <v>13</v>
      </c>
      <c r="R27" s="5"/>
      <c r="S27" s="6"/>
      <c r="T27" s="13">
        <v>8462</v>
      </c>
      <c r="U27" s="28">
        <f t="shared" si="3"/>
        <v>649</v>
      </c>
      <c r="V27" s="5"/>
      <c r="W27" s="6"/>
      <c r="X27" s="5"/>
      <c r="Y27" s="6"/>
      <c r="Z27" s="5"/>
      <c r="AA27" s="6"/>
      <c r="AB27" s="5"/>
      <c r="AC27" s="6"/>
      <c r="AD27" s="5"/>
      <c r="AE27" s="6"/>
      <c r="AF27" s="5"/>
      <c r="AG27" s="6"/>
      <c r="AH27" s="5"/>
      <c r="AI27" s="6"/>
      <c r="AJ27" s="5"/>
      <c r="AK27" s="6"/>
      <c r="AL27" s="5"/>
      <c r="AM27" s="6"/>
      <c r="AN27" s="24">
        <f t="shared" si="4"/>
        <v>303</v>
      </c>
      <c r="AO27" s="24">
        <f t="shared" si="5"/>
        <v>0</v>
      </c>
      <c r="AP27" s="24">
        <f t="shared" si="6"/>
        <v>303</v>
      </c>
      <c r="AQ27" s="25">
        <f t="shared" si="7"/>
        <v>1135</v>
      </c>
      <c r="AR27" s="25">
        <f t="shared" si="8"/>
        <v>649</v>
      </c>
      <c r="AS27" s="25">
        <f t="shared" si="9"/>
        <v>1784</v>
      </c>
    </row>
    <row r="28" spans="2:45" s="20" customFormat="1" ht="14.1" hidden="1" customHeight="1" x14ac:dyDescent="0.3">
      <c r="B28" s="9" t="s">
        <v>67</v>
      </c>
      <c r="C28" s="10">
        <v>45861</v>
      </c>
      <c r="D28" s="13">
        <v>40892</v>
      </c>
      <c r="E28" s="6">
        <f t="shared" si="0"/>
        <v>1141</v>
      </c>
      <c r="F28" s="5"/>
      <c r="G28" s="6"/>
      <c r="H28" s="5"/>
      <c r="I28" s="6"/>
      <c r="J28" s="5"/>
      <c r="K28" s="6"/>
      <c r="L28" s="5"/>
      <c r="M28" s="6"/>
      <c r="N28" s="5">
        <v>10463</v>
      </c>
      <c r="O28" s="28">
        <f t="shared" si="1"/>
        <v>279</v>
      </c>
      <c r="P28" s="5">
        <v>427</v>
      </c>
      <c r="Q28" s="28">
        <f t="shared" si="2"/>
        <v>13</v>
      </c>
      <c r="R28" s="5"/>
      <c r="S28" s="6"/>
      <c r="T28" s="13">
        <v>9111</v>
      </c>
      <c r="U28" s="28">
        <f t="shared" si="3"/>
        <v>601</v>
      </c>
      <c r="V28" s="5"/>
      <c r="W28" s="6"/>
      <c r="X28" s="5"/>
      <c r="Y28" s="6"/>
      <c r="Z28" s="5"/>
      <c r="AA28" s="6"/>
      <c r="AB28" s="5"/>
      <c r="AC28" s="6"/>
      <c r="AD28" s="5"/>
      <c r="AE28" s="6"/>
      <c r="AF28" s="5"/>
      <c r="AG28" s="6"/>
      <c r="AH28" s="5"/>
      <c r="AI28" s="6"/>
      <c r="AJ28" s="5"/>
      <c r="AK28" s="6"/>
      <c r="AL28" s="5"/>
      <c r="AM28" s="6"/>
      <c r="AN28" s="24">
        <f t="shared" si="4"/>
        <v>292</v>
      </c>
      <c r="AO28" s="24">
        <f t="shared" si="5"/>
        <v>0</v>
      </c>
      <c r="AP28" s="24">
        <f t="shared" si="6"/>
        <v>292</v>
      </c>
      <c r="AQ28" s="25">
        <f t="shared" si="7"/>
        <v>849</v>
      </c>
      <c r="AR28" s="25">
        <f t="shared" si="8"/>
        <v>601</v>
      </c>
      <c r="AS28" s="25">
        <f t="shared" si="9"/>
        <v>1450</v>
      </c>
    </row>
    <row r="29" spans="2:45" s="20" customFormat="1" ht="14.1" hidden="1" customHeight="1" x14ac:dyDescent="0.3">
      <c r="B29" s="9" t="s">
        <v>68</v>
      </c>
      <c r="C29" s="10">
        <v>45862</v>
      </c>
      <c r="D29" s="13">
        <v>42033</v>
      </c>
      <c r="E29" s="6">
        <f t="shared" si="0"/>
        <v>1335</v>
      </c>
      <c r="F29" s="5"/>
      <c r="G29" s="6"/>
      <c r="H29" s="5"/>
      <c r="I29" s="6"/>
      <c r="J29" s="5"/>
      <c r="K29" s="6"/>
      <c r="L29" s="5"/>
      <c r="M29" s="6"/>
      <c r="N29" s="5">
        <v>10742</v>
      </c>
      <c r="O29" s="28">
        <f t="shared" si="1"/>
        <v>286</v>
      </c>
      <c r="P29" s="5">
        <v>440</v>
      </c>
      <c r="Q29" s="28">
        <f t="shared" si="2"/>
        <v>13</v>
      </c>
      <c r="R29" s="5"/>
      <c r="S29" s="6"/>
      <c r="T29" s="13">
        <v>9712</v>
      </c>
      <c r="U29" s="28">
        <f t="shared" si="3"/>
        <v>647</v>
      </c>
      <c r="V29" s="5"/>
      <c r="W29" s="6"/>
      <c r="X29" s="5"/>
      <c r="Y29" s="6"/>
      <c r="Z29" s="5"/>
      <c r="AA29" s="6"/>
      <c r="AB29" s="5"/>
      <c r="AC29" s="6"/>
      <c r="AD29" s="5"/>
      <c r="AE29" s="6"/>
      <c r="AF29" s="5"/>
      <c r="AG29" s="6"/>
      <c r="AH29" s="5"/>
      <c r="AI29" s="6"/>
      <c r="AJ29" s="5"/>
      <c r="AK29" s="6"/>
      <c r="AL29" s="5"/>
      <c r="AM29" s="6"/>
      <c r="AN29" s="24">
        <f t="shared" si="4"/>
        <v>299</v>
      </c>
      <c r="AO29" s="24">
        <f t="shared" si="5"/>
        <v>0</v>
      </c>
      <c r="AP29" s="24">
        <f t="shared" si="6"/>
        <v>299</v>
      </c>
      <c r="AQ29" s="25">
        <f t="shared" si="7"/>
        <v>1036</v>
      </c>
      <c r="AR29" s="25">
        <f t="shared" si="8"/>
        <v>647</v>
      </c>
      <c r="AS29" s="25">
        <f t="shared" si="9"/>
        <v>1683</v>
      </c>
    </row>
    <row r="30" spans="2:45" s="20" customFormat="1" ht="14.1" hidden="1" customHeight="1" x14ac:dyDescent="0.3">
      <c r="B30" s="9" t="s">
        <v>69</v>
      </c>
      <c r="C30" s="10">
        <v>45863</v>
      </c>
      <c r="D30" s="13">
        <v>43368</v>
      </c>
      <c r="E30" s="6">
        <f t="shared" si="0"/>
        <v>1012</v>
      </c>
      <c r="F30" s="5"/>
      <c r="G30" s="6"/>
      <c r="H30" s="5"/>
      <c r="I30" s="6"/>
      <c r="J30" s="5"/>
      <c r="K30" s="6"/>
      <c r="L30" s="5"/>
      <c r="M30" s="6"/>
      <c r="N30" s="5">
        <v>11028</v>
      </c>
      <c r="O30" s="28">
        <f t="shared" si="1"/>
        <v>277</v>
      </c>
      <c r="P30" s="5">
        <v>453</v>
      </c>
      <c r="Q30" s="28">
        <f t="shared" si="2"/>
        <v>13</v>
      </c>
      <c r="R30" s="5"/>
      <c r="S30" s="6"/>
      <c r="T30" s="13">
        <v>10359</v>
      </c>
      <c r="U30" s="28">
        <f t="shared" si="3"/>
        <v>647</v>
      </c>
      <c r="V30" s="5"/>
      <c r="W30" s="6"/>
      <c r="X30" s="5"/>
      <c r="Y30" s="6"/>
      <c r="Z30" s="5"/>
      <c r="AA30" s="6"/>
      <c r="AB30" s="5"/>
      <c r="AC30" s="6"/>
      <c r="AD30" s="5"/>
      <c r="AE30" s="6"/>
      <c r="AF30" s="5"/>
      <c r="AG30" s="6"/>
      <c r="AH30" s="5"/>
      <c r="AI30" s="6"/>
      <c r="AJ30" s="5"/>
      <c r="AK30" s="6"/>
      <c r="AL30" s="5"/>
      <c r="AM30" s="6"/>
      <c r="AN30" s="24">
        <f t="shared" si="4"/>
        <v>290</v>
      </c>
      <c r="AO30" s="24">
        <f t="shared" si="5"/>
        <v>0</v>
      </c>
      <c r="AP30" s="24">
        <f t="shared" si="6"/>
        <v>290</v>
      </c>
      <c r="AQ30" s="25">
        <f t="shared" si="7"/>
        <v>722</v>
      </c>
      <c r="AR30" s="25">
        <f t="shared" si="8"/>
        <v>647</v>
      </c>
      <c r="AS30" s="25">
        <f t="shared" si="9"/>
        <v>1369</v>
      </c>
    </row>
    <row r="31" spans="2:45" s="20" customFormat="1" ht="14.1" hidden="1" customHeight="1" x14ac:dyDescent="0.3">
      <c r="B31" s="9" t="s">
        <v>70</v>
      </c>
      <c r="C31" s="10">
        <v>45864</v>
      </c>
      <c r="D31" s="13">
        <v>44380</v>
      </c>
      <c r="E31" s="6">
        <f t="shared" si="0"/>
        <v>1107</v>
      </c>
      <c r="F31" s="5"/>
      <c r="G31" s="6"/>
      <c r="H31" s="5"/>
      <c r="I31" s="6"/>
      <c r="J31" s="5"/>
      <c r="K31" s="6"/>
      <c r="L31" s="5"/>
      <c r="M31" s="6"/>
      <c r="N31" s="5">
        <v>11305</v>
      </c>
      <c r="O31" s="28">
        <f t="shared" si="1"/>
        <v>301</v>
      </c>
      <c r="P31" s="5">
        <v>466</v>
      </c>
      <c r="Q31" s="28">
        <f t="shared" si="2"/>
        <v>80</v>
      </c>
      <c r="R31" s="5"/>
      <c r="S31" s="6"/>
      <c r="T31" s="13">
        <v>11006</v>
      </c>
      <c r="U31" s="28">
        <f t="shared" si="3"/>
        <v>981</v>
      </c>
      <c r="V31" s="5"/>
      <c r="W31" s="6"/>
      <c r="X31" s="5"/>
      <c r="Y31" s="6"/>
      <c r="Z31" s="5"/>
      <c r="AA31" s="6"/>
      <c r="AB31" s="5"/>
      <c r="AC31" s="6"/>
      <c r="AD31" s="5"/>
      <c r="AE31" s="6"/>
      <c r="AF31" s="5"/>
      <c r="AG31" s="6"/>
      <c r="AH31" s="5"/>
      <c r="AI31" s="6"/>
      <c r="AJ31" s="5"/>
      <c r="AK31" s="6"/>
      <c r="AL31" s="5"/>
      <c r="AM31" s="6"/>
      <c r="AN31" s="24">
        <f t="shared" si="4"/>
        <v>381</v>
      </c>
      <c r="AO31" s="24">
        <f t="shared" si="5"/>
        <v>0</v>
      </c>
      <c r="AP31" s="24">
        <f t="shared" si="6"/>
        <v>381</v>
      </c>
      <c r="AQ31" s="25">
        <f t="shared" si="7"/>
        <v>726</v>
      </c>
      <c r="AR31" s="25">
        <f t="shared" si="8"/>
        <v>981</v>
      </c>
      <c r="AS31" s="25">
        <f t="shared" si="9"/>
        <v>1707</v>
      </c>
    </row>
    <row r="32" spans="2:45" s="20" customFormat="1" ht="14.1" hidden="1" customHeight="1" x14ac:dyDescent="0.3">
      <c r="B32" s="9" t="s">
        <v>71</v>
      </c>
      <c r="C32" s="10">
        <v>45865</v>
      </c>
      <c r="D32" s="13">
        <v>45487</v>
      </c>
      <c r="E32" s="6">
        <f t="shared" si="0"/>
        <v>0</v>
      </c>
      <c r="F32" s="5"/>
      <c r="G32" s="6"/>
      <c r="H32" s="5"/>
      <c r="I32" s="6"/>
      <c r="J32" s="5"/>
      <c r="K32" s="6"/>
      <c r="L32" s="5"/>
      <c r="M32" s="6"/>
      <c r="N32" s="5">
        <v>11606</v>
      </c>
      <c r="O32" s="28">
        <f t="shared" si="1"/>
        <v>0</v>
      </c>
      <c r="P32" s="5">
        <v>546</v>
      </c>
      <c r="Q32" s="28">
        <f t="shared" si="2"/>
        <v>119</v>
      </c>
      <c r="R32" s="5"/>
      <c r="S32" s="6"/>
      <c r="T32" s="13">
        <v>11987</v>
      </c>
      <c r="U32" s="28">
        <f t="shared" si="3"/>
        <v>0</v>
      </c>
      <c r="V32" s="5"/>
      <c r="W32" s="6"/>
      <c r="X32" s="5"/>
      <c r="Y32" s="6"/>
      <c r="Z32" s="5"/>
      <c r="AA32" s="6"/>
      <c r="AB32" s="5"/>
      <c r="AC32" s="6"/>
      <c r="AD32" s="5"/>
      <c r="AE32" s="6"/>
      <c r="AF32" s="5"/>
      <c r="AG32" s="6"/>
      <c r="AH32" s="5"/>
      <c r="AI32" s="6"/>
      <c r="AJ32" s="5"/>
      <c r="AK32" s="6"/>
      <c r="AL32" s="5"/>
      <c r="AM32" s="6"/>
      <c r="AN32" s="24">
        <f t="shared" si="4"/>
        <v>119</v>
      </c>
      <c r="AO32" s="24">
        <f t="shared" si="5"/>
        <v>0</v>
      </c>
      <c r="AP32" s="24">
        <f t="shared" si="6"/>
        <v>119</v>
      </c>
      <c r="AQ32" s="25">
        <f t="shared" si="7"/>
        <v>-119</v>
      </c>
      <c r="AR32" s="25">
        <f t="shared" si="8"/>
        <v>0</v>
      </c>
      <c r="AS32" s="25">
        <f t="shared" si="9"/>
        <v>-119</v>
      </c>
    </row>
    <row r="33" spans="2:45" s="20" customFormat="1" ht="14.1" hidden="1" customHeight="1" x14ac:dyDescent="0.3">
      <c r="B33" s="9" t="s">
        <v>72</v>
      </c>
      <c r="C33" s="10">
        <v>45866</v>
      </c>
      <c r="D33" s="13">
        <v>45487</v>
      </c>
      <c r="E33" s="6">
        <f t="shared" si="0"/>
        <v>594</v>
      </c>
      <c r="F33" s="5"/>
      <c r="G33" s="6"/>
      <c r="H33" s="5"/>
      <c r="I33" s="6"/>
      <c r="J33" s="5"/>
      <c r="K33" s="6"/>
      <c r="L33" s="5"/>
      <c r="M33" s="6"/>
      <c r="N33" s="5">
        <v>11606</v>
      </c>
      <c r="O33" s="28">
        <f t="shared" si="1"/>
        <v>439</v>
      </c>
      <c r="P33" s="5">
        <v>665</v>
      </c>
      <c r="Q33" s="28">
        <f t="shared" si="2"/>
        <v>76</v>
      </c>
      <c r="R33" s="5"/>
      <c r="S33" s="6"/>
      <c r="T33" s="13">
        <v>11987</v>
      </c>
      <c r="U33" s="28">
        <f t="shared" si="3"/>
        <v>389</v>
      </c>
      <c r="V33" s="5"/>
      <c r="W33" s="6"/>
      <c r="X33" s="5"/>
      <c r="Y33" s="6"/>
      <c r="Z33" s="5"/>
      <c r="AA33" s="6"/>
      <c r="AB33" s="5"/>
      <c r="AC33" s="6"/>
      <c r="AD33" s="5"/>
      <c r="AE33" s="6"/>
      <c r="AF33" s="5"/>
      <c r="AG33" s="6"/>
      <c r="AH33" s="5"/>
      <c r="AI33" s="6"/>
      <c r="AJ33" s="5"/>
      <c r="AK33" s="6"/>
      <c r="AL33" s="5"/>
      <c r="AM33" s="6"/>
      <c r="AN33" s="24">
        <f t="shared" si="4"/>
        <v>515</v>
      </c>
      <c r="AO33" s="24">
        <f t="shared" si="5"/>
        <v>0</v>
      </c>
      <c r="AP33" s="24">
        <f t="shared" si="6"/>
        <v>515</v>
      </c>
      <c r="AQ33" s="25">
        <f t="shared" si="7"/>
        <v>79</v>
      </c>
      <c r="AR33" s="25">
        <f t="shared" si="8"/>
        <v>389</v>
      </c>
      <c r="AS33" s="25">
        <f t="shared" si="9"/>
        <v>468</v>
      </c>
    </row>
    <row r="34" spans="2:45" s="20" customFormat="1" ht="14.1" hidden="1" customHeight="1" x14ac:dyDescent="0.3">
      <c r="B34" s="9" t="s">
        <v>66</v>
      </c>
      <c r="C34" s="10">
        <v>45867</v>
      </c>
      <c r="D34" s="13">
        <v>46081</v>
      </c>
      <c r="E34" s="6">
        <f t="shared" si="0"/>
        <v>600</v>
      </c>
      <c r="F34" s="5"/>
      <c r="G34" s="6"/>
      <c r="H34" s="5"/>
      <c r="I34" s="6"/>
      <c r="J34" s="5"/>
      <c r="K34" s="6"/>
      <c r="L34" s="5"/>
      <c r="M34" s="6"/>
      <c r="N34" s="5">
        <v>12045</v>
      </c>
      <c r="O34" s="28">
        <f t="shared" si="1"/>
        <v>300</v>
      </c>
      <c r="P34" s="5">
        <v>741</v>
      </c>
      <c r="Q34" s="28">
        <f t="shared" si="2"/>
        <v>135</v>
      </c>
      <c r="R34" s="5"/>
      <c r="S34" s="6"/>
      <c r="T34" s="13">
        <v>12376</v>
      </c>
      <c r="U34" s="28">
        <f t="shared" si="3"/>
        <v>715</v>
      </c>
      <c r="V34" s="5"/>
      <c r="W34" s="6"/>
      <c r="X34" s="5"/>
      <c r="Y34" s="6"/>
      <c r="Z34" s="5"/>
      <c r="AA34" s="6"/>
      <c r="AB34" s="5"/>
      <c r="AC34" s="6"/>
      <c r="AD34" s="5"/>
      <c r="AE34" s="6"/>
      <c r="AF34" s="5"/>
      <c r="AG34" s="6"/>
      <c r="AH34" s="5"/>
      <c r="AI34" s="6"/>
      <c r="AJ34" s="5"/>
      <c r="AK34" s="6"/>
      <c r="AL34" s="5"/>
      <c r="AM34" s="6"/>
      <c r="AN34" s="24">
        <f t="shared" si="4"/>
        <v>435</v>
      </c>
      <c r="AO34" s="24">
        <f t="shared" si="5"/>
        <v>0</v>
      </c>
      <c r="AP34" s="24">
        <f t="shared" si="6"/>
        <v>435</v>
      </c>
      <c r="AQ34" s="25">
        <f t="shared" si="7"/>
        <v>165</v>
      </c>
      <c r="AR34" s="25">
        <f t="shared" si="8"/>
        <v>715</v>
      </c>
      <c r="AS34" s="25">
        <f t="shared" si="9"/>
        <v>880</v>
      </c>
    </row>
    <row r="35" spans="2:45" s="20" customFormat="1" ht="14.1" hidden="1" customHeight="1" x14ac:dyDescent="0.3">
      <c r="B35" s="9" t="s">
        <v>67</v>
      </c>
      <c r="C35" s="10">
        <v>45868</v>
      </c>
      <c r="D35" s="13">
        <v>46681</v>
      </c>
      <c r="E35" s="6">
        <f t="shared" si="0"/>
        <v>862</v>
      </c>
      <c r="F35" s="5"/>
      <c r="G35" s="6"/>
      <c r="H35" s="5"/>
      <c r="I35" s="6"/>
      <c r="J35" s="5"/>
      <c r="K35" s="6"/>
      <c r="L35" s="5"/>
      <c r="M35" s="6"/>
      <c r="N35" s="5">
        <v>12345</v>
      </c>
      <c r="O35" s="28">
        <f t="shared" si="1"/>
        <v>279</v>
      </c>
      <c r="P35" s="5">
        <v>876</v>
      </c>
      <c r="Q35" s="28">
        <f t="shared" si="2"/>
        <v>127</v>
      </c>
      <c r="R35" s="5"/>
      <c r="S35" s="6"/>
      <c r="T35" s="13">
        <v>13091</v>
      </c>
      <c r="U35" s="28">
        <f t="shared" si="3"/>
        <v>629</v>
      </c>
      <c r="V35" s="5"/>
      <c r="W35" s="6"/>
      <c r="X35" s="5"/>
      <c r="Y35" s="6"/>
      <c r="Z35" s="5"/>
      <c r="AA35" s="6"/>
      <c r="AB35" s="5"/>
      <c r="AC35" s="6"/>
      <c r="AD35" s="5"/>
      <c r="AE35" s="6"/>
      <c r="AF35" s="5"/>
      <c r="AG35" s="6"/>
      <c r="AH35" s="5"/>
      <c r="AI35" s="6"/>
      <c r="AJ35" s="5"/>
      <c r="AK35" s="6"/>
      <c r="AL35" s="5"/>
      <c r="AM35" s="6"/>
      <c r="AN35" s="24">
        <f t="shared" si="4"/>
        <v>406</v>
      </c>
      <c r="AO35" s="24">
        <f t="shared" si="5"/>
        <v>0</v>
      </c>
      <c r="AP35" s="24">
        <f t="shared" si="6"/>
        <v>406</v>
      </c>
      <c r="AQ35" s="25">
        <f t="shared" si="7"/>
        <v>456</v>
      </c>
      <c r="AR35" s="25">
        <f t="shared" si="8"/>
        <v>629</v>
      </c>
      <c r="AS35" s="25">
        <f t="shared" si="9"/>
        <v>1085</v>
      </c>
    </row>
    <row r="36" spans="2:45" s="20" customFormat="1" ht="14.1" hidden="1" customHeight="1" x14ac:dyDescent="0.3">
      <c r="B36" s="9" t="s">
        <v>68</v>
      </c>
      <c r="C36" s="10">
        <v>45869</v>
      </c>
      <c r="D36" s="13">
        <v>47543</v>
      </c>
      <c r="E36" s="6"/>
      <c r="F36" s="5"/>
      <c r="G36" s="6"/>
      <c r="H36" s="5"/>
      <c r="I36" s="6"/>
      <c r="J36" s="5"/>
      <c r="K36" s="6"/>
      <c r="L36" s="5"/>
      <c r="M36" s="6"/>
      <c r="N36" s="5">
        <v>12624</v>
      </c>
      <c r="O36" s="28">
        <f>IF(N38&lt;&gt;"",N38-N36,"")</f>
        <v>313</v>
      </c>
      <c r="P36" s="5">
        <v>1003</v>
      </c>
      <c r="Q36" s="28">
        <f>IF(P38&lt;&gt;"",P38-P36,"")</f>
        <v>171</v>
      </c>
      <c r="R36" s="5"/>
      <c r="S36" s="6"/>
      <c r="T36" s="13">
        <v>13720</v>
      </c>
      <c r="U36" s="28">
        <f>IF(T38&lt;&gt;"",T38-T36,"")</f>
        <v>603</v>
      </c>
      <c r="V36" s="5"/>
      <c r="W36" s="6"/>
      <c r="X36" s="5"/>
      <c r="Y36" s="6"/>
      <c r="Z36" s="5"/>
      <c r="AA36" s="6"/>
      <c r="AB36" s="5"/>
      <c r="AC36" s="6"/>
      <c r="AD36" s="5"/>
      <c r="AE36" s="6"/>
      <c r="AF36" s="5"/>
      <c r="AG36" s="6"/>
      <c r="AH36" s="5"/>
      <c r="AI36" s="6"/>
      <c r="AJ36" s="5"/>
      <c r="AK36" s="6"/>
      <c r="AL36" s="5"/>
      <c r="AM36" s="6"/>
      <c r="AN36" s="24">
        <f t="shared" si="4"/>
        <v>484</v>
      </c>
      <c r="AO36" s="24">
        <f t="shared" si="5"/>
        <v>0</v>
      </c>
      <c r="AP36" s="24">
        <f t="shared" si="6"/>
        <v>484</v>
      </c>
      <c r="AQ36" s="25">
        <f t="shared" si="7"/>
        <v>-484</v>
      </c>
      <c r="AR36" s="25">
        <f t="shared" si="8"/>
        <v>603</v>
      </c>
      <c r="AS36" s="25">
        <f t="shared" si="9"/>
        <v>119</v>
      </c>
    </row>
    <row r="37" spans="2:45" s="20" customFormat="1" ht="44.25" hidden="1" customHeight="1" x14ac:dyDescent="0.3">
      <c r="B37" s="152" t="s">
        <v>73</v>
      </c>
      <c r="C37" s="153"/>
      <c r="D37" s="8"/>
      <c r="E37" s="11">
        <f>SUM(E4:E35)</f>
        <v>30532</v>
      </c>
      <c r="F37" s="5"/>
      <c r="G37" s="6"/>
      <c r="H37" s="5"/>
      <c r="I37" s="6"/>
      <c r="J37" s="5"/>
      <c r="K37" s="6"/>
      <c r="L37" s="5"/>
      <c r="M37" s="6"/>
      <c r="N37" s="5"/>
      <c r="O37" s="11">
        <f>SUM(O5:O35)</f>
        <v>6511</v>
      </c>
      <c r="P37" s="5"/>
      <c r="Q37" s="11">
        <f>SUM(Q5:Q35)</f>
        <v>822</v>
      </c>
      <c r="R37" s="5"/>
      <c r="S37" s="6"/>
      <c r="T37" s="13"/>
      <c r="U37" s="11">
        <f>SUM(U5:U35)</f>
        <v>13095</v>
      </c>
      <c r="V37" s="5"/>
      <c r="W37" s="11"/>
      <c r="X37" s="5"/>
      <c r="Y37" s="11"/>
      <c r="Z37" s="5"/>
      <c r="AA37" s="6"/>
      <c r="AB37" s="5"/>
      <c r="AC37" s="6"/>
      <c r="AD37" s="5"/>
      <c r="AE37" s="6"/>
      <c r="AF37" s="5"/>
      <c r="AG37" s="6"/>
      <c r="AH37" s="5"/>
      <c r="AI37" s="6"/>
      <c r="AJ37" s="5"/>
      <c r="AK37" s="6"/>
      <c r="AL37" s="5"/>
      <c r="AM37" s="6"/>
      <c r="AN37" s="7">
        <f>SUM(U37,W37,Y37,AA37,AC37)</f>
        <v>13095</v>
      </c>
      <c r="AO37" s="7">
        <f>SUM(AG37,AI37,AK37,AM37)</f>
        <v>0</v>
      </c>
      <c r="AP37" s="7">
        <f>SUM(U37,W37,Y37,AA37,AC37,AG37,AI37,AK37,AM37)</f>
        <v>13095</v>
      </c>
      <c r="AQ37" s="17">
        <f>AN37-S37</f>
        <v>13095</v>
      </c>
      <c r="AR37" s="17">
        <f>AO37-AE37</f>
        <v>0</v>
      </c>
      <c r="AS37" s="17">
        <f>AP37-(S37+AE37)</f>
        <v>13095</v>
      </c>
    </row>
    <row r="38" spans="2:45" hidden="1" x14ac:dyDescent="0.3">
      <c r="B38" s="9" t="s">
        <v>69</v>
      </c>
      <c r="C38" s="33">
        <v>45870</v>
      </c>
      <c r="D38" s="27">
        <v>4595</v>
      </c>
      <c r="E38" s="28">
        <f t="shared" ref="E38:E55" si="10">IF(D39&lt;&gt;"",D39-D38,"")</f>
        <v>1008</v>
      </c>
      <c r="F38" s="27"/>
      <c r="G38" s="28" t="str">
        <f t="shared" ref="G38:G46" si="11">IF(F39&lt;&gt;"",F39-F38,"")</f>
        <v/>
      </c>
      <c r="H38" s="27"/>
      <c r="I38" s="28" t="str">
        <f t="shared" ref="I38:I46" si="12">IF(H39&lt;&gt;"",H39-H38,"")</f>
        <v/>
      </c>
      <c r="J38" s="27"/>
      <c r="K38" s="28" t="str">
        <f t="shared" ref="K38:K46" si="13">IF(J39&lt;&gt;"",J39-J38,"")</f>
        <v/>
      </c>
      <c r="L38" s="27"/>
      <c r="M38" s="28" t="str">
        <f t="shared" ref="M38:M46" si="14">IF(L39&lt;&gt;"",L39-L38,"")</f>
        <v/>
      </c>
      <c r="N38" s="27">
        <v>12937</v>
      </c>
      <c r="O38" s="28">
        <f t="shared" ref="O38:O46" si="15">IF(N39&lt;&gt;"",N39-N38,"")</f>
        <v>233</v>
      </c>
      <c r="P38" s="5">
        <v>1174</v>
      </c>
      <c r="Q38" s="28">
        <f>IF(P39&lt;&gt;"",P39-P38,"")</f>
        <v>151</v>
      </c>
      <c r="R38" s="27"/>
      <c r="S38" s="28" t="str">
        <f>IF(R39&lt;&gt;"",R39-R38,"")</f>
        <v/>
      </c>
      <c r="T38" s="13">
        <v>14323</v>
      </c>
      <c r="U38" s="28">
        <f t="shared" ref="U38:U46" si="16">IF(T39&lt;&gt;"",T39-T38,"")</f>
        <v>579</v>
      </c>
      <c r="V38" s="27">
        <v>3105</v>
      </c>
      <c r="W38" s="28">
        <f t="shared" ref="W38:W46" si="17">IF(V39&lt;&gt;"",V39-V38,"")</f>
        <v>117</v>
      </c>
      <c r="X38" s="27"/>
      <c r="Y38" s="28" t="str">
        <f>IF(X39&lt;&gt;"",X39-X38,"")</f>
        <v/>
      </c>
      <c r="Z38" s="27"/>
      <c r="AA38" s="28" t="str">
        <f>IF(Z39&lt;&gt;"",Z39-Z38,"")</f>
        <v/>
      </c>
      <c r="AB38" s="27">
        <v>302</v>
      </c>
      <c r="AC38" s="28">
        <f t="shared" ref="AC38:AC69" si="18">IF(AB39&lt;&gt;"",AB39-AB38,"")</f>
        <v>71</v>
      </c>
      <c r="AD38" s="27">
        <v>0</v>
      </c>
      <c r="AE38" s="28">
        <f t="shared" ref="AE38:AE46" si="19">IF(AD39&lt;&gt;"",AD39-AD38,"")</f>
        <v>0</v>
      </c>
      <c r="AF38" s="27">
        <v>0</v>
      </c>
      <c r="AG38" s="28">
        <f t="shared" ref="AG38:AG69" si="20">IF(AF39&lt;&gt;"",AF39-AF38,"")</f>
        <v>0</v>
      </c>
      <c r="AH38" s="27">
        <v>0</v>
      </c>
      <c r="AI38" s="28">
        <f t="shared" ref="AI38:AI46" si="21">IF(AH39&lt;&gt;"",AH39-AH38,"")</f>
        <v>0</v>
      </c>
      <c r="AJ38" s="27">
        <v>0</v>
      </c>
      <c r="AK38" s="28">
        <f t="shared" ref="AK38:AK49" si="22">IF(AJ39&lt;&gt;"",AJ39-AJ38,"")</f>
        <v>0</v>
      </c>
      <c r="AL38" s="27">
        <v>0</v>
      </c>
      <c r="AM38" s="28">
        <f t="shared" ref="AM38:AM49" si="23">IF(AL39&lt;&gt;"",AL39-AL38,"")</f>
        <v>0</v>
      </c>
      <c r="AN38" s="24">
        <f t="shared" ref="AN38:AN69" si="24">SUM(G38,I38,K38,M38,O38,Q38,S38)</f>
        <v>384</v>
      </c>
      <c r="AO38" s="24">
        <f t="shared" ref="AO38:AO69" si="25">SUM(W38,Y38,AA38,AE38,AG38,AK38,AM38)</f>
        <v>117</v>
      </c>
      <c r="AP38" s="24">
        <f t="shared" ref="AP38:AP69" si="26">SUM(G38,I38,K38,M38,O38,Q38,S38,W38,Y38,AA38,AC38,AE38,AG38,AI38,AK38,AM38)</f>
        <v>572</v>
      </c>
      <c r="AQ38" s="25">
        <f>E38-AN38</f>
        <v>624</v>
      </c>
      <c r="AR38" s="25">
        <f t="shared" ref="AR38:AR69" si="27">U38-AO38</f>
        <v>462</v>
      </c>
      <c r="AS38" s="25">
        <f>(E38+U38)-AP38</f>
        <v>1015</v>
      </c>
    </row>
    <row r="39" spans="2:45" hidden="1" x14ac:dyDescent="0.3">
      <c r="B39" s="9" t="s">
        <v>70</v>
      </c>
      <c r="C39" s="33">
        <v>45871</v>
      </c>
      <c r="D39" s="27">
        <v>5603</v>
      </c>
      <c r="E39" s="28">
        <f t="shared" si="10"/>
        <v>956</v>
      </c>
      <c r="F39" s="27"/>
      <c r="G39" s="28" t="str">
        <f t="shared" si="11"/>
        <v/>
      </c>
      <c r="H39" s="27"/>
      <c r="I39" s="28" t="str">
        <f t="shared" si="12"/>
        <v/>
      </c>
      <c r="J39" s="27"/>
      <c r="K39" s="28" t="str">
        <f t="shared" si="13"/>
        <v/>
      </c>
      <c r="L39" s="27"/>
      <c r="M39" s="28" t="str">
        <f t="shared" si="14"/>
        <v/>
      </c>
      <c r="N39" s="27">
        <v>13170</v>
      </c>
      <c r="O39" s="28">
        <f t="shared" si="15"/>
        <v>252</v>
      </c>
      <c r="P39" s="27">
        <v>1325</v>
      </c>
      <c r="Q39" s="28">
        <f>IF(P40&lt;&gt;"",P40-P39,"")</f>
        <v>138</v>
      </c>
      <c r="R39" s="27"/>
      <c r="S39" s="28" t="str">
        <f>IF(R40&lt;&gt;"",R40-R39,"")</f>
        <v/>
      </c>
      <c r="T39" s="29">
        <v>14902</v>
      </c>
      <c r="U39" s="28">
        <f t="shared" si="16"/>
        <v>610</v>
      </c>
      <c r="V39" s="27">
        <v>3222</v>
      </c>
      <c r="W39" s="28">
        <f t="shared" si="17"/>
        <v>108</v>
      </c>
      <c r="X39" s="27"/>
      <c r="Y39" s="28" t="str">
        <f t="shared" ref="Y39:Y68" si="28">IF(X40&lt;&gt;"",X40-X39,"")</f>
        <v/>
      </c>
      <c r="Z39" s="27"/>
      <c r="AA39" s="28" t="str">
        <f t="shared" ref="AA39:AA68" si="29">IF(Z40&lt;&gt;"",Z40-Z39,"")</f>
        <v/>
      </c>
      <c r="AB39" s="27">
        <v>373</v>
      </c>
      <c r="AC39" s="28">
        <f t="shared" si="18"/>
        <v>76</v>
      </c>
      <c r="AD39" s="27">
        <v>0</v>
      </c>
      <c r="AE39" s="28">
        <f t="shared" si="19"/>
        <v>0</v>
      </c>
      <c r="AF39" s="27">
        <v>0</v>
      </c>
      <c r="AG39" s="28">
        <f t="shared" si="20"/>
        <v>0</v>
      </c>
      <c r="AH39" s="27">
        <v>0</v>
      </c>
      <c r="AI39" s="28">
        <f t="shared" si="21"/>
        <v>0</v>
      </c>
      <c r="AJ39" s="27">
        <v>0</v>
      </c>
      <c r="AK39" s="28">
        <f t="shared" si="22"/>
        <v>0</v>
      </c>
      <c r="AL39" s="27">
        <v>0</v>
      </c>
      <c r="AM39" s="28">
        <f t="shared" si="23"/>
        <v>0</v>
      </c>
      <c r="AN39" s="24">
        <f t="shared" si="24"/>
        <v>390</v>
      </c>
      <c r="AO39" s="24">
        <f t="shared" si="25"/>
        <v>108</v>
      </c>
      <c r="AP39" s="24">
        <f t="shared" si="26"/>
        <v>574</v>
      </c>
      <c r="AQ39" s="25">
        <f t="shared" ref="AQ39:AQ69" si="30">E39-AN39</f>
        <v>566</v>
      </c>
      <c r="AR39" s="25">
        <f t="shared" si="27"/>
        <v>502</v>
      </c>
      <c r="AS39" s="25">
        <f t="shared" ref="AS39:AS69" si="31">(E39+U39)-AP39</f>
        <v>992</v>
      </c>
    </row>
    <row r="40" spans="2:45" hidden="1" x14ac:dyDescent="0.3">
      <c r="B40" s="9" t="s">
        <v>71</v>
      </c>
      <c r="C40" s="33">
        <v>45872</v>
      </c>
      <c r="D40" s="27">
        <v>6559</v>
      </c>
      <c r="E40" s="28">
        <f t="shared" si="10"/>
        <v>0</v>
      </c>
      <c r="F40" s="27"/>
      <c r="G40" s="28" t="str">
        <f t="shared" si="11"/>
        <v/>
      </c>
      <c r="H40" s="27"/>
      <c r="I40" s="28" t="str">
        <f t="shared" si="12"/>
        <v/>
      </c>
      <c r="J40" s="27"/>
      <c r="K40" s="28" t="str">
        <f t="shared" si="13"/>
        <v/>
      </c>
      <c r="L40" s="27"/>
      <c r="M40" s="28" t="str">
        <f t="shared" si="14"/>
        <v/>
      </c>
      <c r="N40" s="27">
        <v>13422</v>
      </c>
      <c r="O40" s="28">
        <f t="shared" si="15"/>
        <v>0</v>
      </c>
      <c r="P40" s="27">
        <v>1463</v>
      </c>
      <c r="Q40" s="28">
        <f t="shared" ref="Q40:S41" si="32">IF(P41&lt;&gt;"",P41-P40,"")</f>
        <v>0</v>
      </c>
      <c r="R40" s="27"/>
      <c r="S40" s="28" t="str">
        <f t="shared" si="32"/>
        <v/>
      </c>
      <c r="T40" s="29">
        <v>15512</v>
      </c>
      <c r="U40" s="28">
        <f t="shared" si="16"/>
        <v>0</v>
      </c>
      <c r="V40" s="27">
        <v>3330</v>
      </c>
      <c r="W40" s="28">
        <f t="shared" si="17"/>
        <v>0</v>
      </c>
      <c r="X40" s="27"/>
      <c r="Y40" s="28" t="str">
        <f t="shared" si="28"/>
        <v/>
      </c>
      <c r="Z40" s="27"/>
      <c r="AA40" s="28" t="str">
        <f t="shared" si="29"/>
        <v/>
      </c>
      <c r="AB40" s="27">
        <v>449</v>
      </c>
      <c r="AC40" s="28">
        <f t="shared" si="18"/>
        <v>0</v>
      </c>
      <c r="AD40" s="27">
        <v>0</v>
      </c>
      <c r="AE40" s="28">
        <f t="shared" si="19"/>
        <v>0</v>
      </c>
      <c r="AF40" s="27">
        <v>0</v>
      </c>
      <c r="AG40" s="28">
        <f>IF(AF41&lt;&gt;"",AF41-AF40,"")</f>
        <v>0</v>
      </c>
      <c r="AH40" s="27">
        <v>0</v>
      </c>
      <c r="AI40" s="28">
        <f t="shared" si="21"/>
        <v>0</v>
      </c>
      <c r="AJ40" s="27">
        <v>0</v>
      </c>
      <c r="AK40" s="28">
        <f t="shared" si="22"/>
        <v>0</v>
      </c>
      <c r="AL40" s="27">
        <v>0</v>
      </c>
      <c r="AM40" s="28">
        <f t="shared" si="23"/>
        <v>0</v>
      </c>
      <c r="AN40" s="24">
        <f t="shared" si="24"/>
        <v>0</v>
      </c>
      <c r="AO40" s="24">
        <f t="shared" si="25"/>
        <v>0</v>
      </c>
      <c r="AP40" s="24">
        <f t="shared" si="26"/>
        <v>0</v>
      </c>
      <c r="AQ40" s="25">
        <f t="shared" si="30"/>
        <v>0</v>
      </c>
      <c r="AR40" s="25">
        <f t="shared" si="27"/>
        <v>0</v>
      </c>
      <c r="AS40" s="25">
        <f t="shared" si="31"/>
        <v>0</v>
      </c>
    </row>
    <row r="41" spans="2:45" hidden="1" x14ac:dyDescent="0.3">
      <c r="B41" s="9" t="s">
        <v>72</v>
      </c>
      <c r="C41" s="33">
        <v>45873</v>
      </c>
      <c r="D41" s="27">
        <v>6559</v>
      </c>
      <c r="E41" s="28">
        <f t="shared" si="10"/>
        <v>988</v>
      </c>
      <c r="F41" s="27"/>
      <c r="G41" s="28" t="str">
        <f t="shared" si="11"/>
        <v/>
      </c>
      <c r="H41" s="27"/>
      <c r="I41" s="28" t="str">
        <f t="shared" si="12"/>
        <v/>
      </c>
      <c r="J41" s="27"/>
      <c r="K41" s="28" t="str">
        <f t="shared" si="13"/>
        <v/>
      </c>
      <c r="L41" s="27"/>
      <c r="M41" s="28" t="str">
        <f t="shared" si="14"/>
        <v/>
      </c>
      <c r="N41" s="27">
        <v>13422</v>
      </c>
      <c r="O41" s="28">
        <f t="shared" si="15"/>
        <v>233</v>
      </c>
      <c r="P41" s="27">
        <v>1463</v>
      </c>
      <c r="Q41" s="28">
        <f t="shared" si="32"/>
        <v>118</v>
      </c>
      <c r="R41" s="27"/>
      <c r="S41" s="28" t="str">
        <f t="shared" si="32"/>
        <v/>
      </c>
      <c r="T41" s="29">
        <v>15512</v>
      </c>
      <c r="U41" s="28">
        <f t="shared" si="16"/>
        <v>684</v>
      </c>
      <c r="V41" s="27">
        <v>3330</v>
      </c>
      <c r="W41" s="28">
        <f t="shared" si="17"/>
        <v>111</v>
      </c>
      <c r="X41" s="27"/>
      <c r="Y41" s="28" t="str">
        <f t="shared" si="28"/>
        <v/>
      </c>
      <c r="Z41" s="27"/>
      <c r="AA41" s="28" t="str">
        <f t="shared" si="29"/>
        <v/>
      </c>
      <c r="AB41" s="27">
        <v>449</v>
      </c>
      <c r="AC41" s="28">
        <f t="shared" si="18"/>
        <v>81</v>
      </c>
      <c r="AD41" s="27">
        <v>0</v>
      </c>
      <c r="AE41" s="28">
        <f t="shared" si="19"/>
        <v>48</v>
      </c>
      <c r="AF41" s="27">
        <v>0</v>
      </c>
      <c r="AG41" s="28">
        <f t="shared" si="20"/>
        <v>0</v>
      </c>
      <c r="AH41" s="27">
        <v>0</v>
      </c>
      <c r="AI41" s="28">
        <f t="shared" si="21"/>
        <v>0</v>
      </c>
      <c r="AJ41" s="27">
        <v>0</v>
      </c>
      <c r="AK41" s="28">
        <f t="shared" si="22"/>
        <v>0</v>
      </c>
      <c r="AL41" s="27">
        <v>0</v>
      </c>
      <c r="AM41" s="28">
        <f t="shared" si="23"/>
        <v>0</v>
      </c>
      <c r="AN41" s="24">
        <f t="shared" si="24"/>
        <v>351</v>
      </c>
      <c r="AO41" s="24">
        <f t="shared" si="25"/>
        <v>159</v>
      </c>
      <c r="AP41" s="24">
        <f t="shared" si="26"/>
        <v>591</v>
      </c>
      <c r="AQ41" s="25">
        <f t="shared" si="30"/>
        <v>637</v>
      </c>
      <c r="AR41" s="25">
        <f t="shared" si="27"/>
        <v>525</v>
      </c>
      <c r="AS41" s="25">
        <f t="shared" si="31"/>
        <v>1081</v>
      </c>
    </row>
    <row r="42" spans="2:45" hidden="1" x14ac:dyDescent="0.3">
      <c r="B42" s="9" t="s">
        <v>66</v>
      </c>
      <c r="C42" s="33">
        <v>45874</v>
      </c>
      <c r="D42" s="27">
        <v>7547</v>
      </c>
      <c r="E42" s="28">
        <f t="shared" si="10"/>
        <v>1173</v>
      </c>
      <c r="F42" s="27"/>
      <c r="G42" s="28" t="str">
        <f t="shared" si="11"/>
        <v/>
      </c>
      <c r="H42" s="27"/>
      <c r="I42" s="28" t="str">
        <f t="shared" si="12"/>
        <v/>
      </c>
      <c r="J42" s="27"/>
      <c r="K42" s="28" t="str">
        <f t="shared" si="13"/>
        <v/>
      </c>
      <c r="L42" s="27"/>
      <c r="M42" s="28" t="str">
        <f t="shared" si="14"/>
        <v/>
      </c>
      <c r="N42" s="27">
        <v>13655</v>
      </c>
      <c r="O42" s="28">
        <f t="shared" si="15"/>
        <v>261</v>
      </c>
      <c r="P42" s="27">
        <v>1581</v>
      </c>
      <c r="Q42" s="28">
        <f>IF(P43&lt;&gt;"",P43-P42,"")</f>
        <v>131</v>
      </c>
      <c r="R42" s="27"/>
      <c r="S42" s="28" t="str">
        <f>IF(R43&lt;&gt;"",R43-R42,"")</f>
        <v/>
      </c>
      <c r="T42" s="29">
        <v>16196</v>
      </c>
      <c r="U42" s="28">
        <f t="shared" si="16"/>
        <v>679</v>
      </c>
      <c r="V42" s="27">
        <v>3441</v>
      </c>
      <c r="W42" s="28">
        <f t="shared" si="17"/>
        <v>118</v>
      </c>
      <c r="X42" s="27"/>
      <c r="Y42" s="28" t="str">
        <f t="shared" si="28"/>
        <v/>
      </c>
      <c r="Z42" s="27"/>
      <c r="AA42" s="28" t="str">
        <f t="shared" si="29"/>
        <v/>
      </c>
      <c r="AB42" s="27">
        <v>530</v>
      </c>
      <c r="AC42" s="28">
        <f t="shared" si="18"/>
        <v>84</v>
      </c>
      <c r="AD42" s="27">
        <v>48</v>
      </c>
      <c r="AE42" s="28">
        <f t="shared" si="19"/>
        <v>119</v>
      </c>
      <c r="AF42" s="27">
        <v>0</v>
      </c>
      <c r="AG42" s="28">
        <f t="shared" si="20"/>
        <v>0</v>
      </c>
      <c r="AH42" s="27">
        <v>0</v>
      </c>
      <c r="AI42" s="28">
        <f t="shared" si="21"/>
        <v>0</v>
      </c>
      <c r="AJ42" s="27">
        <v>0</v>
      </c>
      <c r="AK42" s="28">
        <f t="shared" si="22"/>
        <v>0</v>
      </c>
      <c r="AL42" s="27">
        <v>0</v>
      </c>
      <c r="AM42" s="28">
        <f t="shared" si="23"/>
        <v>0</v>
      </c>
      <c r="AN42" s="24">
        <f>SUM(G42,I42,K42,M42,O42,Q42,S42)</f>
        <v>392</v>
      </c>
      <c r="AO42" s="24">
        <f t="shared" si="25"/>
        <v>237</v>
      </c>
      <c r="AP42" s="24">
        <f t="shared" si="26"/>
        <v>713</v>
      </c>
      <c r="AQ42" s="25">
        <f t="shared" si="30"/>
        <v>781</v>
      </c>
      <c r="AR42" s="25">
        <f t="shared" si="27"/>
        <v>442</v>
      </c>
      <c r="AS42" s="25">
        <f t="shared" si="31"/>
        <v>1139</v>
      </c>
    </row>
    <row r="43" spans="2:45" hidden="1" x14ac:dyDescent="0.3">
      <c r="B43" s="9" t="s">
        <v>67</v>
      </c>
      <c r="C43" s="33">
        <v>45875</v>
      </c>
      <c r="D43" s="27">
        <v>8720</v>
      </c>
      <c r="E43" s="28">
        <f t="shared" si="10"/>
        <v>1339</v>
      </c>
      <c r="F43" s="27"/>
      <c r="G43" s="28" t="str">
        <f t="shared" si="11"/>
        <v/>
      </c>
      <c r="H43" s="27"/>
      <c r="I43" s="28" t="str">
        <f t="shared" si="12"/>
        <v/>
      </c>
      <c r="J43" s="27"/>
      <c r="K43" s="28" t="str">
        <f t="shared" si="13"/>
        <v/>
      </c>
      <c r="L43" s="27"/>
      <c r="M43" s="28" t="str">
        <f t="shared" si="14"/>
        <v/>
      </c>
      <c r="N43" s="27">
        <v>13916</v>
      </c>
      <c r="O43" s="28">
        <f t="shared" si="15"/>
        <v>255</v>
      </c>
      <c r="P43" s="27">
        <v>1712</v>
      </c>
      <c r="Q43" s="28">
        <f t="shared" ref="Q43:S44" si="33">IF(P44&lt;&gt;"",P44-P43,"")</f>
        <v>128</v>
      </c>
      <c r="R43" s="27"/>
      <c r="S43" s="28" t="str">
        <f t="shared" si="33"/>
        <v/>
      </c>
      <c r="T43" s="29">
        <v>16875</v>
      </c>
      <c r="U43" s="28">
        <f t="shared" si="16"/>
        <v>662</v>
      </c>
      <c r="V43" s="27">
        <v>3559</v>
      </c>
      <c r="W43" s="28">
        <f t="shared" si="17"/>
        <v>115</v>
      </c>
      <c r="X43" s="27"/>
      <c r="Y43" s="28" t="str">
        <f t="shared" si="28"/>
        <v/>
      </c>
      <c r="Z43" s="27"/>
      <c r="AA43" s="28" t="str">
        <f t="shared" si="29"/>
        <v/>
      </c>
      <c r="AB43" s="27">
        <v>614</v>
      </c>
      <c r="AC43" s="28">
        <f t="shared" si="18"/>
        <v>78</v>
      </c>
      <c r="AD43" s="27">
        <v>167</v>
      </c>
      <c r="AE43" s="28">
        <f t="shared" si="19"/>
        <v>109</v>
      </c>
      <c r="AF43" s="27">
        <v>0</v>
      </c>
      <c r="AG43" s="28">
        <f t="shared" si="20"/>
        <v>0</v>
      </c>
      <c r="AH43" s="27">
        <v>0</v>
      </c>
      <c r="AI43" s="28">
        <f t="shared" si="21"/>
        <v>0</v>
      </c>
      <c r="AJ43" s="27">
        <v>0</v>
      </c>
      <c r="AK43" s="28">
        <f t="shared" si="22"/>
        <v>0</v>
      </c>
      <c r="AL43" s="27">
        <v>0</v>
      </c>
      <c r="AM43" s="28">
        <f t="shared" si="23"/>
        <v>0</v>
      </c>
      <c r="AN43" s="24">
        <f t="shared" si="24"/>
        <v>383</v>
      </c>
      <c r="AO43" s="24">
        <f t="shared" si="25"/>
        <v>224</v>
      </c>
      <c r="AP43" s="24">
        <f t="shared" si="26"/>
        <v>685</v>
      </c>
      <c r="AQ43" s="25">
        <f t="shared" si="30"/>
        <v>956</v>
      </c>
      <c r="AR43" s="25">
        <f t="shared" si="27"/>
        <v>438</v>
      </c>
      <c r="AS43" s="25">
        <f t="shared" si="31"/>
        <v>1316</v>
      </c>
    </row>
    <row r="44" spans="2:45" hidden="1" x14ac:dyDescent="0.3">
      <c r="B44" s="9" t="s">
        <v>68</v>
      </c>
      <c r="C44" s="33">
        <v>45876</v>
      </c>
      <c r="D44" s="27">
        <v>10059</v>
      </c>
      <c r="E44" s="28">
        <f t="shared" si="10"/>
        <v>1330</v>
      </c>
      <c r="F44" s="27"/>
      <c r="G44" s="28" t="str">
        <f t="shared" si="11"/>
        <v/>
      </c>
      <c r="H44" s="27"/>
      <c r="I44" s="28" t="str">
        <f t="shared" si="12"/>
        <v/>
      </c>
      <c r="J44" s="27"/>
      <c r="K44" s="28" t="str">
        <f t="shared" si="13"/>
        <v/>
      </c>
      <c r="L44" s="27"/>
      <c r="M44" s="28" t="str">
        <f t="shared" si="14"/>
        <v/>
      </c>
      <c r="N44" s="27">
        <v>14171</v>
      </c>
      <c r="O44" s="28">
        <f t="shared" si="15"/>
        <v>270</v>
      </c>
      <c r="P44" s="27">
        <v>1840</v>
      </c>
      <c r="Q44" s="28">
        <f t="shared" si="33"/>
        <v>135</v>
      </c>
      <c r="R44" s="27"/>
      <c r="S44" s="28" t="str">
        <f t="shared" si="33"/>
        <v/>
      </c>
      <c r="T44" s="29">
        <v>17537</v>
      </c>
      <c r="U44" s="28">
        <f t="shared" si="16"/>
        <v>763</v>
      </c>
      <c r="V44" s="27">
        <v>3674</v>
      </c>
      <c r="W44" s="28">
        <f t="shared" si="17"/>
        <v>119</v>
      </c>
      <c r="X44" s="27"/>
      <c r="Y44" s="28" t="str">
        <f t="shared" si="28"/>
        <v/>
      </c>
      <c r="Z44" s="27"/>
      <c r="AA44" s="28" t="str">
        <f t="shared" si="29"/>
        <v/>
      </c>
      <c r="AB44" s="27">
        <v>692</v>
      </c>
      <c r="AC44" s="28">
        <f t="shared" si="18"/>
        <v>106</v>
      </c>
      <c r="AD44" s="27">
        <v>276</v>
      </c>
      <c r="AE44" s="28">
        <f t="shared" si="19"/>
        <v>119</v>
      </c>
      <c r="AF44" s="27">
        <v>0</v>
      </c>
      <c r="AG44" s="28">
        <f t="shared" si="20"/>
        <v>0</v>
      </c>
      <c r="AH44" s="27">
        <v>0</v>
      </c>
      <c r="AI44" s="28">
        <f t="shared" si="21"/>
        <v>0</v>
      </c>
      <c r="AJ44" s="27">
        <v>0</v>
      </c>
      <c r="AK44" s="28">
        <f t="shared" si="22"/>
        <v>0</v>
      </c>
      <c r="AL44" s="27">
        <v>0</v>
      </c>
      <c r="AM44" s="28">
        <f t="shared" si="23"/>
        <v>0</v>
      </c>
      <c r="AN44" s="24">
        <f>SUM(G44,I44,K44,M44,O44,Q44,S44)</f>
        <v>405</v>
      </c>
      <c r="AO44" s="24">
        <f t="shared" si="25"/>
        <v>238</v>
      </c>
      <c r="AP44" s="24">
        <f t="shared" si="26"/>
        <v>749</v>
      </c>
      <c r="AQ44" s="25">
        <f t="shared" si="30"/>
        <v>925</v>
      </c>
      <c r="AR44" s="25">
        <f t="shared" si="27"/>
        <v>525</v>
      </c>
      <c r="AS44" s="25">
        <f t="shared" si="31"/>
        <v>1344</v>
      </c>
    </row>
    <row r="45" spans="2:45" hidden="1" x14ac:dyDescent="0.3">
      <c r="B45" s="9" t="s">
        <v>69</v>
      </c>
      <c r="C45" s="33">
        <v>45877</v>
      </c>
      <c r="D45" s="27">
        <v>11389</v>
      </c>
      <c r="E45" s="28">
        <f t="shared" si="10"/>
        <v>1068</v>
      </c>
      <c r="F45" s="27"/>
      <c r="G45" s="28" t="str">
        <f t="shared" si="11"/>
        <v/>
      </c>
      <c r="H45" s="27"/>
      <c r="I45" s="28" t="str">
        <f t="shared" si="12"/>
        <v/>
      </c>
      <c r="J45" s="27"/>
      <c r="K45" s="28" t="str">
        <f t="shared" si="13"/>
        <v/>
      </c>
      <c r="L45" s="27"/>
      <c r="M45" s="28" t="str">
        <f t="shared" si="14"/>
        <v/>
      </c>
      <c r="N45" s="27">
        <v>14441</v>
      </c>
      <c r="O45" s="28">
        <f t="shared" si="15"/>
        <v>268</v>
      </c>
      <c r="P45" s="27">
        <v>1975</v>
      </c>
      <c r="Q45" s="28">
        <f>IF(P46&lt;&gt;"",P46-P45,"")</f>
        <v>120</v>
      </c>
      <c r="R45" s="27"/>
      <c r="S45" s="28" t="str">
        <f>IF(R46&lt;&gt;"",R46-R45,"")</f>
        <v/>
      </c>
      <c r="T45" s="29">
        <v>18300</v>
      </c>
      <c r="U45" s="28">
        <f t="shared" si="16"/>
        <v>626</v>
      </c>
      <c r="V45" s="27">
        <v>3793</v>
      </c>
      <c r="W45" s="28">
        <f t="shared" si="17"/>
        <v>113</v>
      </c>
      <c r="X45" s="27"/>
      <c r="Y45" s="28" t="str">
        <f t="shared" si="28"/>
        <v/>
      </c>
      <c r="Z45" s="27"/>
      <c r="AA45" s="28" t="str">
        <f t="shared" si="29"/>
        <v/>
      </c>
      <c r="AB45" s="27">
        <v>798</v>
      </c>
      <c r="AC45" s="28">
        <f t="shared" si="18"/>
        <v>86</v>
      </c>
      <c r="AD45" s="27">
        <v>395</v>
      </c>
      <c r="AE45" s="28">
        <f t="shared" si="19"/>
        <v>84</v>
      </c>
      <c r="AF45" s="27">
        <v>0</v>
      </c>
      <c r="AG45" s="28">
        <f t="shared" si="20"/>
        <v>0</v>
      </c>
      <c r="AH45" s="27">
        <v>0</v>
      </c>
      <c r="AI45" s="28">
        <f t="shared" si="21"/>
        <v>0</v>
      </c>
      <c r="AJ45" s="27">
        <v>0</v>
      </c>
      <c r="AK45" s="28">
        <f t="shared" si="22"/>
        <v>0</v>
      </c>
      <c r="AL45" s="27">
        <v>0</v>
      </c>
      <c r="AM45" s="28">
        <f t="shared" si="23"/>
        <v>0</v>
      </c>
      <c r="AN45" s="24">
        <f t="shared" si="24"/>
        <v>388</v>
      </c>
      <c r="AO45" s="24">
        <f t="shared" si="25"/>
        <v>197</v>
      </c>
      <c r="AP45" s="24">
        <f t="shared" si="26"/>
        <v>671</v>
      </c>
      <c r="AQ45" s="25">
        <f t="shared" si="30"/>
        <v>680</v>
      </c>
      <c r="AR45" s="25">
        <f t="shared" si="27"/>
        <v>429</v>
      </c>
      <c r="AS45" s="25">
        <f t="shared" si="31"/>
        <v>1023</v>
      </c>
    </row>
    <row r="46" spans="2:45" hidden="1" x14ac:dyDescent="0.3">
      <c r="B46" s="9" t="s">
        <v>70</v>
      </c>
      <c r="C46" s="33">
        <v>45878</v>
      </c>
      <c r="D46" s="27">
        <v>12457</v>
      </c>
      <c r="E46" s="28">
        <f t="shared" si="10"/>
        <v>1116</v>
      </c>
      <c r="F46" s="27"/>
      <c r="G46" s="28" t="str">
        <f t="shared" si="11"/>
        <v/>
      </c>
      <c r="H46" s="27"/>
      <c r="I46" s="28" t="str">
        <f t="shared" si="12"/>
        <v/>
      </c>
      <c r="J46" s="27"/>
      <c r="K46" s="28" t="str">
        <f t="shared" si="13"/>
        <v/>
      </c>
      <c r="L46" s="27"/>
      <c r="M46" s="28" t="str">
        <f t="shared" si="14"/>
        <v/>
      </c>
      <c r="N46" s="27">
        <v>14709</v>
      </c>
      <c r="O46" s="28">
        <f t="shared" si="15"/>
        <v>267</v>
      </c>
      <c r="P46" s="27">
        <v>2095</v>
      </c>
      <c r="Q46" s="28">
        <f>IF(P47&lt;&gt;"",P47-P46,"")</f>
        <v>119</v>
      </c>
      <c r="R46" s="27"/>
      <c r="S46" s="28" t="str">
        <f>IF(R47&lt;&gt;"",R47-R46,"")</f>
        <v/>
      </c>
      <c r="T46" s="29">
        <v>18926</v>
      </c>
      <c r="U46" s="28">
        <f t="shared" si="16"/>
        <v>586</v>
      </c>
      <c r="V46" s="27">
        <v>3906</v>
      </c>
      <c r="W46" s="28">
        <f t="shared" si="17"/>
        <v>110</v>
      </c>
      <c r="X46" s="27"/>
      <c r="Y46" s="28" t="str">
        <f t="shared" si="28"/>
        <v/>
      </c>
      <c r="Z46" s="27"/>
      <c r="AA46" s="28" t="str">
        <f t="shared" si="29"/>
        <v/>
      </c>
      <c r="AB46" s="27">
        <v>884</v>
      </c>
      <c r="AC46" s="28">
        <f t="shared" si="18"/>
        <v>81</v>
      </c>
      <c r="AD46" s="27">
        <v>479</v>
      </c>
      <c r="AE46" s="28">
        <f t="shared" si="19"/>
        <v>76</v>
      </c>
      <c r="AF46" s="27">
        <v>0</v>
      </c>
      <c r="AG46" s="28">
        <f t="shared" si="20"/>
        <v>0</v>
      </c>
      <c r="AH46" s="27">
        <v>0</v>
      </c>
      <c r="AI46" s="28">
        <f t="shared" si="21"/>
        <v>0</v>
      </c>
      <c r="AJ46" s="27">
        <v>0</v>
      </c>
      <c r="AK46" s="28">
        <f t="shared" si="22"/>
        <v>0</v>
      </c>
      <c r="AL46" s="27">
        <v>0</v>
      </c>
      <c r="AM46" s="28">
        <f t="shared" si="23"/>
        <v>0</v>
      </c>
      <c r="AN46" s="24">
        <f t="shared" si="24"/>
        <v>386</v>
      </c>
      <c r="AO46" s="24">
        <f t="shared" si="25"/>
        <v>186</v>
      </c>
      <c r="AP46" s="24">
        <f t="shared" si="26"/>
        <v>653</v>
      </c>
      <c r="AQ46" s="25">
        <f t="shared" si="30"/>
        <v>730</v>
      </c>
      <c r="AR46" s="25">
        <f t="shared" si="27"/>
        <v>400</v>
      </c>
      <c r="AS46" s="25">
        <f t="shared" si="31"/>
        <v>1049</v>
      </c>
    </row>
    <row r="47" spans="2:45" hidden="1" x14ac:dyDescent="0.3">
      <c r="B47" s="9" t="s">
        <v>71</v>
      </c>
      <c r="C47" s="33">
        <v>45879</v>
      </c>
      <c r="D47" s="27">
        <v>13573</v>
      </c>
      <c r="E47" s="28">
        <f t="shared" si="10"/>
        <v>58</v>
      </c>
      <c r="F47" s="27"/>
      <c r="G47" s="28" t="str">
        <f t="shared" ref="G47:G62" si="34">IF(F48&lt;&gt;"",F48-F47,"")</f>
        <v/>
      </c>
      <c r="H47" s="27"/>
      <c r="I47" s="28" t="str">
        <f t="shared" ref="I47:I67" si="35">IF(H48&lt;&gt;"",H48-H47,"")</f>
        <v/>
      </c>
      <c r="J47" s="27"/>
      <c r="K47" s="28" t="str">
        <f t="shared" ref="K47:K67" si="36">IF(J48&lt;&gt;"",J48-J47,"")</f>
        <v/>
      </c>
      <c r="L47" s="27"/>
      <c r="M47" s="28" t="str">
        <f t="shared" ref="M47:M67" si="37">IF(L48&lt;&gt;"",L48-L47,"")</f>
        <v/>
      </c>
      <c r="N47" s="27">
        <v>14976</v>
      </c>
      <c r="O47" s="28">
        <f t="shared" ref="O47:O69" si="38">IF(N48&lt;&gt;"",N48-N47,"")</f>
        <v>13</v>
      </c>
      <c r="P47" s="27">
        <v>2214</v>
      </c>
      <c r="Q47" s="28">
        <f t="shared" ref="Q47:S62" si="39">IF(P48&lt;&gt;"",P48-P47,"")</f>
        <v>15</v>
      </c>
      <c r="R47" s="27"/>
      <c r="S47" s="28" t="str">
        <f t="shared" si="39"/>
        <v/>
      </c>
      <c r="T47" s="29">
        <v>19512</v>
      </c>
      <c r="U47" s="28">
        <f t="shared" ref="U47:U69" si="40">IF(T48&lt;&gt;"",T48-T47,"")</f>
        <v>20</v>
      </c>
      <c r="V47" s="27">
        <v>4016</v>
      </c>
      <c r="W47" s="28">
        <f t="shared" ref="W47:W69" si="41">IF(V48&lt;&gt;"",V48-V47,"")</f>
        <v>5</v>
      </c>
      <c r="X47" s="27"/>
      <c r="Y47" s="28" t="str">
        <f t="shared" si="28"/>
        <v/>
      </c>
      <c r="Z47" s="27"/>
      <c r="AA47" s="28" t="str">
        <f t="shared" si="29"/>
        <v/>
      </c>
      <c r="AB47" s="27">
        <v>965</v>
      </c>
      <c r="AC47" s="28">
        <f t="shared" si="18"/>
        <v>0</v>
      </c>
      <c r="AD47" s="27">
        <v>555</v>
      </c>
      <c r="AE47" s="28">
        <f t="shared" ref="AE47:AE69" si="42">IF(AD48&lt;&gt;"",AD48-AD47,"")</f>
        <v>0</v>
      </c>
      <c r="AF47" s="27">
        <v>0</v>
      </c>
      <c r="AG47" s="28">
        <f t="shared" si="20"/>
        <v>0</v>
      </c>
      <c r="AH47" s="27">
        <v>0</v>
      </c>
      <c r="AI47" s="28">
        <f t="shared" ref="AI47:AI69" si="43">IF(AH48&lt;&gt;"",AH48-AH47,"")</f>
        <v>0</v>
      </c>
      <c r="AJ47" s="27">
        <v>0</v>
      </c>
      <c r="AK47" s="28">
        <f t="shared" si="22"/>
        <v>0</v>
      </c>
      <c r="AL47" s="27">
        <v>0</v>
      </c>
      <c r="AM47" s="28">
        <f t="shared" si="23"/>
        <v>0</v>
      </c>
      <c r="AN47" s="24">
        <f t="shared" si="24"/>
        <v>28</v>
      </c>
      <c r="AO47" s="24">
        <f t="shared" si="25"/>
        <v>5</v>
      </c>
      <c r="AP47" s="24">
        <f t="shared" si="26"/>
        <v>33</v>
      </c>
      <c r="AQ47" s="25">
        <f t="shared" si="30"/>
        <v>30</v>
      </c>
      <c r="AR47" s="25">
        <f t="shared" si="27"/>
        <v>15</v>
      </c>
      <c r="AS47" s="25">
        <f t="shared" si="31"/>
        <v>45</v>
      </c>
    </row>
    <row r="48" spans="2:45" hidden="1" x14ac:dyDescent="0.3">
      <c r="B48" s="9" t="s">
        <v>72</v>
      </c>
      <c r="C48" s="33">
        <v>45880</v>
      </c>
      <c r="D48" s="27">
        <v>13631</v>
      </c>
      <c r="E48" s="28">
        <f t="shared" si="10"/>
        <v>1404</v>
      </c>
      <c r="F48" s="27"/>
      <c r="G48" s="28" t="str">
        <f t="shared" si="34"/>
        <v/>
      </c>
      <c r="H48" s="27"/>
      <c r="I48" s="28" t="str">
        <f t="shared" si="35"/>
        <v/>
      </c>
      <c r="J48" s="27"/>
      <c r="K48" s="28" t="str">
        <f t="shared" si="36"/>
        <v/>
      </c>
      <c r="L48" s="27"/>
      <c r="M48" s="28" t="str">
        <f t="shared" si="37"/>
        <v/>
      </c>
      <c r="N48" s="27">
        <v>14989</v>
      </c>
      <c r="O48" s="28">
        <f t="shared" si="38"/>
        <v>297</v>
      </c>
      <c r="P48" s="27">
        <v>2229</v>
      </c>
      <c r="Q48" s="28">
        <f t="shared" si="39"/>
        <v>134</v>
      </c>
      <c r="R48" s="27"/>
      <c r="S48" s="28" t="str">
        <f t="shared" si="39"/>
        <v/>
      </c>
      <c r="T48" s="29">
        <v>19532</v>
      </c>
      <c r="U48" s="28">
        <f t="shared" si="40"/>
        <v>677</v>
      </c>
      <c r="V48" s="27">
        <v>4021</v>
      </c>
      <c r="W48" s="28">
        <f t="shared" si="41"/>
        <v>65</v>
      </c>
      <c r="X48" s="27"/>
      <c r="Y48" s="28" t="str">
        <f t="shared" si="28"/>
        <v/>
      </c>
      <c r="Z48" s="27"/>
      <c r="AA48" s="28" t="str">
        <f t="shared" si="29"/>
        <v/>
      </c>
      <c r="AB48" s="27">
        <v>965</v>
      </c>
      <c r="AC48" s="28">
        <f t="shared" si="18"/>
        <v>77</v>
      </c>
      <c r="AD48" s="27">
        <v>555</v>
      </c>
      <c r="AE48" s="28">
        <f t="shared" si="42"/>
        <v>109</v>
      </c>
      <c r="AF48" s="27">
        <v>0</v>
      </c>
      <c r="AG48" s="28">
        <f t="shared" si="20"/>
        <v>0</v>
      </c>
      <c r="AH48" s="27">
        <v>0</v>
      </c>
      <c r="AI48" s="28">
        <f t="shared" si="43"/>
        <v>0</v>
      </c>
      <c r="AJ48" s="27">
        <v>0</v>
      </c>
      <c r="AK48" s="28">
        <f t="shared" si="22"/>
        <v>0</v>
      </c>
      <c r="AL48" s="27">
        <v>0</v>
      </c>
      <c r="AM48" s="28">
        <f t="shared" si="23"/>
        <v>0</v>
      </c>
      <c r="AN48" s="24">
        <f t="shared" si="24"/>
        <v>431</v>
      </c>
      <c r="AO48" s="24">
        <f t="shared" si="25"/>
        <v>174</v>
      </c>
      <c r="AP48" s="24">
        <f t="shared" si="26"/>
        <v>682</v>
      </c>
      <c r="AQ48" s="25">
        <f t="shared" si="30"/>
        <v>973</v>
      </c>
      <c r="AR48" s="25">
        <f t="shared" si="27"/>
        <v>503</v>
      </c>
      <c r="AS48" s="25">
        <f t="shared" si="31"/>
        <v>1399</v>
      </c>
    </row>
    <row r="49" spans="2:45" hidden="1" x14ac:dyDescent="0.3">
      <c r="B49" s="9" t="s">
        <v>66</v>
      </c>
      <c r="C49" s="33">
        <v>45881</v>
      </c>
      <c r="D49" s="27">
        <v>15035</v>
      </c>
      <c r="E49" s="28">
        <f t="shared" si="10"/>
        <v>1531</v>
      </c>
      <c r="F49" s="27"/>
      <c r="G49" s="28" t="str">
        <f t="shared" si="34"/>
        <v/>
      </c>
      <c r="H49" s="27"/>
      <c r="I49" s="28" t="str">
        <f t="shared" si="35"/>
        <v/>
      </c>
      <c r="J49" s="27"/>
      <c r="K49" s="28" t="str">
        <f t="shared" si="36"/>
        <v/>
      </c>
      <c r="L49" s="27"/>
      <c r="M49" s="28" t="str">
        <f t="shared" si="37"/>
        <v/>
      </c>
      <c r="N49" s="27">
        <v>15286</v>
      </c>
      <c r="O49" s="28">
        <f t="shared" si="38"/>
        <v>279</v>
      </c>
      <c r="P49" s="27">
        <v>2363</v>
      </c>
      <c r="Q49" s="28">
        <f t="shared" si="39"/>
        <v>133</v>
      </c>
      <c r="R49" s="27"/>
      <c r="S49" s="28" t="str">
        <f t="shared" si="39"/>
        <v/>
      </c>
      <c r="T49" s="29">
        <v>20209</v>
      </c>
      <c r="U49" s="28">
        <f t="shared" si="40"/>
        <v>629</v>
      </c>
      <c r="V49" s="27">
        <v>4086</v>
      </c>
      <c r="W49" s="28">
        <f t="shared" si="41"/>
        <v>50</v>
      </c>
      <c r="X49" s="27"/>
      <c r="Y49" s="28" t="str">
        <f t="shared" si="28"/>
        <v/>
      </c>
      <c r="Z49" s="27"/>
      <c r="AA49" s="28" t="str">
        <f t="shared" si="29"/>
        <v/>
      </c>
      <c r="AB49" s="27">
        <v>1042</v>
      </c>
      <c r="AC49" s="28">
        <f t="shared" si="18"/>
        <v>100</v>
      </c>
      <c r="AD49" s="27">
        <v>664</v>
      </c>
      <c r="AE49" s="28">
        <f t="shared" si="42"/>
        <v>113</v>
      </c>
      <c r="AF49" s="27">
        <v>0</v>
      </c>
      <c r="AG49" s="28">
        <f t="shared" si="20"/>
        <v>0</v>
      </c>
      <c r="AH49" s="27">
        <v>0</v>
      </c>
      <c r="AI49" s="28">
        <f>IF(AH50&lt;&gt;"",AH50-AH49,"")</f>
        <v>0</v>
      </c>
      <c r="AJ49" s="27">
        <v>0</v>
      </c>
      <c r="AK49" s="28">
        <f t="shared" si="22"/>
        <v>0</v>
      </c>
      <c r="AL49" s="27">
        <v>0</v>
      </c>
      <c r="AM49" s="28">
        <f t="shared" si="23"/>
        <v>0</v>
      </c>
      <c r="AN49" s="24">
        <f t="shared" si="24"/>
        <v>412</v>
      </c>
      <c r="AO49" s="24">
        <f t="shared" si="25"/>
        <v>163</v>
      </c>
      <c r="AP49" s="24">
        <f t="shared" si="26"/>
        <v>675</v>
      </c>
      <c r="AQ49" s="25">
        <f t="shared" si="30"/>
        <v>1119</v>
      </c>
      <c r="AR49" s="25">
        <f t="shared" si="27"/>
        <v>466</v>
      </c>
      <c r="AS49" s="25">
        <f t="shared" si="31"/>
        <v>1485</v>
      </c>
    </row>
    <row r="50" spans="2:45" hidden="1" x14ac:dyDescent="0.3">
      <c r="B50" s="9" t="s">
        <v>67</v>
      </c>
      <c r="C50" s="33">
        <v>45882</v>
      </c>
      <c r="D50" s="27">
        <v>16566</v>
      </c>
      <c r="E50" s="28">
        <f t="shared" si="10"/>
        <v>1552</v>
      </c>
      <c r="F50" s="27"/>
      <c r="G50" s="28" t="str">
        <f t="shared" si="34"/>
        <v/>
      </c>
      <c r="H50" s="27"/>
      <c r="I50" s="28" t="str">
        <f t="shared" si="35"/>
        <v/>
      </c>
      <c r="J50" s="27"/>
      <c r="K50" s="28" t="str">
        <f t="shared" si="36"/>
        <v/>
      </c>
      <c r="L50" s="27"/>
      <c r="M50" s="28" t="str">
        <f t="shared" si="37"/>
        <v/>
      </c>
      <c r="N50" s="27">
        <v>15565</v>
      </c>
      <c r="O50" s="28">
        <f t="shared" si="38"/>
        <v>265</v>
      </c>
      <c r="P50" s="27">
        <v>2496</v>
      </c>
      <c r="Q50" s="28">
        <f t="shared" si="39"/>
        <v>139</v>
      </c>
      <c r="R50" s="27"/>
      <c r="S50" s="28" t="str">
        <f t="shared" si="39"/>
        <v/>
      </c>
      <c r="T50" s="29">
        <v>20838</v>
      </c>
      <c r="U50" s="28">
        <f t="shared" si="40"/>
        <v>814</v>
      </c>
      <c r="V50" s="27">
        <v>4136</v>
      </c>
      <c r="W50" s="28">
        <f t="shared" si="41"/>
        <v>235</v>
      </c>
      <c r="X50" s="27"/>
      <c r="Y50" s="28" t="str">
        <f t="shared" si="28"/>
        <v/>
      </c>
      <c r="Z50" s="27"/>
      <c r="AA50" s="28" t="str">
        <f t="shared" si="29"/>
        <v/>
      </c>
      <c r="AB50" s="27">
        <v>1142</v>
      </c>
      <c r="AC50" s="28">
        <f t="shared" si="18"/>
        <v>112</v>
      </c>
      <c r="AD50" s="27">
        <v>777</v>
      </c>
      <c r="AE50" s="28">
        <f t="shared" si="42"/>
        <v>155</v>
      </c>
      <c r="AF50" s="27">
        <v>0</v>
      </c>
      <c r="AG50" s="28">
        <f t="shared" si="20"/>
        <v>0</v>
      </c>
      <c r="AH50" s="27">
        <v>0</v>
      </c>
      <c r="AI50" s="28">
        <f t="shared" si="43"/>
        <v>0</v>
      </c>
      <c r="AJ50" s="27">
        <v>0</v>
      </c>
      <c r="AK50" s="28">
        <f t="shared" ref="AK50:AK69" si="44">IF(AJ51&lt;&gt;"",AJ51-AJ50,"")</f>
        <v>0</v>
      </c>
      <c r="AL50" s="27">
        <v>0</v>
      </c>
      <c r="AM50" s="28">
        <f t="shared" ref="AM50:AM69" si="45">IF(AL51&lt;&gt;"",AL51-AL50,"")</f>
        <v>0</v>
      </c>
      <c r="AN50" s="24">
        <f t="shared" si="24"/>
        <v>404</v>
      </c>
      <c r="AO50" s="24">
        <f t="shared" si="25"/>
        <v>390</v>
      </c>
      <c r="AP50" s="24">
        <f t="shared" si="26"/>
        <v>906</v>
      </c>
      <c r="AQ50" s="25">
        <f t="shared" si="30"/>
        <v>1148</v>
      </c>
      <c r="AR50" s="25">
        <f t="shared" si="27"/>
        <v>424</v>
      </c>
      <c r="AS50" s="25">
        <f t="shared" si="31"/>
        <v>1460</v>
      </c>
    </row>
    <row r="51" spans="2:45" hidden="1" x14ac:dyDescent="0.3">
      <c r="B51" s="9" t="s">
        <v>68</v>
      </c>
      <c r="C51" s="33">
        <v>45883</v>
      </c>
      <c r="D51" s="27">
        <v>18118</v>
      </c>
      <c r="E51" s="28">
        <f t="shared" si="10"/>
        <v>0</v>
      </c>
      <c r="F51" s="27"/>
      <c r="G51" s="28" t="str">
        <f t="shared" si="34"/>
        <v/>
      </c>
      <c r="H51" s="27"/>
      <c r="I51" s="28" t="str">
        <f t="shared" si="35"/>
        <v/>
      </c>
      <c r="J51" s="27"/>
      <c r="K51" s="28" t="str">
        <f t="shared" si="36"/>
        <v/>
      </c>
      <c r="L51" s="27"/>
      <c r="M51" s="28" t="str">
        <f t="shared" si="37"/>
        <v/>
      </c>
      <c r="N51" s="27">
        <v>15830</v>
      </c>
      <c r="O51" s="28"/>
      <c r="P51" s="27">
        <v>2635</v>
      </c>
      <c r="Q51" s="28">
        <f t="shared" si="39"/>
        <v>0</v>
      </c>
      <c r="R51" s="27"/>
      <c r="S51" s="28" t="str">
        <f t="shared" si="39"/>
        <v/>
      </c>
      <c r="T51" s="29">
        <v>21652</v>
      </c>
      <c r="U51" s="28">
        <f t="shared" si="40"/>
        <v>0</v>
      </c>
      <c r="V51" s="27">
        <v>4371</v>
      </c>
      <c r="W51" s="28">
        <f t="shared" si="41"/>
        <v>0</v>
      </c>
      <c r="X51" s="27"/>
      <c r="Y51" s="28" t="str">
        <f t="shared" si="28"/>
        <v/>
      </c>
      <c r="Z51" s="27"/>
      <c r="AA51" s="28" t="str">
        <f t="shared" si="29"/>
        <v/>
      </c>
      <c r="AB51" s="27">
        <v>1254</v>
      </c>
      <c r="AC51" s="28">
        <f t="shared" si="18"/>
        <v>0</v>
      </c>
      <c r="AD51" s="27">
        <v>932</v>
      </c>
      <c r="AE51" s="28">
        <f t="shared" si="42"/>
        <v>0</v>
      </c>
      <c r="AF51" s="27">
        <v>0</v>
      </c>
      <c r="AG51" s="28">
        <f t="shared" si="20"/>
        <v>0</v>
      </c>
      <c r="AH51" s="27">
        <v>0</v>
      </c>
      <c r="AI51" s="28">
        <f t="shared" si="43"/>
        <v>0</v>
      </c>
      <c r="AJ51" s="27">
        <v>0</v>
      </c>
      <c r="AK51" s="28">
        <f t="shared" si="44"/>
        <v>0</v>
      </c>
      <c r="AL51" s="27">
        <v>0</v>
      </c>
      <c r="AM51" s="28">
        <f t="shared" si="45"/>
        <v>0</v>
      </c>
      <c r="AN51" s="24">
        <f t="shared" si="24"/>
        <v>0</v>
      </c>
      <c r="AO51" s="24">
        <f>SUM(W51,Y51,AA51,AE51,AG51,AK51,AM51)</f>
        <v>0</v>
      </c>
      <c r="AP51" s="24">
        <f t="shared" si="26"/>
        <v>0</v>
      </c>
      <c r="AQ51" s="25">
        <f t="shared" si="30"/>
        <v>0</v>
      </c>
      <c r="AR51" s="25">
        <f t="shared" si="27"/>
        <v>0</v>
      </c>
      <c r="AS51" s="25">
        <f t="shared" si="31"/>
        <v>0</v>
      </c>
    </row>
    <row r="52" spans="2:45" hidden="1" x14ac:dyDescent="0.3">
      <c r="B52" s="9" t="s">
        <v>69</v>
      </c>
      <c r="C52" s="33">
        <v>45884</v>
      </c>
      <c r="D52" s="27">
        <v>18118</v>
      </c>
      <c r="E52" s="28">
        <f t="shared" si="10"/>
        <v>1797</v>
      </c>
      <c r="F52" s="27"/>
      <c r="G52" s="28" t="str">
        <f t="shared" si="34"/>
        <v/>
      </c>
      <c r="H52" s="27"/>
      <c r="I52" s="28" t="str">
        <f t="shared" si="35"/>
        <v/>
      </c>
      <c r="J52" s="27"/>
      <c r="K52" s="28" t="str">
        <f t="shared" si="36"/>
        <v/>
      </c>
      <c r="L52" s="27"/>
      <c r="M52" s="28" t="str">
        <f t="shared" si="37"/>
        <v/>
      </c>
      <c r="N52" s="27">
        <v>15830</v>
      </c>
      <c r="O52" s="28">
        <f t="shared" si="38"/>
        <v>282</v>
      </c>
      <c r="P52" s="27">
        <v>2635</v>
      </c>
      <c r="Q52" s="28">
        <f t="shared" si="39"/>
        <v>149</v>
      </c>
      <c r="R52" s="27"/>
      <c r="S52" s="28" t="str">
        <f t="shared" si="39"/>
        <v/>
      </c>
      <c r="T52" s="29">
        <v>21652</v>
      </c>
      <c r="U52" s="28">
        <f t="shared" si="40"/>
        <v>846</v>
      </c>
      <c r="V52" s="27">
        <v>4371</v>
      </c>
      <c r="W52" s="28">
        <f t="shared" si="41"/>
        <v>136</v>
      </c>
      <c r="X52" s="27"/>
      <c r="Y52" s="28" t="str">
        <f t="shared" si="28"/>
        <v/>
      </c>
      <c r="Z52" s="27"/>
      <c r="AA52" s="28" t="str">
        <f t="shared" si="29"/>
        <v/>
      </c>
      <c r="AB52" s="27">
        <v>1254</v>
      </c>
      <c r="AC52" s="28">
        <f t="shared" si="18"/>
        <v>157</v>
      </c>
      <c r="AD52" s="27">
        <v>932</v>
      </c>
      <c r="AE52" s="28">
        <f t="shared" si="42"/>
        <v>176</v>
      </c>
      <c r="AF52" s="27">
        <v>0</v>
      </c>
      <c r="AG52" s="28">
        <f t="shared" si="20"/>
        <v>0</v>
      </c>
      <c r="AH52" s="27">
        <v>0</v>
      </c>
      <c r="AI52" s="28">
        <f t="shared" si="43"/>
        <v>0</v>
      </c>
      <c r="AJ52" s="27">
        <v>0</v>
      </c>
      <c r="AK52" s="28">
        <f t="shared" si="44"/>
        <v>0</v>
      </c>
      <c r="AL52" s="27">
        <v>0</v>
      </c>
      <c r="AM52" s="28">
        <f t="shared" si="45"/>
        <v>0</v>
      </c>
      <c r="AN52" s="24">
        <f t="shared" si="24"/>
        <v>431</v>
      </c>
      <c r="AO52" s="24">
        <f t="shared" si="25"/>
        <v>312</v>
      </c>
      <c r="AP52" s="24">
        <f t="shared" si="26"/>
        <v>900</v>
      </c>
      <c r="AQ52" s="25">
        <f t="shared" si="30"/>
        <v>1366</v>
      </c>
      <c r="AR52" s="25">
        <f t="shared" si="27"/>
        <v>534</v>
      </c>
      <c r="AS52" s="25">
        <f t="shared" si="31"/>
        <v>1743</v>
      </c>
    </row>
    <row r="53" spans="2:45" hidden="1" x14ac:dyDescent="0.3">
      <c r="B53" s="9" t="s">
        <v>70</v>
      </c>
      <c r="C53" s="33">
        <v>45885</v>
      </c>
      <c r="D53" s="27">
        <v>19915</v>
      </c>
      <c r="E53" s="28">
        <f t="shared" si="10"/>
        <v>1484</v>
      </c>
      <c r="F53" s="27"/>
      <c r="G53" s="28" t="str">
        <f t="shared" si="34"/>
        <v/>
      </c>
      <c r="H53" s="27"/>
      <c r="I53" s="28" t="str">
        <f t="shared" si="35"/>
        <v/>
      </c>
      <c r="J53" s="27"/>
      <c r="K53" s="28" t="str">
        <f t="shared" si="36"/>
        <v/>
      </c>
      <c r="L53" s="27"/>
      <c r="M53" s="28" t="str">
        <f t="shared" si="37"/>
        <v/>
      </c>
      <c r="N53" s="27">
        <v>16112</v>
      </c>
      <c r="O53" s="28">
        <f t="shared" si="38"/>
        <v>218</v>
      </c>
      <c r="P53" s="27">
        <v>2784</v>
      </c>
      <c r="Q53" s="28">
        <f t="shared" si="39"/>
        <v>109</v>
      </c>
      <c r="R53" s="27"/>
      <c r="S53" s="28" t="str">
        <f t="shared" si="39"/>
        <v/>
      </c>
      <c r="T53" s="29">
        <v>22498</v>
      </c>
      <c r="U53" s="28">
        <f t="shared" si="40"/>
        <v>496</v>
      </c>
      <c r="V53" s="27">
        <v>4507</v>
      </c>
      <c r="W53" s="28">
        <f t="shared" si="41"/>
        <v>91</v>
      </c>
      <c r="X53" s="27"/>
      <c r="Y53" s="28" t="str">
        <f t="shared" si="28"/>
        <v/>
      </c>
      <c r="Z53" s="27"/>
      <c r="AA53" s="28" t="str">
        <f t="shared" si="29"/>
        <v/>
      </c>
      <c r="AB53" s="27">
        <v>1411</v>
      </c>
      <c r="AC53" s="28">
        <f t="shared" si="18"/>
        <v>52</v>
      </c>
      <c r="AD53" s="27">
        <v>1108</v>
      </c>
      <c r="AE53" s="28">
        <f t="shared" si="42"/>
        <v>72</v>
      </c>
      <c r="AF53" s="27">
        <v>0</v>
      </c>
      <c r="AG53" s="28">
        <f t="shared" si="20"/>
        <v>0</v>
      </c>
      <c r="AH53" s="27">
        <v>0</v>
      </c>
      <c r="AI53" s="28">
        <f t="shared" si="43"/>
        <v>0</v>
      </c>
      <c r="AJ53" s="27">
        <v>0</v>
      </c>
      <c r="AK53" s="28">
        <f t="shared" si="44"/>
        <v>0</v>
      </c>
      <c r="AL53" s="27">
        <v>0</v>
      </c>
      <c r="AM53" s="28">
        <f t="shared" si="45"/>
        <v>0</v>
      </c>
      <c r="AN53" s="24">
        <f t="shared" si="24"/>
        <v>327</v>
      </c>
      <c r="AO53" s="24">
        <f t="shared" si="25"/>
        <v>163</v>
      </c>
      <c r="AP53" s="24">
        <f t="shared" si="26"/>
        <v>542</v>
      </c>
      <c r="AQ53" s="25">
        <f t="shared" si="30"/>
        <v>1157</v>
      </c>
      <c r="AR53" s="25">
        <f t="shared" si="27"/>
        <v>333</v>
      </c>
      <c r="AS53" s="25">
        <f>(E53+U53)-AP53</f>
        <v>1438</v>
      </c>
    </row>
    <row r="54" spans="2:45" hidden="1" x14ac:dyDescent="0.3">
      <c r="B54" s="9" t="s">
        <v>71</v>
      </c>
      <c r="C54" s="33">
        <v>45886</v>
      </c>
      <c r="D54" s="27">
        <v>21399</v>
      </c>
      <c r="E54" s="28">
        <f t="shared" si="10"/>
        <v>102</v>
      </c>
      <c r="F54" s="27"/>
      <c r="G54" s="28" t="str">
        <f t="shared" si="34"/>
        <v/>
      </c>
      <c r="H54" s="27"/>
      <c r="I54" s="28" t="str">
        <f t="shared" si="35"/>
        <v/>
      </c>
      <c r="J54" s="27"/>
      <c r="K54" s="28" t="str">
        <f t="shared" si="36"/>
        <v/>
      </c>
      <c r="L54" s="27"/>
      <c r="M54" s="28" t="str">
        <f t="shared" si="37"/>
        <v/>
      </c>
      <c r="N54" s="27">
        <v>16330</v>
      </c>
      <c r="O54" s="28">
        <f t="shared" si="38"/>
        <v>23</v>
      </c>
      <c r="P54" s="27">
        <v>2893</v>
      </c>
      <c r="Q54" s="28">
        <f t="shared" si="39"/>
        <v>19</v>
      </c>
      <c r="R54" s="27"/>
      <c r="S54" s="28" t="str">
        <f t="shared" si="39"/>
        <v/>
      </c>
      <c r="T54" s="29">
        <v>22994</v>
      </c>
      <c r="U54" s="28">
        <f t="shared" si="40"/>
        <v>30</v>
      </c>
      <c r="V54" s="27">
        <v>4598</v>
      </c>
      <c r="W54" s="28">
        <f t="shared" si="41"/>
        <v>7</v>
      </c>
      <c r="X54" s="27"/>
      <c r="Y54" s="28" t="str">
        <f t="shared" si="28"/>
        <v/>
      </c>
      <c r="Z54" s="27"/>
      <c r="AA54" s="28" t="str">
        <f t="shared" si="29"/>
        <v/>
      </c>
      <c r="AB54" s="27">
        <v>1463</v>
      </c>
      <c r="AC54" s="28">
        <f t="shared" si="18"/>
        <v>3</v>
      </c>
      <c r="AD54" s="27">
        <v>1180</v>
      </c>
      <c r="AE54" s="28">
        <f t="shared" si="42"/>
        <v>1</v>
      </c>
      <c r="AF54" s="27">
        <v>0</v>
      </c>
      <c r="AG54" s="28">
        <f t="shared" si="20"/>
        <v>0</v>
      </c>
      <c r="AH54" s="27">
        <v>0</v>
      </c>
      <c r="AI54" s="28">
        <f t="shared" si="43"/>
        <v>0</v>
      </c>
      <c r="AJ54" s="27">
        <v>0</v>
      </c>
      <c r="AK54" s="28">
        <f t="shared" si="44"/>
        <v>0</v>
      </c>
      <c r="AL54" s="27">
        <v>0</v>
      </c>
      <c r="AM54" s="28">
        <f t="shared" si="45"/>
        <v>0</v>
      </c>
      <c r="AN54" s="24">
        <f t="shared" si="24"/>
        <v>42</v>
      </c>
      <c r="AO54" s="24">
        <f t="shared" si="25"/>
        <v>8</v>
      </c>
      <c r="AP54" s="24">
        <f t="shared" si="26"/>
        <v>53</v>
      </c>
      <c r="AQ54" s="25">
        <f t="shared" si="30"/>
        <v>60</v>
      </c>
      <c r="AR54" s="25">
        <f t="shared" si="27"/>
        <v>22</v>
      </c>
      <c r="AS54" s="25">
        <f t="shared" si="31"/>
        <v>79</v>
      </c>
    </row>
    <row r="55" spans="2:45" hidden="1" x14ac:dyDescent="0.3">
      <c r="B55" s="9" t="s">
        <v>72</v>
      </c>
      <c r="C55" s="33">
        <v>45887</v>
      </c>
      <c r="D55" s="27">
        <v>21501</v>
      </c>
      <c r="E55" s="28">
        <f t="shared" si="10"/>
        <v>1555</v>
      </c>
      <c r="F55" s="27"/>
      <c r="G55" s="28" t="str">
        <f t="shared" si="34"/>
        <v/>
      </c>
      <c r="H55" s="27"/>
      <c r="I55" s="28" t="str">
        <f t="shared" si="35"/>
        <v/>
      </c>
      <c r="J55" s="27"/>
      <c r="K55" s="28" t="str">
        <f t="shared" si="36"/>
        <v/>
      </c>
      <c r="L55" s="27"/>
      <c r="M55" s="28" t="str">
        <f t="shared" si="37"/>
        <v/>
      </c>
      <c r="N55" s="27">
        <v>16353</v>
      </c>
      <c r="O55" s="28">
        <f t="shared" si="38"/>
        <v>243</v>
      </c>
      <c r="P55" s="27">
        <v>2912</v>
      </c>
      <c r="Q55" s="28">
        <f t="shared" si="39"/>
        <v>132</v>
      </c>
      <c r="R55" s="27"/>
      <c r="S55" s="28" t="str">
        <f t="shared" si="39"/>
        <v/>
      </c>
      <c r="T55" s="29">
        <v>23024</v>
      </c>
      <c r="U55" s="28">
        <f t="shared" si="40"/>
        <v>628</v>
      </c>
      <c r="V55" s="27">
        <v>4605</v>
      </c>
      <c r="W55" s="28">
        <f t="shared" si="41"/>
        <v>121</v>
      </c>
      <c r="X55" s="27"/>
      <c r="Y55" s="28" t="str">
        <f t="shared" si="28"/>
        <v/>
      </c>
      <c r="Z55" s="27"/>
      <c r="AA55" s="28" t="str">
        <f t="shared" si="29"/>
        <v/>
      </c>
      <c r="AB55" s="27">
        <v>1466</v>
      </c>
      <c r="AC55" s="28">
        <f t="shared" si="18"/>
        <v>80</v>
      </c>
      <c r="AD55" s="27">
        <v>1181</v>
      </c>
      <c r="AE55" s="28">
        <f t="shared" si="42"/>
        <v>98</v>
      </c>
      <c r="AF55" s="27">
        <v>0</v>
      </c>
      <c r="AG55" s="28">
        <f t="shared" si="20"/>
        <v>0</v>
      </c>
      <c r="AH55" s="27">
        <v>0</v>
      </c>
      <c r="AI55" s="28">
        <f t="shared" si="43"/>
        <v>0</v>
      </c>
      <c r="AJ55" s="27">
        <v>0</v>
      </c>
      <c r="AK55" s="28">
        <f t="shared" si="44"/>
        <v>0</v>
      </c>
      <c r="AL55" s="27">
        <v>0</v>
      </c>
      <c r="AM55" s="28">
        <f t="shared" si="45"/>
        <v>0</v>
      </c>
      <c r="AN55" s="24">
        <f>SUM(G55,I55,K55,M55,O55,Q55,S55)</f>
        <v>375</v>
      </c>
      <c r="AO55" s="24">
        <f t="shared" si="25"/>
        <v>219</v>
      </c>
      <c r="AP55" s="24">
        <f t="shared" si="26"/>
        <v>674</v>
      </c>
      <c r="AQ55" s="25">
        <f t="shared" si="30"/>
        <v>1180</v>
      </c>
      <c r="AR55" s="25">
        <f t="shared" si="27"/>
        <v>409</v>
      </c>
      <c r="AS55" s="25">
        <f t="shared" si="31"/>
        <v>1509</v>
      </c>
    </row>
    <row r="56" spans="2:45" hidden="1" x14ac:dyDescent="0.3">
      <c r="B56" s="9" t="s">
        <v>66</v>
      </c>
      <c r="C56" s="33">
        <v>45888</v>
      </c>
      <c r="D56" s="27">
        <v>23056</v>
      </c>
      <c r="E56" s="28">
        <f t="shared" ref="E56:E69" si="46">IF(D57&lt;&gt;"",D57-D56,"")</f>
        <v>1761</v>
      </c>
      <c r="F56" s="27"/>
      <c r="G56" s="28" t="str">
        <f t="shared" si="34"/>
        <v/>
      </c>
      <c r="H56" s="27"/>
      <c r="I56" s="28" t="str">
        <f t="shared" si="35"/>
        <v/>
      </c>
      <c r="J56" s="27"/>
      <c r="K56" s="28" t="str">
        <f t="shared" si="36"/>
        <v/>
      </c>
      <c r="L56" s="27"/>
      <c r="M56" s="28" t="str">
        <f t="shared" si="37"/>
        <v/>
      </c>
      <c r="N56" s="27">
        <v>16596</v>
      </c>
      <c r="O56" s="28">
        <f t="shared" si="38"/>
        <v>264</v>
      </c>
      <c r="P56" s="27">
        <v>3044</v>
      </c>
      <c r="Q56" s="28">
        <f t="shared" si="39"/>
        <v>137</v>
      </c>
      <c r="R56" s="27"/>
      <c r="S56" s="28" t="str">
        <f t="shared" si="39"/>
        <v/>
      </c>
      <c r="T56" s="29">
        <v>23652</v>
      </c>
      <c r="U56" s="28">
        <f t="shared" si="40"/>
        <v>591</v>
      </c>
      <c r="V56" s="27">
        <v>4726</v>
      </c>
      <c r="W56" s="28">
        <f t="shared" si="41"/>
        <v>110</v>
      </c>
      <c r="X56" s="27"/>
      <c r="Y56" s="28" t="str">
        <f t="shared" si="28"/>
        <v/>
      </c>
      <c r="Z56" s="27"/>
      <c r="AA56" s="28" t="str">
        <f t="shared" si="29"/>
        <v/>
      </c>
      <c r="AB56" s="27">
        <v>1546</v>
      </c>
      <c r="AC56" s="28">
        <f t="shared" si="18"/>
        <v>54</v>
      </c>
      <c r="AD56" s="27">
        <v>1279</v>
      </c>
      <c r="AE56" s="28">
        <f t="shared" si="42"/>
        <v>100</v>
      </c>
      <c r="AF56" s="27">
        <v>0</v>
      </c>
      <c r="AG56" s="28">
        <f t="shared" si="20"/>
        <v>0</v>
      </c>
      <c r="AH56" s="27">
        <v>0</v>
      </c>
      <c r="AI56" s="28">
        <f t="shared" si="43"/>
        <v>0</v>
      </c>
      <c r="AJ56" s="27">
        <v>0</v>
      </c>
      <c r="AK56" s="28">
        <f t="shared" si="44"/>
        <v>0</v>
      </c>
      <c r="AL56" s="27">
        <v>0</v>
      </c>
      <c r="AM56" s="28">
        <f t="shared" si="45"/>
        <v>0</v>
      </c>
      <c r="AN56" s="24">
        <f t="shared" si="24"/>
        <v>401</v>
      </c>
      <c r="AO56" s="24">
        <f t="shared" si="25"/>
        <v>210</v>
      </c>
      <c r="AP56" s="24">
        <f t="shared" si="26"/>
        <v>665</v>
      </c>
      <c r="AQ56" s="25">
        <f t="shared" si="30"/>
        <v>1360</v>
      </c>
      <c r="AR56" s="25">
        <f t="shared" si="27"/>
        <v>381</v>
      </c>
      <c r="AS56" s="25">
        <f t="shared" si="31"/>
        <v>1687</v>
      </c>
    </row>
    <row r="57" spans="2:45" hidden="1" x14ac:dyDescent="0.3">
      <c r="B57" s="9" t="s">
        <v>67</v>
      </c>
      <c r="C57" s="33">
        <v>45889</v>
      </c>
      <c r="D57" s="27">
        <v>24817</v>
      </c>
      <c r="E57" s="28">
        <f t="shared" si="46"/>
        <v>1800</v>
      </c>
      <c r="F57" s="27"/>
      <c r="G57" s="28" t="str">
        <f t="shared" si="34"/>
        <v/>
      </c>
      <c r="H57" s="27"/>
      <c r="I57" s="28" t="str">
        <f t="shared" si="35"/>
        <v/>
      </c>
      <c r="J57" s="27"/>
      <c r="K57" s="28" t="str">
        <f t="shared" si="36"/>
        <v/>
      </c>
      <c r="L57" s="27"/>
      <c r="M57" s="28" t="str">
        <f t="shared" si="37"/>
        <v/>
      </c>
      <c r="N57" s="27">
        <v>16860</v>
      </c>
      <c r="O57" s="28">
        <f t="shared" si="38"/>
        <v>266</v>
      </c>
      <c r="P57" s="27">
        <v>3181</v>
      </c>
      <c r="Q57" s="28">
        <f t="shared" si="39"/>
        <v>132</v>
      </c>
      <c r="R57" s="27"/>
      <c r="S57" s="28" t="str">
        <f t="shared" si="39"/>
        <v/>
      </c>
      <c r="T57" s="29">
        <v>24243</v>
      </c>
      <c r="U57" s="28">
        <f t="shared" si="40"/>
        <v>244</v>
      </c>
      <c r="V57" s="27">
        <v>4836</v>
      </c>
      <c r="W57" s="28">
        <f t="shared" si="41"/>
        <v>113</v>
      </c>
      <c r="X57" s="27"/>
      <c r="Y57" s="28" t="str">
        <f t="shared" si="28"/>
        <v/>
      </c>
      <c r="Z57" s="27"/>
      <c r="AA57" s="28" t="str">
        <f t="shared" si="29"/>
        <v/>
      </c>
      <c r="AB57" s="27">
        <v>1600</v>
      </c>
      <c r="AC57" s="28">
        <f t="shared" si="18"/>
        <v>86</v>
      </c>
      <c r="AD57" s="27">
        <v>1379</v>
      </c>
      <c r="AE57" s="28">
        <f t="shared" si="42"/>
        <v>88</v>
      </c>
      <c r="AF57" s="27">
        <v>0</v>
      </c>
      <c r="AG57" s="28">
        <f t="shared" si="20"/>
        <v>0</v>
      </c>
      <c r="AH57" s="27">
        <v>0</v>
      </c>
      <c r="AI57" s="28">
        <f t="shared" si="43"/>
        <v>0</v>
      </c>
      <c r="AJ57" s="27">
        <v>0</v>
      </c>
      <c r="AK57" s="28">
        <f t="shared" si="44"/>
        <v>0</v>
      </c>
      <c r="AL57" s="27">
        <v>0</v>
      </c>
      <c r="AM57" s="28">
        <f t="shared" si="45"/>
        <v>0</v>
      </c>
      <c r="AN57" s="24">
        <f>SUM(G57,I57,K57,M57,O57,Q57,S57)</f>
        <v>398</v>
      </c>
      <c r="AO57" s="24">
        <f t="shared" si="25"/>
        <v>201</v>
      </c>
      <c r="AP57" s="24">
        <f t="shared" si="26"/>
        <v>685</v>
      </c>
      <c r="AQ57" s="25">
        <f t="shared" si="30"/>
        <v>1402</v>
      </c>
      <c r="AR57" s="25">
        <f t="shared" si="27"/>
        <v>43</v>
      </c>
      <c r="AS57" s="25">
        <f t="shared" si="31"/>
        <v>1359</v>
      </c>
    </row>
    <row r="58" spans="2:45" hidden="1" x14ac:dyDescent="0.3">
      <c r="B58" s="9" t="s">
        <v>68</v>
      </c>
      <c r="C58" s="33">
        <v>45890</v>
      </c>
      <c r="D58" s="27">
        <v>26617</v>
      </c>
      <c r="E58" s="28">
        <f t="shared" si="46"/>
        <v>1699</v>
      </c>
      <c r="F58" s="27"/>
      <c r="G58" s="28" t="str">
        <f t="shared" si="34"/>
        <v/>
      </c>
      <c r="H58" s="27"/>
      <c r="I58" s="28" t="str">
        <f t="shared" si="35"/>
        <v/>
      </c>
      <c r="J58" s="27"/>
      <c r="K58" s="28" t="str">
        <f t="shared" si="36"/>
        <v/>
      </c>
      <c r="L58" s="27"/>
      <c r="M58" s="28" t="str">
        <f t="shared" si="37"/>
        <v/>
      </c>
      <c r="N58" s="27">
        <v>17126</v>
      </c>
      <c r="O58" s="28">
        <f t="shared" si="38"/>
        <v>265</v>
      </c>
      <c r="P58" s="27">
        <v>3313</v>
      </c>
      <c r="Q58" s="28">
        <f t="shared" si="39"/>
        <v>136</v>
      </c>
      <c r="R58" s="27"/>
      <c r="S58" s="28" t="str">
        <f t="shared" si="39"/>
        <v/>
      </c>
      <c r="T58" s="29">
        <v>24487</v>
      </c>
      <c r="U58" s="28">
        <f t="shared" si="40"/>
        <v>1037</v>
      </c>
      <c r="V58" s="27">
        <v>4949</v>
      </c>
      <c r="W58" s="28">
        <f t="shared" si="41"/>
        <v>119</v>
      </c>
      <c r="X58" s="27"/>
      <c r="Y58" s="28" t="str">
        <f t="shared" si="28"/>
        <v/>
      </c>
      <c r="Z58" s="27"/>
      <c r="AA58" s="28" t="str">
        <f t="shared" si="29"/>
        <v/>
      </c>
      <c r="AB58" s="27">
        <v>1686</v>
      </c>
      <c r="AC58" s="28">
        <f t="shared" si="18"/>
        <v>107</v>
      </c>
      <c r="AD58" s="27">
        <v>1467</v>
      </c>
      <c r="AE58" s="28">
        <f t="shared" si="42"/>
        <v>92</v>
      </c>
      <c r="AF58" s="27">
        <v>0</v>
      </c>
      <c r="AG58" s="28">
        <f t="shared" si="20"/>
        <v>0</v>
      </c>
      <c r="AH58" s="27">
        <v>0</v>
      </c>
      <c r="AI58" s="28">
        <f t="shared" si="43"/>
        <v>0</v>
      </c>
      <c r="AJ58" s="27">
        <v>0</v>
      </c>
      <c r="AK58" s="28">
        <f t="shared" si="44"/>
        <v>0</v>
      </c>
      <c r="AL58" s="27">
        <v>0</v>
      </c>
      <c r="AM58" s="28">
        <f t="shared" si="45"/>
        <v>0</v>
      </c>
      <c r="AN58" s="24">
        <f t="shared" si="24"/>
        <v>401</v>
      </c>
      <c r="AO58" s="24">
        <f t="shared" si="25"/>
        <v>211</v>
      </c>
      <c r="AP58" s="24">
        <f t="shared" si="26"/>
        <v>719</v>
      </c>
      <c r="AQ58" s="25">
        <f t="shared" si="30"/>
        <v>1298</v>
      </c>
      <c r="AR58" s="25">
        <f t="shared" si="27"/>
        <v>826</v>
      </c>
      <c r="AS58" s="25">
        <f t="shared" si="31"/>
        <v>2017</v>
      </c>
    </row>
    <row r="59" spans="2:45" hidden="1" x14ac:dyDescent="0.3">
      <c r="B59" s="9" t="s">
        <v>69</v>
      </c>
      <c r="C59" s="33">
        <v>45891</v>
      </c>
      <c r="D59" s="27">
        <v>28316</v>
      </c>
      <c r="E59" s="28">
        <f t="shared" si="46"/>
        <v>1658</v>
      </c>
      <c r="F59" s="27"/>
      <c r="G59" s="28" t="str">
        <f t="shared" si="34"/>
        <v/>
      </c>
      <c r="H59" s="27"/>
      <c r="I59" s="28" t="str">
        <f t="shared" si="35"/>
        <v/>
      </c>
      <c r="J59" s="27"/>
      <c r="K59" s="28" t="str">
        <f t="shared" si="36"/>
        <v/>
      </c>
      <c r="L59" s="27"/>
      <c r="M59" s="28" t="str">
        <f t="shared" si="37"/>
        <v/>
      </c>
      <c r="N59" s="27">
        <v>17391</v>
      </c>
      <c r="O59" s="28">
        <f t="shared" si="38"/>
        <v>268</v>
      </c>
      <c r="P59" s="27">
        <v>3449</v>
      </c>
      <c r="Q59" s="28">
        <f t="shared" si="39"/>
        <v>138</v>
      </c>
      <c r="R59" s="27"/>
      <c r="S59" s="28" t="str">
        <f t="shared" si="39"/>
        <v/>
      </c>
      <c r="T59" s="29">
        <v>25524</v>
      </c>
      <c r="U59" s="28">
        <f t="shared" si="40"/>
        <v>673</v>
      </c>
      <c r="V59" s="27">
        <v>5068</v>
      </c>
      <c r="W59" s="28">
        <f t="shared" si="41"/>
        <v>113</v>
      </c>
      <c r="X59" s="27"/>
      <c r="Y59" s="28" t="str">
        <f t="shared" si="28"/>
        <v/>
      </c>
      <c r="Z59" s="27"/>
      <c r="AA59" s="28" t="str">
        <f t="shared" si="29"/>
        <v/>
      </c>
      <c r="AB59" s="27">
        <v>1793</v>
      </c>
      <c r="AC59" s="28">
        <f t="shared" si="18"/>
        <v>113</v>
      </c>
      <c r="AD59" s="27">
        <v>1559</v>
      </c>
      <c r="AE59" s="28">
        <f t="shared" si="42"/>
        <v>90</v>
      </c>
      <c r="AF59" s="27">
        <v>0</v>
      </c>
      <c r="AG59" s="28">
        <f t="shared" si="20"/>
        <v>0</v>
      </c>
      <c r="AH59" s="27">
        <v>0</v>
      </c>
      <c r="AI59" s="28">
        <f t="shared" si="43"/>
        <v>0</v>
      </c>
      <c r="AJ59" s="27">
        <v>0</v>
      </c>
      <c r="AK59" s="28">
        <f t="shared" si="44"/>
        <v>0</v>
      </c>
      <c r="AL59" s="27">
        <v>0</v>
      </c>
      <c r="AM59" s="28">
        <f t="shared" si="45"/>
        <v>0</v>
      </c>
      <c r="AN59" s="24">
        <f t="shared" si="24"/>
        <v>406</v>
      </c>
      <c r="AO59" s="24">
        <f t="shared" si="25"/>
        <v>203</v>
      </c>
      <c r="AP59" s="24">
        <f t="shared" si="26"/>
        <v>722</v>
      </c>
      <c r="AQ59" s="25">
        <f t="shared" si="30"/>
        <v>1252</v>
      </c>
      <c r="AR59" s="25">
        <f t="shared" si="27"/>
        <v>470</v>
      </c>
      <c r="AS59" s="25">
        <f t="shared" si="31"/>
        <v>1609</v>
      </c>
    </row>
    <row r="60" spans="2:45" hidden="1" x14ac:dyDescent="0.3">
      <c r="B60" s="9" t="s">
        <v>70</v>
      </c>
      <c r="C60" s="33">
        <v>45892</v>
      </c>
      <c r="D60" s="27">
        <v>29974</v>
      </c>
      <c r="E60" s="28">
        <f t="shared" si="46"/>
        <v>1655</v>
      </c>
      <c r="F60" s="27"/>
      <c r="G60" s="28" t="str">
        <f t="shared" si="34"/>
        <v/>
      </c>
      <c r="H60" s="27"/>
      <c r="I60" s="28" t="str">
        <f t="shared" si="35"/>
        <v/>
      </c>
      <c r="J60" s="27"/>
      <c r="K60" s="28" t="str">
        <f t="shared" si="36"/>
        <v/>
      </c>
      <c r="L60" s="27"/>
      <c r="M60" s="28" t="str">
        <f t="shared" si="37"/>
        <v/>
      </c>
      <c r="N60" s="27">
        <v>17659</v>
      </c>
      <c r="O60" s="28">
        <f t="shared" si="38"/>
        <v>255</v>
      </c>
      <c r="P60" s="27">
        <v>3587</v>
      </c>
      <c r="Q60" s="28">
        <f t="shared" si="39"/>
        <v>131</v>
      </c>
      <c r="R60" s="27"/>
      <c r="S60" s="28" t="str">
        <f t="shared" si="39"/>
        <v/>
      </c>
      <c r="T60" s="29">
        <v>26197</v>
      </c>
      <c r="U60" s="28">
        <f t="shared" si="40"/>
        <v>739</v>
      </c>
      <c r="V60" s="27">
        <v>5181</v>
      </c>
      <c r="W60" s="28">
        <f t="shared" si="41"/>
        <v>107</v>
      </c>
      <c r="X60" s="27"/>
      <c r="Y60" s="28" t="str">
        <f t="shared" si="28"/>
        <v/>
      </c>
      <c r="Z60" s="27"/>
      <c r="AA60" s="28" t="str">
        <f t="shared" si="29"/>
        <v/>
      </c>
      <c r="AB60" s="27">
        <v>1906</v>
      </c>
      <c r="AC60" s="28">
        <f t="shared" si="18"/>
        <v>153</v>
      </c>
      <c r="AD60" s="27">
        <v>1649</v>
      </c>
      <c r="AE60" s="28">
        <f t="shared" si="42"/>
        <v>129</v>
      </c>
      <c r="AF60" s="27">
        <v>0</v>
      </c>
      <c r="AG60" s="28">
        <f t="shared" si="20"/>
        <v>0</v>
      </c>
      <c r="AH60" s="27">
        <v>0</v>
      </c>
      <c r="AI60" s="28">
        <f t="shared" si="43"/>
        <v>0</v>
      </c>
      <c r="AJ60" s="27">
        <v>0</v>
      </c>
      <c r="AK60" s="28">
        <f t="shared" si="44"/>
        <v>0</v>
      </c>
      <c r="AL60" s="27">
        <v>0</v>
      </c>
      <c r="AM60" s="28">
        <f t="shared" si="45"/>
        <v>0</v>
      </c>
      <c r="AN60" s="24">
        <f t="shared" si="24"/>
        <v>386</v>
      </c>
      <c r="AO60" s="24">
        <f t="shared" si="25"/>
        <v>236</v>
      </c>
      <c r="AP60" s="24">
        <f t="shared" si="26"/>
        <v>775</v>
      </c>
      <c r="AQ60" s="25">
        <f t="shared" si="30"/>
        <v>1269</v>
      </c>
      <c r="AR60" s="25">
        <f t="shared" si="27"/>
        <v>503</v>
      </c>
      <c r="AS60" s="25">
        <f t="shared" si="31"/>
        <v>1619</v>
      </c>
    </row>
    <row r="61" spans="2:45" hidden="1" x14ac:dyDescent="0.3">
      <c r="B61" s="9" t="s">
        <v>71</v>
      </c>
      <c r="C61" s="33">
        <v>45893</v>
      </c>
      <c r="D61" s="27">
        <v>31629</v>
      </c>
      <c r="E61" s="28">
        <f t="shared" si="46"/>
        <v>92</v>
      </c>
      <c r="F61" s="27"/>
      <c r="G61" s="28" t="str">
        <f t="shared" si="34"/>
        <v/>
      </c>
      <c r="H61" s="27"/>
      <c r="I61" s="28" t="str">
        <f t="shared" si="35"/>
        <v/>
      </c>
      <c r="J61" s="27"/>
      <c r="K61" s="28" t="str">
        <f t="shared" si="36"/>
        <v/>
      </c>
      <c r="L61" s="27"/>
      <c r="M61" s="28" t="str">
        <f t="shared" si="37"/>
        <v/>
      </c>
      <c r="N61" s="27">
        <v>17914</v>
      </c>
      <c r="O61" s="28">
        <f t="shared" si="38"/>
        <v>18</v>
      </c>
      <c r="P61" s="27">
        <v>3718</v>
      </c>
      <c r="Q61" s="28">
        <f t="shared" si="39"/>
        <v>19</v>
      </c>
      <c r="R61" s="27"/>
      <c r="S61" s="28" t="str">
        <f t="shared" si="39"/>
        <v/>
      </c>
      <c r="T61" s="29">
        <v>26936</v>
      </c>
      <c r="U61" s="28">
        <f t="shared" si="40"/>
        <v>67</v>
      </c>
      <c r="V61" s="27">
        <v>5288</v>
      </c>
      <c r="W61" s="28">
        <f t="shared" si="41"/>
        <v>5</v>
      </c>
      <c r="X61" s="27"/>
      <c r="Y61" s="28" t="str">
        <f t="shared" si="28"/>
        <v/>
      </c>
      <c r="Z61" s="27"/>
      <c r="AA61" s="28" t="str">
        <f t="shared" si="29"/>
        <v/>
      </c>
      <c r="AB61" s="27">
        <v>2059</v>
      </c>
      <c r="AC61" s="28">
        <f t="shared" si="18"/>
        <v>1</v>
      </c>
      <c r="AD61" s="27">
        <v>1778</v>
      </c>
      <c r="AE61" s="28">
        <f t="shared" si="42"/>
        <v>1</v>
      </c>
      <c r="AF61" s="27">
        <v>0</v>
      </c>
      <c r="AG61" s="28">
        <f t="shared" si="20"/>
        <v>0</v>
      </c>
      <c r="AH61" s="27">
        <v>0</v>
      </c>
      <c r="AI61" s="28">
        <f t="shared" si="43"/>
        <v>0</v>
      </c>
      <c r="AJ61" s="27">
        <v>0</v>
      </c>
      <c r="AK61" s="28">
        <f t="shared" si="44"/>
        <v>0</v>
      </c>
      <c r="AL61" s="27">
        <v>0</v>
      </c>
      <c r="AM61" s="28">
        <f t="shared" si="45"/>
        <v>0</v>
      </c>
      <c r="AN61" s="24">
        <f t="shared" si="24"/>
        <v>37</v>
      </c>
      <c r="AO61" s="24">
        <f t="shared" si="25"/>
        <v>6</v>
      </c>
      <c r="AP61" s="24">
        <f t="shared" si="26"/>
        <v>44</v>
      </c>
      <c r="AQ61" s="25">
        <f t="shared" si="30"/>
        <v>55</v>
      </c>
      <c r="AR61" s="25">
        <f t="shared" si="27"/>
        <v>61</v>
      </c>
      <c r="AS61" s="25">
        <f t="shared" si="31"/>
        <v>115</v>
      </c>
    </row>
    <row r="62" spans="2:45" hidden="1" x14ac:dyDescent="0.3">
      <c r="B62" s="9" t="s">
        <v>72</v>
      </c>
      <c r="C62" s="33">
        <v>45894</v>
      </c>
      <c r="D62" s="27">
        <v>31721</v>
      </c>
      <c r="E62" s="28">
        <f t="shared" si="46"/>
        <v>1671</v>
      </c>
      <c r="F62" s="27"/>
      <c r="G62" s="28" t="str">
        <f t="shared" si="34"/>
        <v/>
      </c>
      <c r="H62" s="27"/>
      <c r="I62" s="28" t="str">
        <f t="shared" si="35"/>
        <v/>
      </c>
      <c r="J62" s="27"/>
      <c r="K62" s="28" t="str">
        <f t="shared" si="36"/>
        <v/>
      </c>
      <c r="L62" s="27"/>
      <c r="M62" s="28" t="str">
        <f t="shared" si="37"/>
        <v/>
      </c>
      <c r="N62" s="27">
        <v>17932</v>
      </c>
      <c r="O62" s="28">
        <f t="shared" si="38"/>
        <v>274</v>
      </c>
      <c r="P62" s="27">
        <v>3737</v>
      </c>
      <c r="Q62" s="28">
        <f t="shared" si="39"/>
        <v>152</v>
      </c>
      <c r="R62" s="27"/>
      <c r="S62" s="28" t="str">
        <f t="shared" si="39"/>
        <v/>
      </c>
      <c r="T62" s="29">
        <v>27003</v>
      </c>
      <c r="U62" s="28">
        <f t="shared" si="40"/>
        <v>549</v>
      </c>
      <c r="V62" s="27">
        <v>5293</v>
      </c>
      <c r="W62" s="28">
        <f t="shared" si="41"/>
        <v>117</v>
      </c>
      <c r="X62" s="27"/>
      <c r="Y62" s="28" t="str">
        <f t="shared" si="28"/>
        <v/>
      </c>
      <c r="Z62" s="27"/>
      <c r="AA62" s="28" t="str">
        <f t="shared" si="29"/>
        <v/>
      </c>
      <c r="AB62" s="27">
        <v>2060</v>
      </c>
      <c r="AC62" s="28">
        <f t="shared" si="18"/>
        <v>63</v>
      </c>
      <c r="AD62" s="27">
        <v>1779</v>
      </c>
      <c r="AE62" s="28">
        <f t="shared" si="42"/>
        <v>72</v>
      </c>
      <c r="AF62" s="27">
        <v>0</v>
      </c>
      <c r="AG62" s="28">
        <f t="shared" si="20"/>
        <v>0</v>
      </c>
      <c r="AH62" s="27">
        <v>0</v>
      </c>
      <c r="AI62" s="28">
        <f t="shared" si="43"/>
        <v>0</v>
      </c>
      <c r="AJ62" s="27">
        <v>0</v>
      </c>
      <c r="AK62" s="28">
        <f t="shared" si="44"/>
        <v>0</v>
      </c>
      <c r="AL62" s="27">
        <v>0</v>
      </c>
      <c r="AM62" s="28">
        <f t="shared" si="45"/>
        <v>0</v>
      </c>
      <c r="AN62" s="24">
        <f t="shared" si="24"/>
        <v>426</v>
      </c>
      <c r="AO62" s="24">
        <f t="shared" si="25"/>
        <v>189</v>
      </c>
      <c r="AP62" s="24">
        <f t="shared" si="26"/>
        <v>678</v>
      </c>
      <c r="AQ62" s="25">
        <f t="shared" si="30"/>
        <v>1245</v>
      </c>
      <c r="AR62" s="25">
        <f t="shared" si="27"/>
        <v>360</v>
      </c>
      <c r="AS62" s="25">
        <f t="shared" si="31"/>
        <v>1542</v>
      </c>
    </row>
    <row r="63" spans="2:45" hidden="1" x14ac:dyDescent="0.3">
      <c r="B63" s="9" t="s">
        <v>66</v>
      </c>
      <c r="C63" s="33">
        <v>45895</v>
      </c>
      <c r="D63" s="27">
        <v>33392</v>
      </c>
      <c r="E63" s="28">
        <f t="shared" si="46"/>
        <v>1822</v>
      </c>
      <c r="F63" s="27"/>
      <c r="G63" s="28" t="str">
        <f t="shared" ref="G63:G69" si="47">IF(F64&lt;&gt;"",F64-F63,"")</f>
        <v/>
      </c>
      <c r="H63" s="27"/>
      <c r="I63" s="28" t="str">
        <f t="shared" si="35"/>
        <v/>
      </c>
      <c r="J63" s="27"/>
      <c r="K63" s="28" t="str">
        <f t="shared" si="36"/>
        <v/>
      </c>
      <c r="L63" s="27"/>
      <c r="M63" s="28" t="str">
        <f t="shared" si="37"/>
        <v/>
      </c>
      <c r="N63" s="27">
        <v>18206</v>
      </c>
      <c r="O63" s="28">
        <f t="shared" si="38"/>
        <v>280</v>
      </c>
      <c r="P63" s="27">
        <v>3889</v>
      </c>
      <c r="Q63" s="28">
        <f t="shared" ref="Q63:S69" si="48">IF(P64&lt;&gt;"",P64-P63,"")</f>
        <v>150</v>
      </c>
      <c r="R63" s="27"/>
      <c r="S63" s="28" t="str">
        <f t="shared" si="48"/>
        <v/>
      </c>
      <c r="T63" s="29">
        <v>27552</v>
      </c>
      <c r="U63" s="28">
        <f t="shared" si="40"/>
        <v>558</v>
      </c>
      <c r="V63" s="27">
        <v>5410</v>
      </c>
      <c r="W63" s="28">
        <f t="shared" si="41"/>
        <v>114</v>
      </c>
      <c r="X63" s="27"/>
      <c r="Y63" s="28" t="str">
        <f t="shared" si="28"/>
        <v/>
      </c>
      <c r="Z63" s="27"/>
      <c r="AA63" s="28" t="str">
        <f t="shared" si="29"/>
        <v/>
      </c>
      <c r="AB63" s="27">
        <v>2123</v>
      </c>
      <c r="AC63" s="28">
        <f t="shared" si="18"/>
        <v>73</v>
      </c>
      <c r="AD63" s="27">
        <v>1851</v>
      </c>
      <c r="AE63" s="28">
        <f t="shared" si="42"/>
        <v>68</v>
      </c>
      <c r="AF63" s="27">
        <v>0</v>
      </c>
      <c r="AG63" s="28">
        <f t="shared" si="20"/>
        <v>0</v>
      </c>
      <c r="AH63" s="27">
        <v>0</v>
      </c>
      <c r="AI63" s="28">
        <f t="shared" si="43"/>
        <v>0</v>
      </c>
      <c r="AJ63" s="27">
        <v>0</v>
      </c>
      <c r="AK63" s="28">
        <f t="shared" si="44"/>
        <v>0</v>
      </c>
      <c r="AL63" s="27">
        <v>0</v>
      </c>
      <c r="AM63" s="28">
        <f t="shared" si="45"/>
        <v>0</v>
      </c>
      <c r="AN63" s="24">
        <f t="shared" si="24"/>
        <v>430</v>
      </c>
      <c r="AO63" s="24">
        <f t="shared" si="25"/>
        <v>182</v>
      </c>
      <c r="AP63" s="24">
        <f t="shared" si="26"/>
        <v>685</v>
      </c>
      <c r="AQ63" s="25">
        <f t="shared" si="30"/>
        <v>1392</v>
      </c>
      <c r="AR63" s="25">
        <f t="shared" si="27"/>
        <v>376</v>
      </c>
      <c r="AS63" s="25">
        <f t="shared" si="31"/>
        <v>1695</v>
      </c>
    </row>
    <row r="64" spans="2:45" hidden="1" x14ac:dyDescent="0.3">
      <c r="B64" s="9" t="s">
        <v>67</v>
      </c>
      <c r="C64" s="33">
        <v>45896</v>
      </c>
      <c r="D64" s="27">
        <v>35214</v>
      </c>
      <c r="E64" s="28">
        <f t="shared" si="46"/>
        <v>1751</v>
      </c>
      <c r="F64" s="27"/>
      <c r="G64" s="28" t="str">
        <f t="shared" si="47"/>
        <v/>
      </c>
      <c r="H64" s="27"/>
      <c r="I64" s="28" t="str">
        <f t="shared" si="35"/>
        <v/>
      </c>
      <c r="J64" s="27"/>
      <c r="K64" s="28" t="str">
        <f t="shared" si="36"/>
        <v/>
      </c>
      <c r="L64" s="27"/>
      <c r="M64" s="28" t="str">
        <f t="shared" si="37"/>
        <v/>
      </c>
      <c r="N64" s="27">
        <v>18486</v>
      </c>
      <c r="O64" s="28">
        <f t="shared" si="38"/>
        <v>226</v>
      </c>
      <c r="P64" s="27">
        <v>4039</v>
      </c>
      <c r="Q64" s="28">
        <f t="shared" si="48"/>
        <v>141</v>
      </c>
      <c r="R64" s="27"/>
      <c r="S64" s="28" t="str">
        <f t="shared" si="48"/>
        <v/>
      </c>
      <c r="T64" s="29">
        <v>28110</v>
      </c>
      <c r="U64" s="28">
        <f t="shared" si="40"/>
        <v>626</v>
      </c>
      <c r="V64" s="27">
        <v>5524</v>
      </c>
      <c r="W64" s="28">
        <f t="shared" si="41"/>
        <v>112</v>
      </c>
      <c r="X64" s="27"/>
      <c r="Y64" s="28" t="str">
        <f t="shared" si="28"/>
        <v/>
      </c>
      <c r="Z64" s="27"/>
      <c r="AA64" s="28" t="str">
        <f t="shared" si="29"/>
        <v/>
      </c>
      <c r="AB64" s="27">
        <v>2196</v>
      </c>
      <c r="AC64" s="28">
        <f t="shared" si="18"/>
        <v>97</v>
      </c>
      <c r="AD64" s="27">
        <v>1919</v>
      </c>
      <c r="AE64" s="28">
        <f t="shared" si="42"/>
        <v>103</v>
      </c>
      <c r="AF64" s="27">
        <v>0</v>
      </c>
      <c r="AG64" s="28">
        <f t="shared" si="20"/>
        <v>0</v>
      </c>
      <c r="AH64" s="27">
        <v>0</v>
      </c>
      <c r="AI64" s="28">
        <f t="shared" si="43"/>
        <v>0</v>
      </c>
      <c r="AJ64" s="27">
        <v>0</v>
      </c>
      <c r="AK64" s="28">
        <f t="shared" si="44"/>
        <v>0</v>
      </c>
      <c r="AL64" s="27">
        <v>0</v>
      </c>
      <c r="AM64" s="28">
        <f t="shared" si="45"/>
        <v>0</v>
      </c>
      <c r="AN64" s="24">
        <f t="shared" si="24"/>
        <v>367</v>
      </c>
      <c r="AO64" s="24">
        <f t="shared" si="25"/>
        <v>215</v>
      </c>
      <c r="AP64" s="24">
        <f t="shared" si="26"/>
        <v>679</v>
      </c>
      <c r="AQ64" s="25">
        <f t="shared" si="30"/>
        <v>1384</v>
      </c>
      <c r="AR64" s="25">
        <f t="shared" si="27"/>
        <v>411</v>
      </c>
      <c r="AS64" s="25">
        <f t="shared" si="31"/>
        <v>1698</v>
      </c>
    </row>
    <row r="65" spans="2:45" hidden="1" x14ac:dyDescent="0.3">
      <c r="B65" s="9" t="s">
        <v>68</v>
      </c>
      <c r="C65" s="33">
        <v>45897</v>
      </c>
      <c r="D65" s="27">
        <v>36965</v>
      </c>
      <c r="E65" s="28">
        <f t="shared" si="46"/>
        <v>1776</v>
      </c>
      <c r="F65" s="27"/>
      <c r="G65" s="28" t="str">
        <f t="shared" si="47"/>
        <v/>
      </c>
      <c r="H65" s="27"/>
      <c r="I65" s="28" t="str">
        <f t="shared" si="35"/>
        <v/>
      </c>
      <c r="J65" s="27"/>
      <c r="K65" s="28" t="str">
        <f t="shared" si="36"/>
        <v/>
      </c>
      <c r="L65" s="27"/>
      <c r="M65" s="28" t="str">
        <f t="shared" si="37"/>
        <v/>
      </c>
      <c r="N65" s="27">
        <v>18712</v>
      </c>
      <c r="O65" s="28">
        <f t="shared" si="38"/>
        <v>242</v>
      </c>
      <c r="P65" s="27">
        <v>4180</v>
      </c>
      <c r="Q65" s="28">
        <f t="shared" si="48"/>
        <v>216</v>
      </c>
      <c r="R65" s="27"/>
      <c r="S65" s="28" t="str">
        <f t="shared" si="48"/>
        <v/>
      </c>
      <c r="T65" s="29">
        <v>28736</v>
      </c>
      <c r="U65" s="28">
        <f t="shared" si="40"/>
        <v>666</v>
      </c>
      <c r="V65" s="27">
        <v>5636</v>
      </c>
      <c r="W65" s="28">
        <f t="shared" si="41"/>
        <v>114</v>
      </c>
      <c r="X65" s="27"/>
      <c r="Y65" s="28" t="str">
        <f t="shared" si="28"/>
        <v/>
      </c>
      <c r="Z65" s="27"/>
      <c r="AA65" s="28" t="str">
        <f t="shared" si="29"/>
        <v/>
      </c>
      <c r="AB65" s="27">
        <v>2293</v>
      </c>
      <c r="AC65" s="28">
        <f t="shared" si="18"/>
        <v>102</v>
      </c>
      <c r="AD65" s="27">
        <v>2022</v>
      </c>
      <c r="AE65" s="28">
        <f t="shared" si="42"/>
        <v>91</v>
      </c>
      <c r="AF65" s="27">
        <v>0</v>
      </c>
      <c r="AG65" s="28">
        <f t="shared" si="20"/>
        <v>0</v>
      </c>
      <c r="AH65" s="27">
        <v>0</v>
      </c>
      <c r="AI65" s="28">
        <f t="shared" si="43"/>
        <v>0</v>
      </c>
      <c r="AJ65" s="27">
        <v>0</v>
      </c>
      <c r="AK65" s="28">
        <f t="shared" si="44"/>
        <v>0</v>
      </c>
      <c r="AL65" s="27">
        <v>0</v>
      </c>
      <c r="AM65" s="28">
        <f t="shared" si="45"/>
        <v>0</v>
      </c>
      <c r="AN65" s="24">
        <f t="shared" si="24"/>
        <v>458</v>
      </c>
      <c r="AO65" s="24">
        <f t="shared" si="25"/>
        <v>205</v>
      </c>
      <c r="AP65" s="24">
        <f t="shared" si="26"/>
        <v>765</v>
      </c>
      <c r="AQ65" s="25">
        <f t="shared" si="30"/>
        <v>1318</v>
      </c>
      <c r="AR65" s="25">
        <f t="shared" si="27"/>
        <v>461</v>
      </c>
      <c r="AS65" s="25">
        <f t="shared" si="31"/>
        <v>1677</v>
      </c>
    </row>
    <row r="66" spans="2:45" hidden="1" x14ac:dyDescent="0.3">
      <c r="B66" s="9" t="s">
        <v>69</v>
      </c>
      <c r="C66" s="33">
        <v>45898</v>
      </c>
      <c r="D66" s="27">
        <v>38741</v>
      </c>
      <c r="E66" s="28">
        <f t="shared" si="46"/>
        <v>1691</v>
      </c>
      <c r="F66" s="27"/>
      <c r="G66" s="28" t="str">
        <f t="shared" si="47"/>
        <v/>
      </c>
      <c r="H66" s="27"/>
      <c r="I66" s="28" t="str">
        <f t="shared" si="35"/>
        <v/>
      </c>
      <c r="J66" s="27"/>
      <c r="K66" s="28" t="str">
        <f t="shared" si="36"/>
        <v/>
      </c>
      <c r="L66" s="27"/>
      <c r="M66" s="28" t="str">
        <f t="shared" si="37"/>
        <v/>
      </c>
      <c r="N66" s="27">
        <v>18954</v>
      </c>
      <c r="O66" s="28">
        <f t="shared" si="38"/>
        <v>221</v>
      </c>
      <c r="P66" s="27">
        <v>4396</v>
      </c>
      <c r="Q66" s="28">
        <f t="shared" si="48"/>
        <v>60</v>
      </c>
      <c r="R66" s="27"/>
      <c r="S66" s="28" t="str">
        <f t="shared" si="48"/>
        <v/>
      </c>
      <c r="T66" s="29">
        <v>29402</v>
      </c>
      <c r="U66" s="28">
        <f t="shared" si="40"/>
        <v>641</v>
      </c>
      <c r="V66" s="27">
        <v>5750</v>
      </c>
      <c r="W66" s="28">
        <f t="shared" si="41"/>
        <v>113</v>
      </c>
      <c r="X66" s="27"/>
      <c r="Y66" s="28" t="str">
        <f t="shared" si="28"/>
        <v/>
      </c>
      <c r="Z66" s="27"/>
      <c r="AA66" s="28" t="str">
        <f t="shared" si="29"/>
        <v/>
      </c>
      <c r="AB66" s="27">
        <v>2395</v>
      </c>
      <c r="AC66" s="28">
        <f t="shared" si="18"/>
        <v>103</v>
      </c>
      <c r="AD66" s="27">
        <v>2113</v>
      </c>
      <c r="AE66" s="28">
        <f t="shared" si="42"/>
        <v>101</v>
      </c>
      <c r="AF66" s="27">
        <v>0</v>
      </c>
      <c r="AG66" s="28">
        <f t="shared" si="20"/>
        <v>0</v>
      </c>
      <c r="AH66" s="27">
        <v>0</v>
      </c>
      <c r="AI66" s="28">
        <f t="shared" si="43"/>
        <v>0</v>
      </c>
      <c r="AJ66" s="27">
        <v>0</v>
      </c>
      <c r="AK66" s="28">
        <f t="shared" si="44"/>
        <v>0</v>
      </c>
      <c r="AL66" s="27">
        <v>0</v>
      </c>
      <c r="AM66" s="28">
        <f t="shared" si="45"/>
        <v>0</v>
      </c>
      <c r="AN66" s="24">
        <f t="shared" si="24"/>
        <v>281</v>
      </c>
      <c r="AO66" s="24">
        <f t="shared" si="25"/>
        <v>214</v>
      </c>
      <c r="AP66" s="24">
        <f t="shared" si="26"/>
        <v>598</v>
      </c>
      <c r="AQ66" s="25">
        <f t="shared" si="30"/>
        <v>1410</v>
      </c>
      <c r="AR66" s="25">
        <f t="shared" si="27"/>
        <v>427</v>
      </c>
      <c r="AS66" s="25">
        <f t="shared" si="31"/>
        <v>1734</v>
      </c>
    </row>
    <row r="67" spans="2:45" hidden="1" x14ac:dyDescent="0.3">
      <c r="B67" s="9" t="s">
        <v>70</v>
      </c>
      <c r="C67" s="33">
        <v>45899</v>
      </c>
      <c r="D67" s="27">
        <v>40432</v>
      </c>
      <c r="E67" s="28">
        <f t="shared" si="46"/>
        <v>1018</v>
      </c>
      <c r="F67" s="27"/>
      <c r="G67" s="28" t="str">
        <f t="shared" si="47"/>
        <v/>
      </c>
      <c r="H67" s="27"/>
      <c r="I67" s="28" t="str">
        <f t="shared" si="35"/>
        <v/>
      </c>
      <c r="J67" s="27"/>
      <c r="K67" s="28" t="str">
        <f t="shared" si="36"/>
        <v/>
      </c>
      <c r="L67" s="27"/>
      <c r="M67" s="28" t="str">
        <f t="shared" si="37"/>
        <v/>
      </c>
      <c r="N67" s="27">
        <v>19175</v>
      </c>
      <c r="O67" s="28">
        <f t="shared" si="38"/>
        <v>44</v>
      </c>
      <c r="P67" s="27">
        <v>4456</v>
      </c>
      <c r="Q67" s="28">
        <f t="shared" si="48"/>
        <v>142</v>
      </c>
      <c r="R67" s="27"/>
      <c r="S67" s="28" t="str">
        <f t="shared" si="48"/>
        <v/>
      </c>
      <c r="T67" s="29">
        <v>30043</v>
      </c>
      <c r="U67" s="28">
        <f t="shared" si="40"/>
        <v>427</v>
      </c>
      <c r="V67" s="27">
        <v>5863</v>
      </c>
      <c r="W67" s="28">
        <f t="shared" si="41"/>
        <v>100</v>
      </c>
      <c r="X67" s="27"/>
      <c r="Y67" s="28" t="str">
        <f t="shared" si="28"/>
        <v/>
      </c>
      <c r="Z67" s="27"/>
      <c r="AA67" s="28" t="str">
        <f t="shared" si="29"/>
        <v/>
      </c>
      <c r="AB67" s="27">
        <v>2498</v>
      </c>
      <c r="AC67" s="28">
        <f t="shared" si="18"/>
        <v>60</v>
      </c>
      <c r="AD67" s="27">
        <v>2214</v>
      </c>
      <c r="AE67" s="28">
        <f t="shared" si="42"/>
        <v>52</v>
      </c>
      <c r="AF67" s="27">
        <v>0</v>
      </c>
      <c r="AG67" s="28">
        <f t="shared" si="20"/>
        <v>0</v>
      </c>
      <c r="AH67" s="27">
        <v>0</v>
      </c>
      <c r="AI67" s="28">
        <f t="shared" si="43"/>
        <v>0</v>
      </c>
      <c r="AJ67" s="27">
        <v>0</v>
      </c>
      <c r="AK67" s="28">
        <f t="shared" si="44"/>
        <v>0</v>
      </c>
      <c r="AL67" s="27">
        <v>0</v>
      </c>
      <c r="AM67" s="28">
        <f t="shared" si="45"/>
        <v>0</v>
      </c>
      <c r="AN67" s="24">
        <f t="shared" si="24"/>
        <v>186</v>
      </c>
      <c r="AO67" s="24">
        <f t="shared" si="25"/>
        <v>152</v>
      </c>
      <c r="AP67" s="24">
        <f t="shared" si="26"/>
        <v>398</v>
      </c>
      <c r="AQ67" s="25">
        <f t="shared" si="30"/>
        <v>832</v>
      </c>
      <c r="AR67" s="25">
        <f t="shared" si="27"/>
        <v>275</v>
      </c>
      <c r="AS67" s="25">
        <f t="shared" si="31"/>
        <v>1047</v>
      </c>
    </row>
    <row r="68" spans="2:45" hidden="1" x14ac:dyDescent="0.3">
      <c r="B68" s="9" t="s">
        <v>71</v>
      </c>
      <c r="C68" s="33">
        <v>45900</v>
      </c>
      <c r="D68" s="27">
        <v>41450</v>
      </c>
      <c r="E68" s="28">
        <f t="shared" si="46"/>
        <v>11</v>
      </c>
      <c r="F68" s="27"/>
      <c r="G68" s="28" t="str">
        <f t="shared" si="47"/>
        <v/>
      </c>
      <c r="H68" s="27"/>
      <c r="I68" s="28" t="str">
        <f>IF(H69&lt;&gt;"",H69-H68,"")</f>
        <v/>
      </c>
      <c r="J68" s="27"/>
      <c r="K68" s="28" t="str">
        <f>IF(J69&lt;&gt;"",J69-J68,"")</f>
        <v/>
      </c>
      <c r="L68" s="27"/>
      <c r="M68" s="28" t="str">
        <f>IF(L69&lt;&gt;"",L69-L68,"")</f>
        <v/>
      </c>
      <c r="N68" s="27">
        <v>19219</v>
      </c>
      <c r="O68" s="28">
        <f t="shared" si="38"/>
        <v>1</v>
      </c>
      <c r="P68" s="27">
        <v>4598</v>
      </c>
      <c r="Q68" s="28">
        <f t="shared" si="48"/>
        <v>2</v>
      </c>
      <c r="R68" s="27"/>
      <c r="S68" s="28" t="str">
        <f t="shared" si="48"/>
        <v/>
      </c>
      <c r="T68" s="29">
        <v>30470</v>
      </c>
      <c r="U68" s="28">
        <f t="shared" si="40"/>
        <v>18</v>
      </c>
      <c r="V68" s="27">
        <v>5963</v>
      </c>
      <c r="W68" s="28">
        <f t="shared" si="41"/>
        <v>1</v>
      </c>
      <c r="X68" s="27"/>
      <c r="Y68" s="28" t="str">
        <f t="shared" si="28"/>
        <v/>
      </c>
      <c r="Z68" s="27"/>
      <c r="AA68" s="28" t="str">
        <f t="shared" si="29"/>
        <v/>
      </c>
      <c r="AB68" s="27">
        <v>2558</v>
      </c>
      <c r="AC68" s="28">
        <f t="shared" si="18"/>
        <v>1</v>
      </c>
      <c r="AD68" s="27">
        <v>2266</v>
      </c>
      <c r="AE68" s="28">
        <f t="shared" si="42"/>
        <v>0</v>
      </c>
      <c r="AF68" s="27">
        <v>0</v>
      </c>
      <c r="AG68" s="28">
        <f t="shared" si="20"/>
        <v>0</v>
      </c>
      <c r="AH68" s="27">
        <v>0</v>
      </c>
      <c r="AI68" s="28">
        <f t="shared" si="43"/>
        <v>0</v>
      </c>
      <c r="AJ68" s="27">
        <v>0</v>
      </c>
      <c r="AK68" s="28">
        <f t="shared" si="44"/>
        <v>0</v>
      </c>
      <c r="AL68" s="27">
        <v>0</v>
      </c>
      <c r="AM68" s="28">
        <f t="shared" si="45"/>
        <v>0</v>
      </c>
      <c r="AN68" s="24">
        <f t="shared" si="24"/>
        <v>3</v>
      </c>
      <c r="AO68" s="24">
        <f t="shared" si="25"/>
        <v>1</v>
      </c>
      <c r="AP68" s="24">
        <f t="shared" si="26"/>
        <v>5</v>
      </c>
      <c r="AQ68" s="25">
        <f t="shared" si="30"/>
        <v>8</v>
      </c>
      <c r="AR68" s="25">
        <f t="shared" si="27"/>
        <v>17</v>
      </c>
      <c r="AS68" s="25">
        <f t="shared" si="31"/>
        <v>24</v>
      </c>
    </row>
    <row r="69" spans="2:45" hidden="1" x14ac:dyDescent="0.3">
      <c r="B69" s="9" t="s">
        <v>72</v>
      </c>
      <c r="C69" s="33">
        <v>45901</v>
      </c>
      <c r="D69" s="27">
        <v>41461</v>
      </c>
      <c r="E69" s="28" t="str">
        <f t="shared" si="46"/>
        <v/>
      </c>
      <c r="F69" s="27"/>
      <c r="G69" s="28" t="str">
        <f t="shared" si="47"/>
        <v/>
      </c>
      <c r="H69" s="27"/>
      <c r="I69" s="28" t="str">
        <f>IF(H70&lt;&gt;"",H70-H69,"")</f>
        <v/>
      </c>
      <c r="J69" s="27"/>
      <c r="K69" s="28" t="str">
        <f>IF(J70&lt;&gt;"",J70-J69,"")</f>
        <v/>
      </c>
      <c r="L69" s="27"/>
      <c r="M69" s="28" t="str">
        <f>IF(L70&lt;&gt;"",L70-L69,"")</f>
        <v/>
      </c>
      <c r="N69" s="27">
        <v>19220</v>
      </c>
      <c r="O69" s="28" t="str">
        <f t="shared" si="38"/>
        <v/>
      </c>
      <c r="P69" s="27">
        <v>4600</v>
      </c>
      <c r="Q69" s="28" t="str">
        <f t="shared" si="48"/>
        <v/>
      </c>
      <c r="R69" s="27"/>
      <c r="S69" s="28" t="str">
        <f t="shared" si="48"/>
        <v/>
      </c>
      <c r="T69" s="29">
        <v>30488</v>
      </c>
      <c r="U69" s="28" t="str">
        <f t="shared" si="40"/>
        <v/>
      </c>
      <c r="V69" s="27">
        <v>5964</v>
      </c>
      <c r="W69" s="28" t="str">
        <f t="shared" si="41"/>
        <v/>
      </c>
      <c r="X69" s="27"/>
      <c r="Y69" s="28"/>
      <c r="Z69" s="27"/>
      <c r="AA69" s="28"/>
      <c r="AB69" s="27">
        <v>2559</v>
      </c>
      <c r="AC69" s="28" t="str">
        <f t="shared" si="18"/>
        <v/>
      </c>
      <c r="AD69" s="27">
        <v>2266</v>
      </c>
      <c r="AE69" s="28" t="str">
        <f t="shared" si="42"/>
        <v/>
      </c>
      <c r="AF69" s="27">
        <v>0</v>
      </c>
      <c r="AG69" s="28" t="str">
        <f t="shared" si="20"/>
        <v/>
      </c>
      <c r="AH69" s="27">
        <v>0</v>
      </c>
      <c r="AI69" s="28" t="str">
        <f t="shared" si="43"/>
        <v/>
      </c>
      <c r="AJ69" s="27">
        <v>0</v>
      </c>
      <c r="AK69" s="28" t="str">
        <f t="shared" si="44"/>
        <v/>
      </c>
      <c r="AL69" s="27">
        <v>0</v>
      </c>
      <c r="AM69" s="28" t="str">
        <f t="shared" si="45"/>
        <v/>
      </c>
      <c r="AN69" s="24">
        <f t="shared" si="24"/>
        <v>0</v>
      </c>
      <c r="AO69" s="24">
        <f t="shared" si="25"/>
        <v>0</v>
      </c>
      <c r="AP69" s="24">
        <f t="shared" si="26"/>
        <v>0</v>
      </c>
      <c r="AQ69" s="25" t="e">
        <f t="shared" si="30"/>
        <v>#VALUE!</v>
      </c>
      <c r="AR69" s="25" t="e">
        <f t="shared" si="27"/>
        <v>#VALUE!</v>
      </c>
      <c r="AS69" s="25" t="e">
        <f t="shared" si="31"/>
        <v>#VALUE!</v>
      </c>
    </row>
    <row r="70" spans="2:45" s="26" customFormat="1" ht="45" hidden="1" customHeight="1" x14ac:dyDescent="0.3">
      <c r="B70" s="190" t="s">
        <v>73</v>
      </c>
      <c r="C70" s="191"/>
      <c r="D70" s="21"/>
      <c r="E70" s="22">
        <f>SUM(E38:E68)</f>
        <v>36866</v>
      </c>
      <c r="F70" s="21"/>
      <c r="G70" s="22">
        <f>SUM(G5:G68)</f>
        <v>0</v>
      </c>
      <c r="H70" s="21"/>
      <c r="I70" s="22">
        <f>SUM(I5:I68)</f>
        <v>0</v>
      </c>
      <c r="J70" s="21"/>
      <c r="K70" s="22">
        <f>SUM(K5:K68)</f>
        <v>0</v>
      </c>
      <c r="L70" s="21"/>
      <c r="M70" s="22">
        <f>SUM(M5:M68)</f>
        <v>0</v>
      </c>
      <c r="N70" s="21"/>
      <c r="O70" s="22">
        <f>SUM(O38:O68)</f>
        <v>6283</v>
      </c>
      <c r="P70" s="21"/>
      <c r="Q70" s="22">
        <f>SUM(Q38:Q68)</f>
        <v>3426</v>
      </c>
      <c r="R70" s="21"/>
      <c r="S70" s="22">
        <f>SUM(S38:S68)</f>
        <v>0</v>
      </c>
      <c r="T70" s="23"/>
      <c r="U70" s="22">
        <f>SUM(U38:U68)</f>
        <v>16165</v>
      </c>
      <c r="V70" s="21"/>
      <c r="W70" s="22">
        <f>SUM(W38:W68)</f>
        <v>2859</v>
      </c>
      <c r="X70" s="21"/>
      <c r="Y70" s="22">
        <f>SUM(Y38:Y68)</f>
        <v>0</v>
      </c>
      <c r="Z70" s="21"/>
      <c r="AA70" s="22">
        <f>SUM(AA38:AA68)</f>
        <v>0</v>
      </c>
      <c r="AB70" s="21"/>
      <c r="AC70" s="22">
        <f>SUM(AC38:AC68)</f>
        <v>2257</v>
      </c>
      <c r="AD70" s="21"/>
      <c r="AE70" s="22">
        <f>SUM(AE38:AE68)</f>
        <v>2266</v>
      </c>
      <c r="AF70" s="21"/>
      <c r="AG70" s="22">
        <f>SUM(AG38:AG68)</f>
        <v>0</v>
      </c>
      <c r="AH70" s="21"/>
      <c r="AI70" s="22">
        <f>SUM(AI38:AI68)</f>
        <v>0</v>
      </c>
      <c r="AJ70" s="21"/>
      <c r="AK70" s="22">
        <f>SUM(AK38:AK68)</f>
        <v>0</v>
      </c>
      <c r="AL70" s="21"/>
      <c r="AM70" s="22">
        <f>SUM(AM38:AM68)</f>
        <v>0</v>
      </c>
      <c r="AN70" s="24">
        <f>SUM(G70,I70,K70,M70,O70,Q70,S70)</f>
        <v>9709</v>
      </c>
      <c r="AO70" s="24">
        <f>SUM(W70,Y70,AA70,AE70,AG70,AK70,AM70,AC70,AI70)</f>
        <v>7382</v>
      </c>
      <c r="AP70" s="24">
        <f>SUM(G70,I70,K70,M70,O70,Q70,S70,W70,Y70,AA70,AC70,AE70,AG70,AI70,AK70,AM70)</f>
        <v>17091</v>
      </c>
      <c r="AQ70" s="25">
        <f>E70-AN70</f>
        <v>27157</v>
      </c>
      <c r="AR70" s="25">
        <f>U70-AO70</f>
        <v>8783</v>
      </c>
      <c r="AS70" s="25">
        <f>(E70+U70)-AP70</f>
        <v>35940</v>
      </c>
    </row>
    <row r="71" spans="2:45" hidden="1" x14ac:dyDescent="0.3">
      <c r="B71" s="9" t="s">
        <v>72</v>
      </c>
      <c r="C71" s="33">
        <v>45901</v>
      </c>
      <c r="D71" s="27">
        <v>41461</v>
      </c>
      <c r="E71" s="28">
        <f t="shared" ref="E71:E101" si="49">IF(D72&lt;&gt;"",D72-D71,"")</f>
        <v>1127</v>
      </c>
      <c r="F71" s="27"/>
      <c r="G71" s="28" t="str">
        <f>IF(F72&lt;&gt;"",F72-F71,"")</f>
        <v/>
      </c>
      <c r="H71" s="27"/>
      <c r="I71" s="28" t="str">
        <f>IF(H72&lt;&gt;"",H72-H71,"")</f>
        <v/>
      </c>
      <c r="J71" s="27"/>
      <c r="K71" s="28" t="str">
        <f>IF(J72&lt;&gt;"",J72-J71,"")</f>
        <v/>
      </c>
      <c r="L71" s="27"/>
      <c r="M71" s="28" t="str">
        <f>IF(L72&lt;&gt;"",L72-L71,"")</f>
        <v/>
      </c>
      <c r="N71" s="27">
        <v>19220</v>
      </c>
      <c r="O71" s="28">
        <f t="shared" ref="O71:O101" si="50">IF(N72&lt;&gt;"",N72-N71,"")</f>
        <v>236</v>
      </c>
      <c r="P71" s="27">
        <v>4600</v>
      </c>
      <c r="Q71" s="28">
        <f t="shared" ref="Q71:Q101" si="51">IF(P72&lt;&gt;"",P72-P71,"")</f>
        <v>133</v>
      </c>
      <c r="R71" s="27"/>
      <c r="S71" s="28" t="str">
        <f t="shared" ref="S71:S101" si="52">IF(R72&lt;&gt;"",R72-R71,"")</f>
        <v/>
      </c>
      <c r="T71" s="29">
        <v>30488</v>
      </c>
      <c r="U71" s="28">
        <f t="shared" ref="U71:U101" si="53">IF(T72&lt;&gt;"",T72-T71,"")</f>
        <v>427</v>
      </c>
      <c r="V71" s="27">
        <v>5964</v>
      </c>
      <c r="W71" s="28">
        <f t="shared" ref="W71:W101" si="54">IF(V72&lt;&gt;"",V72-V71,"")</f>
        <v>100</v>
      </c>
      <c r="X71" s="27"/>
      <c r="Y71" s="28"/>
      <c r="Z71" s="27"/>
      <c r="AA71" s="28"/>
      <c r="AB71" s="27">
        <v>2559</v>
      </c>
      <c r="AC71" s="28">
        <f t="shared" ref="AC71:AC101" si="55">IF(AB72&lt;&gt;"",AB72-AB71,"")</f>
        <v>62</v>
      </c>
      <c r="AD71" s="27">
        <v>2266</v>
      </c>
      <c r="AE71" s="28">
        <f>IF(AD72&lt;&gt;"",AD72-AD71,"")</f>
        <v>61</v>
      </c>
      <c r="AF71" s="27">
        <v>0</v>
      </c>
      <c r="AG71" s="28" t="str">
        <f>IF(AF72&lt;&gt;"",AF72-AF71,"")</f>
        <v/>
      </c>
      <c r="AH71" s="27">
        <v>0</v>
      </c>
      <c r="AI71" s="28" t="str">
        <f>IF(AH72&lt;&gt;"",AH72-AH71,"")</f>
        <v/>
      </c>
      <c r="AJ71" s="27">
        <v>0</v>
      </c>
      <c r="AK71" s="28" t="str">
        <f>IF(AJ72&lt;&gt;"",AJ72-AJ71,"")</f>
        <v/>
      </c>
      <c r="AL71" s="27">
        <v>0</v>
      </c>
      <c r="AM71" s="28" t="str">
        <f>IF(AL72&lt;&gt;"",AL72-AL71,"")</f>
        <v/>
      </c>
      <c r="AN71" s="24">
        <f>SUM(G71,I71,K71,M71,O71,Q71,S71)</f>
        <v>369</v>
      </c>
      <c r="AO71" s="24">
        <f>SUM(W71,Y71,AA71,AE71,AG71,AK71,AM71)</f>
        <v>161</v>
      </c>
      <c r="AP71" s="24">
        <f>SUM(G71,I71,K71,M71,O71,Q71,S71,W71,Y71,AA71,AC71,AE71,AG71,AI71,AK71,AM71)</f>
        <v>592</v>
      </c>
      <c r="AQ71" s="25">
        <f>E71-AN71</f>
        <v>758</v>
      </c>
      <c r="AR71" s="25">
        <f>U71-AO71</f>
        <v>266</v>
      </c>
      <c r="AS71" s="25">
        <f>(E71+U71)-AP71</f>
        <v>962</v>
      </c>
    </row>
    <row r="72" spans="2:45" hidden="1" x14ac:dyDescent="0.3">
      <c r="B72" s="9" t="s">
        <v>66</v>
      </c>
      <c r="C72" s="33">
        <v>45902</v>
      </c>
      <c r="D72" s="27">
        <v>42588</v>
      </c>
      <c r="E72" s="28">
        <f t="shared" si="49"/>
        <v>888</v>
      </c>
      <c r="F72" s="27"/>
      <c r="G72" s="28" t="str">
        <f t="shared" ref="G72:G101" si="56">IF(F73&lt;&gt;"",F73-F72,"")</f>
        <v/>
      </c>
      <c r="H72" s="27"/>
      <c r="I72" s="28" t="str">
        <f t="shared" ref="I72:I101" si="57">IF(H73&lt;&gt;"",H73-H72,"")</f>
        <v/>
      </c>
      <c r="J72" s="27"/>
      <c r="K72" s="28" t="str">
        <f t="shared" ref="K72:K101" si="58">IF(J73&lt;&gt;"",J73-J72,"")</f>
        <v/>
      </c>
      <c r="L72" s="27"/>
      <c r="M72" s="28" t="str">
        <f t="shared" ref="M72:M101" si="59">IF(L73&lt;&gt;"",L73-L72,"")</f>
        <v/>
      </c>
      <c r="N72" s="27">
        <v>19456</v>
      </c>
      <c r="O72" s="28">
        <f t="shared" si="50"/>
        <v>175</v>
      </c>
      <c r="P72" s="27">
        <v>4733</v>
      </c>
      <c r="Q72" s="28">
        <f t="shared" si="51"/>
        <v>148</v>
      </c>
      <c r="R72" s="27"/>
      <c r="S72" s="28" t="str">
        <f t="shared" si="52"/>
        <v/>
      </c>
      <c r="T72" s="29">
        <v>30915</v>
      </c>
      <c r="U72" s="28">
        <f t="shared" si="53"/>
        <v>445</v>
      </c>
      <c r="V72" s="27">
        <v>6064</v>
      </c>
      <c r="W72" s="28">
        <f t="shared" si="54"/>
        <v>113</v>
      </c>
      <c r="X72" s="27"/>
      <c r="Y72" s="28"/>
      <c r="Z72" s="27"/>
      <c r="AA72" s="28"/>
      <c r="AB72" s="27">
        <v>2621</v>
      </c>
      <c r="AC72" s="28">
        <f t="shared" si="55"/>
        <v>55</v>
      </c>
      <c r="AD72" s="27">
        <v>2327</v>
      </c>
      <c r="AE72" s="28">
        <f>IF(AD73&lt;&gt;"",AD73-AD72,"")</f>
        <v>79</v>
      </c>
      <c r="AF72" s="27"/>
      <c r="AG72" s="28" t="str">
        <f>IF(AF73&lt;&gt;"",AF73-AF72,"")</f>
        <v/>
      </c>
      <c r="AH72" s="27"/>
      <c r="AI72" s="28" t="str">
        <f>IF(AH73&lt;&gt;"",AH73-AH72,"")</f>
        <v/>
      </c>
      <c r="AJ72" s="27"/>
      <c r="AK72" s="28" t="str">
        <f>IF(AJ73&lt;&gt;"",AJ73-AJ72,"")</f>
        <v/>
      </c>
      <c r="AL72" s="27"/>
      <c r="AM72" s="28" t="str">
        <f>IF(AL73&lt;&gt;"",AL73-AL72,"")</f>
        <v/>
      </c>
      <c r="AN72" s="24">
        <f>SUM(G72,I72,K72,M72,O72,Q72,S72)</f>
        <v>323</v>
      </c>
      <c r="AO72" s="24">
        <f>SUM(W72,Y72,AA72,AE72,AG72,AK72,AM72)</f>
        <v>192</v>
      </c>
      <c r="AP72" s="24">
        <f>SUM(G72,I72,K72,M72,O72,Q72,S72,W72,Y72,AA72,AC72,AE72,AG72,AI72,AK72,AM72)</f>
        <v>570</v>
      </c>
      <c r="AQ72" s="25">
        <f>E72-AN72</f>
        <v>565</v>
      </c>
      <c r="AR72" s="25">
        <f>U72-AO72</f>
        <v>253</v>
      </c>
      <c r="AS72" s="25">
        <f>(E72+U72)-AP72</f>
        <v>763</v>
      </c>
    </row>
    <row r="73" spans="2:45" hidden="1" x14ac:dyDescent="0.3">
      <c r="B73" s="9" t="s">
        <v>67</v>
      </c>
      <c r="C73" s="33">
        <v>45903</v>
      </c>
      <c r="D73" s="27">
        <v>43476</v>
      </c>
      <c r="E73" s="28">
        <f t="shared" si="49"/>
        <v>1454</v>
      </c>
      <c r="F73" s="27"/>
      <c r="G73" s="28" t="str">
        <f t="shared" si="56"/>
        <v/>
      </c>
      <c r="H73" s="27"/>
      <c r="I73" s="28" t="str">
        <f t="shared" si="57"/>
        <v/>
      </c>
      <c r="J73" s="27"/>
      <c r="K73" s="28" t="str">
        <f t="shared" si="58"/>
        <v/>
      </c>
      <c r="L73" s="27"/>
      <c r="M73" s="28" t="str">
        <f t="shared" si="59"/>
        <v/>
      </c>
      <c r="N73" s="27">
        <v>19631</v>
      </c>
      <c r="O73" s="28">
        <f t="shared" si="50"/>
        <v>227</v>
      </c>
      <c r="P73" s="27">
        <v>4881</v>
      </c>
      <c r="Q73" s="28">
        <f t="shared" si="51"/>
        <v>201</v>
      </c>
      <c r="R73" s="27"/>
      <c r="S73" s="28" t="str">
        <f t="shared" si="52"/>
        <v/>
      </c>
      <c r="T73" s="29">
        <v>31360</v>
      </c>
      <c r="U73" s="28">
        <f t="shared" si="53"/>
        <v>416</v>
      </c>
      <c r="V73" s="27">
        <v>6177</v>
      </c>
      <c r="W73" s="28">
        <f t="shared" si="54"/>
        <v>111</v>
      </c>
      <c r="X73" s="27"/>
      <c r="Y73" s="28"/>
      <c r="Z73" s="27"/>
      <c r="AA73" s="28"/>
      <c r="AB73" s="27">
        <v>2676</v>
      </c>
      <c r="AC73" s="28">
        <f t="shared" si="55"/>
        <v>58</v>
      </c>
      <c r="AD73" s="27">
        <v>2406</v>
      </c>
      <c r="AE73" s="28">
        <f t="shared" ref="AE73:AE100" si="60">IF(AD74&lt;&gt;"",AD74-AD73,"")</f>
        <v>54</v>
      </c>
      <c r="AF73" s="27"/>
      <c r="AG73" s="28" t="str">
        <f t="shared" ref="AG73:AG100" si="61">IF(AF74&lt;&gt;"",AF74-AF73,"")</f>
        <v/>
      </c>
      <c r="AH73" s="27"/>
      <c r="AI73" s="28" t="str">
        <f t="shared" ref="AI73:AI100" si="62">IF(AH74&lt;&gt;"",AH74-AH73,"")</f>
        <v/>
      </c>
      <c r="AJ73" s="27"/>
      <c r="AK73" s="28" t="str">
        <f t="shared" ref="AK73:AK100" si="63">IF(AJ74&lt;&gt;"",AJ74-AJ73,"")</f>
        <v/>
      </c>
      <c r="AL73" s="27"/>
      <c r="AM73" s="28" t="str">
        <f t="shared" ref="AM73:AM100" si="64">IF(AL74&lt;&gt;"",AL74-AL73,"")</f>
        <v/>
      </c>
      <c r="AN73" s="24">
        <f t="shared" ref="AN73:AN101" si="65">SUM(G73,I73,K73,M73,O73,Q73,S73)</f>
        <v>428</v>
      </c>
      <c r="AO73" s="24">
        <f t="shared" ref="AO73:AO101" si="66">SUM(W73,Y73,AA73,AE73,AG73,AK73,AM73)</f>
        <v>165</v>
      </c>
      <c r="AP73" s="24">
        <f t="shared" ref="AP73:AP101" si="67">SUM(G73,I73,K73,M73,O73,Q73,S73,W73,Y73,AA73,AC73,AE73,AG73,AI73,AK73,AM73)</f>
        <v>651</v>
      </c>
      <c r="AQ73" s="25">
        <f t="shared" ref="AQ73:AQ101" si="68">E73-AN73</f>
        <v>1026</v>
      </c>
      <c r="AR73" s="25">
        <f t="shared" ref="AR73:AR101" si="69">U73-AO73</f>
        <v>251</v>
      </c>
      <c r="AS73" s="25">
        <f t="shared" ref="AS73:AS101" si="70">(E73+U73)-AP73</f>
        <v>1219</v>
      </c>
    </row>
    <row r="74" spans="2:45" hidden="1" x14ac:dyDescent="0.3">
      <c r="B74" s="9" t="s">
        <v>68</v>
      </c>
      <c r="C74" s="33">
        <v>45904</v>
      </c>
      <c r="D74" s="27">
        <v>44930</v>
      </c>
      <c r="E74" s="28">
        <f t="shared" si="49"/>
        <v>1022</v>
      </c>
      <c r="F74" s="27"/>
      <c r="G74" s="28" t="str">
        <f t="shared" si="56"/>
        <v/>
      </c>
      <c r="H74" s="27"/>
      <c r="I74" s="28" t="str">
        <f t="shared" si="57"/>
        <v/>
      </c>
      <c r="J74" s="27"/>
      <c r="K74" s="28" t="str">
        <f t="shared" si="58"/>
        <v/>
      </c>
      <c r="L74" s="27"/>
      <c r="M74" s="28" t="str">
        <f t="shared" si="59"/>
        <v/>
      </c>
      <c r="N74" s="27">
        <v>19858</v>
      </c>
      <c r="O74" s="28">
        <f t="shared" si="50"/>
        <v>214</v>
      </c>
      <c r="P74" s="27">
        <v>5082</v>
      </c>
      <c r="Q74" s="28">
        <f t="shared" si="51"/>
        <v>76</v>
      </c>
      <c r="R74" s="27"/>
      <c r="S74" s="28" t="str">
        <f t="shared" si="52"/>
        <v/>
      </c>
      <c r="T74" s="29">
        <v>31776</v>
      </c>
      <c r="U74" s="28">
        <f t="shared" si="53"/>
        <v>443</v>
      </c>
      <c r="V74" s="27">
        <v>6288</v>
      </c>
      <c r="W74" s="28">
        <f t="shared" si="54"/>
        <v>106</v>
      </c>
      <c r="X74" s="27"/>
      <c r="Y74" s="28"/>
      <c r="Z74" s="27"/>
      <c r="AA74" s="28"/>
      <c r="AB74" s="27">
        <v>2734</v>
      </c>
      <c r="AC74" s="28">
        <f t="shared" si="55"/>
        <v>66</v>
      </c>
      <c r="AD74" s="27">
        <v>2460</v>
      </c>
      <c r="AE74" s="28">
        <f t="shared" si="60"/>
        <v>71</v>
      </c>
      <c r="AF74" s="27"/>
      <c r="AG74" s="28" t="str">
        <f t="shared" si="61"/>
        <v/>
      </c>
      <c r="AH74" s="27"/>
      <c r="AI74" s="28" t="str">
        <f t="shared" si="62"/>
        <v/>
      </c>
      <c r="AJ74" s="27"/>
      <c r="AK74" s="28" t="str">
        <f t="shared" si="63"/>
        <v/>
      </c>
      <c r="AL74" s="27"/>
      <c r="AM74" s="28" t="str">
        <f t="shared" si="64"/>
        <v/>
      </c>
      <c r="AN74" s="24">
        <f t="shared" si="65"/>
        <v>290</v>
      </c>
      <c r="AO74" s="24">
        <f t="shared" si="66"/>
        <v>177</v>
      </c>
      <c r="AP74" s="24">
        <f t="shared" si="67"/>
        <v>533</v>
      </c>
      <c r="AQ74" s="25">
        <f t="shared" si="68"/>
        <v>732</v>
      </c>
      <c r="AR74" s="25">
        <f t="shared" si="69"/>
        <v>266</v>
      </c>
      <c r="AS74" s="25">
        <f t="shared" si="70"/>
        <v>932</v>
      </c>
    </row>
    <row r="75" spans="2:45" hidden="1" x14ac:dyDescent="0.3">
      <c r="B75" s="9" t="s">
        <v>69</v>
      </c>
      <c r="C75" s="33">
        <v>45905</v>
      </c>
      <c r="D75" s="27">
        <v>45952</v>
      </c>
      <c r="E75" s="28">
        <f t="shared" si="49"/>
        <v>1304</v>
      </c>
      <c r="F75" s="27"/>
      <c r="G75" s="28" t="str">
        <f t="shared" si="56"/>
        <v/>
      </c>
      <c r="H75" s="27"/>
      <c r="I75" s="28" t="str">
        <f t="shared" si="57"/>
        <v/>
      </c>
      <c r="J75" s="27"/>
      <c r="K75" s="28" t="str">
        <f t="shared" si="58"/>
        <v/>
      </c>
      <c r="L75" s="27"/>
      <c r="M75" s="28" t="str">
        <f t="shared" si="59"/>
        <v/>
      </c>
      <c r="N75" s="27">
        <v>20072</v>
      </c>
      <c r="O75" s="28">
        <f t="shared" si="50"/>
        <v>229</v>
      </c>
      <c r="P75" s="27">
        <v>5158</v>
      </c>
      <c r="Q75" s="28">
        <f t="shared" si="51"/>
        <v>134</v>
      </c>
      <c r="R75" s="27"/>
      <c r="S75" s="28" t="str">
        <f t="shared" si="52"/>
        <v/>
      </c>
      <c r="T75" s="29">
        <v>32219</v>
      </c>
      <c r="U75" s="28">
        <f t="shared" si="53"/>
        <v>503</v>
      </c>
      <c r="V75" s="27">
        <v>6394</v>
      </c>
      <c r="W75" s="28">
        <f t="shared" si="54"/>
        <v>110</v>
      </c>
      <c r="X75" s="27"/>
      <c r="Y75" s="28"/>
      <c r="Z75" s="27"/>
      <c r="AA75" s="28"/>
      <c r="AB75" s="27">
        <v>2800</v>
      </c>
      <c r="AC75" s="28">
        <f t="shared" si="55"/>
        <v>71</v>
      </c>
      <c r="AD75" s="27">
        <v>2531</v>
      </c>
      <c r="AE75" s="28">
        <f t="shared" si="60"/>
        <v>82</v>
      </c>
      <c r="AF75" s="27"/>
      <c r="AG75" s="28" t="str">
        <f t="shared" si="61"/>
        <v/>
      </c>
      <c r="AH75" s="27"/>
      <c r="AI75" s="28" t="str">
        <f t="shared" si="62"/>
        <v/>
      </c>
      <c r="AJ75" s="27"/>
      <c r="AK75" s="28" t="str">
        <f t="shared" si="63"/>
        <v/>
      </c>
      <c r="AL75" s="27"/>
      <c r="AM75" s="28" t="str">
        <f t="shared" si="64"/>
        <v/>
      </c>
      <c r="AN75" s="24">
        <f t="shared" si="65"/>
        <v>363</v>
      </c>
      <c r="AO75" s="24">
        <f t="shared" si="66"/>
        <v>192</v>
      </c>
      <c r="AP75" s="24">
        <f t="shared" si="67"/>
        <v>626</v>
      </c>
      <c r="AQ75" s="25">
        <f t="shared" si="68"/>
        <v>941</v>
      </c>
      <c r="AR75" s="25">
        <f t="shared" si="69"/>
        <v>311</v>
      </c>
      <c r="AS75" s="25">
        <f t="shared" si="70"/>
        <v>1181</v>
      </c>
    </row>
    <row r="76" spans="2:45" hidden="1" x14ac:dyDescent="0.3">
      <c r="B76" s="9" t="s">
        <v>70</v>
      </c>
      <c r="C76" s="33">
        <v>45906</v>
      </c>
      <c r="D76" s="27">
        <v>47256</v>
      </c>
      <c r="E76" s="28">
        <f t="shared" si="49"/>
        <v>11</v>
      </c>
      <c r="F76" s="27"/>
      <c r="G76" s="28" t="str">
        <f t="shared" si="56"/>
        <v/>
      </c>
      <c r="H76" s="27"/>
      <c r="I76" s="28" t="str">
        <f t="shared" si="57"/>
        <v/>
      </c>
      <c r="J76" s="27"/>
      <c r="K76" s="28" t="str">
        <f t="shared" si="58"/>
        <v/>
      </c>
      <c r="L76" s="27"/>
      <c r="M76" s="28" t="str">
        <f t="shared" si="59"/>
        <v/>
      </c>
      <c r="N76" s="27">
        <v>20301</v>
      </c>
      <c r="O76" s="28">
        <f t="shared" si="50"/>
        <v>0</v>
      </c>
      <c r="P76" s="27">
        <v>5292</v>
      </c>
      <c r="Q76" s="28">
        <f t="shared" si="51"/>
        <v>11</v>
      </c>
      <c r="R76" s="27"/>
      <c r="S76" s="28" t="str">
        <f t="shared" si="52"/>
        <v/>
      </c>
      <c r="T76" s="29">
        <v>32722</v>
      </c>
      <c r="U76" s="28">
        <f t="shared" si="53"/>
        <v>48</v>
      </c>
      <c r="V76" s="27">
        <v>6504</v>
      </c>
      <c r="W76" s="28">
        <f t="shared" si="54"/>
        <v>2</v>
      </c>
      <c r="X76" s="27"/>
      <c r="Y76" s="28"/>
      <c r="Z76" s="27"/>
      <c r="AA76" s="28"/>
      <c r="AB76" s="27">
        <v>2871</v>
      </c>
      <c r="AC76" s="28">
        <f t="shared" si="55"/>
        <v>4</v>
      </c>
      <c r="AD76" s="27">
        <v>2613</v>
      </c>
      <c r="AE76" s="28">
        <f t="shared" si="60"/>
        <v>15</v>
      </c>
      <c r="AF76" s="27"/>
      <c r="AG76" s="28" t="str">
        <f t="shared" si="61"/>
        <v/>
      </c>
      <c r="AH76" s="27"/>
      <c r="AI76" s="28" t="str">
        <f t="shared" si="62"/>
        <v/>
      </c>
      <c r="AJ76" s="27"/>
      <c r="AK76" s="28" t="str">
        <f t="shared" si="63"/>
        <v/>
      </c>
      <c r="AL76" s="27"/>
      <c r="AM76" s="28" t="str">
        <f t="shared" si="64"/>
        <v/>
      </c>
      <c r="AN76" s="24">
        <f t="shared" si="65"/>
        <v>11</v>
      </c>
      <c r="AO76" s="24">
        <f t="shared" si="66"/>
        <v>17</v>
      </c>
      <c r="AP76" s="24">
        <f t="shared" si="67"/>
        <v>32</v>
      </c>
      <c r="AQ76" s="25">
        <f t="shared" si="68"/>
        <v>0</v>
      </c>
      <c r="AR76" s="25">
        <f t="shared" si="69"/>
        <v>31</v>
      </c>
      <c r="AS76" s="25">
        <f t="shared" si="70"/>
        <v>27</v>
      </c>
    </row>
    <row r="77" spans="2:45" hidden="1" x14ac:dyDescent="0.3">
      <c r="B77" s="9" t="s">
        <v>71</v>
      </c>
      <c r="C77" s="33">
        <v>45907</v>
      </c>
      <c r="D77" s="27">
        <v>47267</v>
      </c>
      <c r="E77" s="28">
        <f t="shared" si="49"/>
        <v>3</v>
      </c>
      <c r="F77" s="27"/>
      <c r="G77" s="28" t="str">
        <f t="shared" si="56"/>
        <v/>
      </c>
      <c r="H77" s="27"/>
      <c r="I77" s="28" t="str">
        <f t="shared" si="57"/>
        <v/>
      </c>
      <c r="J77" s="27"/>
      <c r="K77" s="28" t="str">
        <f t="shared" si="58"/>
        <v/>
      </c>
      <c r="L77" s="27"/>
      <c r="M77" s="28" t="str">
        <f t="shared" si="59"/>
        <v/>
      </c>
      <c r="N77" s="27">
        <v>20301</v>
      </c>
      <c r="O77" s="28">
        <f t="shared" si="50"/>
        <v>0</v>
      </c>
      <c r="P77" s="27">
        <v>5303</v>
      </c>
      <c r="Q77" s="28">
        <f t="shared" si="51"/>
        <v>0</v>
      </c>
      <c r="R77" s="27"/>
      <c r="S77" s="28" t="str">
        <f t="shared" si="52"/>
        <v/>
      </c>
      <c r="T77" s="29">
        <v>32770</v>
      </c>
      <c r="U77" s="28">
        <f t="shared" si="53"/>
        <v>45</v>
      </c>
      <c r="V77" s="27">
        <v>6506</v>
      </c>
      <c r="W77" s="28">
        <f t="shared" si="54"/>
        <v>3</v>
      </c>
      <c r="X77" s="27"/>
      <c r="Y77" s="28"/>
      <c r="Z77" s="27"/>
      <c r="AA77" s="28"/>
      <c r="AB77" s="27">
        <v>2875</v>
      </c>
      <c r="AC77" s="28">
        <f t="shared" si="55"/>
        <v>12</v>
      </c>
      <c r="AD77" s="27">
        <v>2628</v>
      </c>
      <c r="AE77" s="28">
        <f t="shared" si="60"/>
        <v>11</v>
      </c>
      <c r="AF77" s="27"/>
      <c r="AG77" s="28" t="str">
        <f t="shared" si="61"/>
        <v/>
      </c>
      <c r="AH77" s="27"/>
      <c r="AI77" s="28" t="str">
        <f t="shared" si="62"/>
        <v/>
      </c>
      <c r="AJ77" s="27"/>
      <c r="AK77" s="28" t="str">
        <f t="shared" si="63"/>
        <v/>
      </c>
      <c r="AL77" s="27"/>
      <c r="AM77" s="28" t="str">
        <f t="shared" si="64"/>
        <v/>
      </c>
      <c r="AN77" s="24">
        <f t="shared" si="65"/>
        <v>0</v>
      </c>
      <c r="AO77" s="24">
        <f t="shared" si="66"/>
        <v>14</v>
      </c>
      <c r="AP77" s="24">
        <f t="shared" si="67"/>
        <v>26</v>
      </c>
      <c r="AQ77" s="25">
        <f t="shared" si="68"/>
        <v>3</v>
      </c>
      <c r="AR77" s="25">
        <f t="shared" si="69"/>
        <v>31</v>
      </c>
      <c r="AS77" s="25">
        <f t="shared" si="70"/>
        <v>22</v>
      </c>
    </row>
    <row r="78" spans="2:45" hidden="1" x14ac:dyDescent="0.3">
      <c r="B78" s="9" t="s">
        <v>72</v>
      </c>
      <c r="C78" s="33">
        <v>45908</v>
      </c>
      <c r="D78" s="27">
        <v>47270</v>
      </c>
      <c r="E78" s="28">
        <f t="shared" si="49"/>
        <v>1174</v>
      </c>
      <c r="F78" s="27"/>
      <c r="G78" s="28" t="str">
        <f t="shared" si="56"/>
        <v/>
      </c>
      <c r="H78" s="27"/>
      <c r="I78" s="28" t="str">
        <f t="shared" si="57"/>
        <v/>
      </c>
      <c r="J78" s="27"/>
      <c r="K78" s="28" t="str">
        <f t="shared" si="58"/>
        <v/>
      </c>
      <c r="L78" s="27"/>
      <c r="M78" s="28" t="str">
        <f t="shared" si="59"/>
        <v/>
      </c>
      <c r="N78" s="27">
        <v>20301</v>
      </c>
      <c r="O78" s="28">
        <f t="shared" si="50"/>
        <v>254</v>
      </c>
      <c r="P78" s="27">
        <v>5303</v>
      </c>
      <c r="Q78" s="28">
        <f t="shared" si="51"/>
        <v>143</v>
      </c>
      <c r="R78" s="27"/>
      <c r="S78" s="28" t="str">
        <f t="shared" si="52"/>
        <v/>
      </c>
      <c r="T78" s="29">
        <v>32815</v>
      </c>
      <c r="U78" s="28">
        <f t="shared" si="53"/>
        <v>556</v>
      </c>
      <c r="V78" s="27">
        <v>6509</v>
      </c>
      <c r="W78" s="28">
        <f t="shared" si="54"/>
        <v>120</v>
      </c>
      <c r="X78" s="27"/>
      <c r="Y78" s="28"/>
      <c r="Z78" s="27"/>
      <c r="AA78" s="28"/>
      <c r="AB78" s="27">
        <v>2887</v>
      </c>
      <c r="AC78" s="28">
        <f t="shared" si="55"/>
        <v>93</v>
      </c>
      <c r="AD78" s="27">
        <v>2639</v>
      </c>
      <c r="AE78" s="28">
        <f t="shared" si="60"/>
        <v>88</v>
      </c>
      <c r="AF78" s="27"/>
      <c r="AG78" s="28" t="str">
        <f t="shared" si="61"/>
        <v/>
      </c>
      <c r="AH78" s="27"/>
      <c r="AI78" s="28" t="str">
        <f t="shared" si="62"/>
        <v/>
      </c>
      <c r="AJ78" s="27"/>
      <c r="AK78" s="28" t="str">
        <f t="shared" si="63"/>
        <v/>
      </c>
      <c r="AL78" s="27"/>
      <c r="AM78" s="28" t="str">
        <f t="shared" si="64"/>
        <v/>
      </c>
      <c r="AN78" s="24">
        <f t="shared" si="65"/>
        <v>397</v>
      </c>
      <c r="AO78" s="24">
        <f t="shared" si="66"/>
        <v>208</v>
      </c>
      <c r="AP78" s="24">
        <f t="shared" si="67"/>
        <v>698</v>
      </c>
      <c r="AQ78" s="25">
        <f t="shared" si="68"/>
        <v>777</v>
      </c>
      <c r="AR78" s="25">
        <f t="shared" si="69"/>
        <v>348</v>
      </c>
      <c r="AS78" s="25">
        <f t="shared" si="70"/>
        <v>1032</v>
      </c>
    </row>
    <row r="79" spans="2:45" hidden="1" x14ac:dyDescent="0.3">
      <c r="B79" s="9" t="s">
        <v>66</v>
      </c>
      <c r="C79" s="33">
        <v>45909</v>
      </c>
      <c r="D79" s="27">
        <v>48444</v>
      </c>
      <c r="E79" s="28">
        <f t="shared" si="49"/>
        <v>1572</v>
      </c>
      <c r="F79" s="27"/>
      <c r="G79" s="28" t="str">
        <f t="shared" si="56"/>
        <v/>
      </c>
      <c r="H79" s="27"/>
      <c r="I79" s="28" t="str">
        <f t="shared" si="57"/>
        <v/>
      </c>
      <c r="J79" s="27"/>
      <c r="K79" s="28" t="str">
        <f t="shared" si="58"/>
        <v/>
      </c>
      <c r="L79" s="27"/>
      <c r="M79" s="28" t="str">
        <f t="shared" si="59"/>
        <v/>
      </c>
      <c r="N79" s="27">
        <v>20555</v>
      </c>
      <c r="O79" s="28">
        <f t="shared" si="50"/>
        <v>270</v>
      </c>
      <c r="P79" s="27">
        <v>5446</v>
      </c>
      <c r="Q79" s="28">
        <f t="shared" si="51"/>
        <v>136</v>
      </c>
      <c r="R79" s="27"/>
      <c r="S79" s="28" t="str">
        <f t="shared" si="52"/>
        <v/>
      </c>
      <c r="T79" s="29">
        <v>33371</v>
      </c>
      <c r="U79" s="28">
        <f t="shared" si="53"/>
        <v>555</v>
      </c>
      <c r="V79" s="27">
        <v>6629</v>
      </c>
      <c r="W79" s="28">
        <f t="shared" si="54"/>
        <v>113</v>
      </c>
      <c r="X79" s="27"/>
      <c r="Y79" s="28"/>
      <c r="Z79" s="27"/>
      <c r="AA79" s="28"/>
      <c r="AB79" s="27">
        <v>2980</v>
      </c>
      <c r="AC79" s="28">
        <f t="shared" si="55"/>
        <v>83</v>
      </c>
      <c r="AD79" s="27">
        <v>2727</v>
      </c>
      <c r="AE79" s="28">
        <f t="shared" si="60"/>
        <v>97</v>
      </c>
      <c r="AF79" s="27"/>
      <c r="AG79" s="28" t="str">
        <f t="shared" si="61"/>
        <v/>
      </c>
      <c r="AH79" s="27"/>
      <c r="AI79" s="28" t="str">
        <f t="shared" si="62"/>
        <v/>
      </c>
      <c r="AJ79" s="27"/>
      <c r="AK79" s="28" t="str">
        <f t="shared" si="63"/>
        <v/>
      </c>
      <c r="AL79" s="27"/>
      <c r="AM79" s="28" t="str">
        <f t="shared" si="64"/>
        <v/>
      </c>
      <c r="AN79" s="24">
        <f t="shared" si="65"/>
        <v>406</v>
      </c>
      <c r="AO79" s="24">
        <f t="shared" si="66"/>
        <v>210</v>
      </c>
      <c r="AP79" s="24">
        <f t="shared" si="67"/>
        <v>699</v>
      </c>
      <c r="AQ79" s="25">
        <f t="shared" si="68"/>
        <v>1166</v>
      </c>
      <c r="AR79" s="25">
        <f t="shared" si="69"/>
        <v>345</v>
      </c>
      <c r="AS79" s="25">
        <f t="shared" si="70"/>
        <v>1428</v>
      </c>
    </row>
    <row r="80" spans="2:45" hidden="1" x14ac:dyDescent="0.3">
      <c r="B80" s="9" t="s">
        <v>67</v>
      </c>
      <c r="C80" s="33">
        <v>45910</v>
      </c>
      <c r="D80" s="27">
        <v>50016</v>
      </c>
      <c r="E80" s="28">
        <f t="shared" si="49"/>
        <v>1519</v>
      </c>
      <c r="F80" s="27"/>
      <c r="G80" s="28" t="str">
        <f t="shared" si="56"/>
        <v/>
      </c>
      <c r="H80" s="27"/>
      <c r="I80" s="28" t="str">
        <f t="shared" si="57"/>
        <v/>
      </c>
      <c r="J80" s="27"/>
      <c r="K80" s="28" t="str">
        <f t="shared" si="58"/>
        <v/>
      </c>
      <c r="L80" s="27"/>
      <c r="M80" s="28" t="str">
        <f t="shared" si="59"/>
        <v/>
      </c>
      <c r="N80" s="27">
        <v>20825</v>
      </c>
      <c r="O80" s="28">
        <f t="shared" si="50"/>
        <v>246</v>
      </c>
      <c r="P80" s="27">
        <v>5582</v>
      </c>
      <c r="Q80" s="28">
        <f t="shared" si="51"/>
        <v>137</v>
      </c>
      <c r="R80" s="27"/>
      <c r="S80" s="28" t="str">
        <f t="shared" si="52"/>
        <v/>
      </c>
      <c r="T80" s="29">
        <v>33926</v>
      </c>
      <c r="U80" s="28">
        <f t="shared" si="53"/>
        <v>544</v>
      </c>
      <c r="V80" s="27">
        <v>6742</v>
      </c>
      <c r="W80" s="28">
        <f t="shared" si="54"/>
        <v>109</v>
      </c>
      <c r="X80" s="27"/>
      <c r="Y80" s="28"/>
      <c r="Z80" s="27"/>
      <c r="AA80" s="28"/>
      <c r="AB80" s="27">
        <v>3063</v>
      </c>
      <c r="AC80" s="28">
        <f t="shared" si="55"/>
        <v>75</v>
      </c>
      <c r="AD80" s="27">
        <v>2824</v>
      </c>
      <c r="AE80" s="28">
        <f t="shared" si="60"/>
        <v>87</v>
      </c>
      <c r="AF80" s="27"/>
      <c r="AG80" s="28" t="str">
        <f t="shared" si="61"/>
        <v/>
      </c>
      <c r="AH80" s="27"/>
      <c r="AI80" s="28" t="str">
        <f t="shared" si="62"/>
        <v/>
      </c>
      <c r="AJ80" s="27"/>
      <c r="AK80" s="28" t="str">
        <f t="shared" si="63"/>
        <v/>
      </c>
      <c r="AL80" s="27"/>
      <c r="AM80" s="28" t="str">
        <f t="shared" si="64"/>
        <v/>
      </c>
      <c r="AN80" s="24">
        <f t="shared" si="65"/>
        <v>383</v>
      </c>
      <c r="AO80" s="24">
        <f t="shared" si="66"/>
        <v>196</v>
      </c>
      <c r="AP80" s="24">
        <f t="shared" si="67"/>
        <v>654</v>
      </c>
      <c r="AQ80" s="25">
        <f t="shared" si="68"/>
        <v>1136</v>
      </c>
      <c r="AR80" s="25">
        <f t="shared" si="69"/>
        <v>348</v>
      </c>
      <c r="AS80" s="25">
        <f t="shared" si="70"/>
        <v>1409</v>
      </c>
    </row>
    <row r="81" spans="2:45" hidden="1" x14ac:dyDescent="0.3">
      <c r="B81" s="9" t="s">
        <v>68</v>
      </c>
      <c r="C81" s="33">
        <v>45911</v>
      </c>
      <c r="D81" s="27">
        <v>51535</v>
      </c>
      <c r="E81" s="28">
        <f t="shared" si="49"/>
        <v>1164</v>
      </c>
      <c r="F81" s="27"/>
      <c r="G81" s="28" t="str">
        <f t="shared" si="56"/>
        <v/>
      </c>
      <c r="H81" s="27"/>
      <c r="I81" s="28" t="str">
        <f t="shared" si="57"/>
        <v/>
      </c>
      <c r="J81" s="27"/>
      <c r="K81" s="28" t="str">
        <f t="shared" si="58"/>
        <v/>
      </c>
      <c r="L81" s="27"/>
      <c r="M81" s="28" t="str">
        <f t="shared" si="59"/>
        <v/>
      </c>
      <c r="N81" s="27">
        <v>21071</v>
      </c>
      <c r="O81" s="28">
        <f t="shared" si="50"/>
        <v>272</v>
      </c>
      <c r="P81" s="27">
        <v>5719</v>
      </c>
      <c r="Q81" s="28">
        <f t="shared" si="51"/>
        <v>137</v>
      </c>
      <c r="R81" s="27"/>
      <c r="S81" s="28" t="str">
        <f t="shared" si="52"/>
        <v/>
      </c>
      <c r="T81" s="29">
        <v>34470</v>
      </c>
      <c r="U81" s="28">
        <f t="shared" si="53"/>
        <v>607</v>
      </c>
      <c r="V81" s="27">
        <v>6851</v>
      </c>
      <c r="W81" s="28">
        <f t="shared" si="54"/>
        <v>119</v>
      </c>
      <c r="X81" s="27"/>
      <c r="Y81" s="28"/>
      <c r="Z81" s="27"/>
      <c r="AA81" s="28"/>
      <c r="AB81" s="27">
        <v>3138</v>
      </c>
      <c r="AC81" s="28">
        <f t="shared" si="55"/>
        <v>90</v>
      </c>
      <c r="AD81" s="27">
        <v>2911</v>
      </c>
      <c r="AE81" s="28">
        <f t="shared" si="60"/>
        <v>95</v>
      </c>
      <c r="AF81" s="27"/>
      <c r="AG81" s="28" t="str">
        <f t="shared" si="61"/>
        <v/>
      </c>
      <c r="AH81" s="27"/>
      <c r="AI81" s="28" t="str">
        <f t="shared" si="62"/>
        <v/>
      </c>
      <c r="AJ81" s="27"/>
      <c r="AK81" s="28" t="str">
        <f t="shared" si="63"/>
        <v/>
      </c>
      <c r="AL81" s="27"/>
      <c r="AM81" s="28" t="str">
        <f t="shared" si="64"/>
        <v/>
      </c>
      <c r="AN81" s="24">
        <f t="shared" si="65"/>
        <v>409</v>
      </c>
      <c r="AO81" s="24">
        <f t="shared" si="66"/>
        <v>214</v>
      </c>
      <c r="AP81" s="24">
        <f t="shared" si="67"/>
        <v>713</v>
      </c>
      <c r="AQ81" s="25">
        <f t="shared" si="68"/>
        <v>755</v>
      </c>
      <c r="AR81" s="25">
        <f t="shared" si="69"/>
        <v>393</v>
      </c>
      <c r="AS81" s="25">
        <f t="shared" si="70"/>
        <v>1058</v>
      </c>
    </row>
    <row r="82" spans="2:45" hidden="1" x14ac:dyDescent="0.3">
      <c r="B82" s="9" t="s">
        <v>69</v>
      </c>
      <c r="C82" s="33">
        <v>45912</v>
      </c>
      <c r="D82" s="27">
        <v>52699</v>
      </c>
      <c r="E82" s="28">
        <f t="shared" si="49"/>
        <v>1452</v>
      </c>
      <c r="F82" s="27"/>
      <c r="G82" s="28" t="str">
        <f t="shared" si="56"/>
        <v/>
      </c>
      <c r="H82" s="27"/>
      <c r="I82" s="28" t="str">
        <f t="shared" si="57"/>
        <v/>
      </c>
      <c r="J82" s="27"/>
      <c r="K82" s="28" t="str">
        <f t="shared" si="58"/>
        <v/>
      </c>
      <c r="L82" s="27"/>
      <c r="M82" s="28" t="str">
        <f t="shared" si="59"/>
        <v/>
      </c>
      <c r="N82" s="27">
        <v>21343</v>
      </c>
      <c r="O82" s="28">
        <f t="shared" si="50"/>
        <v>254</v>
      </c>
      <c r="P82" s="27">
        <v>5856</v>
      </c>
      <c r="Q82" s="28">
        <f t="shared" si="51"/>
        <v>134</v>
      </c>
      <c r="R82" s="27"/>
      <c r="S82" s="28" t="str">
        <f t="shared" si="52"/>
        <v/>
      </c>
      <c r="T82" s="29">
        <v>35077</v>
      </c>
      <c r="U82" s="28">
        <f t="shared" si="53"/>
        <v>589</v>
      </c>
      <c r="V82" s="27">
        <v>6970</v>
      </c>
      <c r="W82" s="28">
        <f t="shared" si="54"/>
        <v>116</v>
      </c>
      <c r="X82" s="27"/>
      <c r="Y82" s="28"/>
      <c r="Z82" s="27"/>
      <c r="AA82" s="28"/>
      <c r="AB82" s="27">
        <v>3228</v>
      </c>
      <c r="AC82" s="28">
        <f t="shared" si="55"/>
        <v>78</v>
      </c>
      <c r="AD82" s="27">
        <v>3006</v>
      </c>
      <c r="AE82" s="28">
        <f t="shared" si="60"/>
        <v>90</v>
      </c>
      <c r="AF82" s="27"/>
      <c r="AG82" s="28" t="str">
        <f t="shared" si="61"/>
        <v/>
      </c>
      <c r="AH82" s="27"/>
      <c r="AI82" s="28" t="str">
        <f t="shared" si="62"/>
        <v/>
      </c>
      <c r="AJ82" s="27"/>
      <c r="AK82" s="28" t="str">
        <f t="shared" si="63"/>
        <v/>
      </c>
      <c r="AL82" s="27"/>
      <c r="AM82" s="28" t="str">
        <f t="shared" si="64"/>
        <v/>
      </c>
      <c r="AN82" s="24">
        <f t="shared" si="65"/>
        <v>388</v>
      </c>
      <c r="AO82" s="24">
        <f t="shared" si="66"/>
        <v>206</v>
      </c>
      <c r="AP82" s="24">
        <f t="shared" si="67"/>
        <v>672</v>
      </c>
      <c r="AQ82" s="25">
        <f t="shared" si="68"/>
        <v>1064</v>
      </c>
      <c r="AR82" s="25">
        <f t="shared" si="69"/>
        <v>383</v>
      </c>
      <c r="AS82" s="25">
        <f t="shared" si="70"/>
        <v>1369</v>
      </c>
    </row>
    <row r="83" spans="2:45" hidden="1" x14ac:dyDescent="0.3">
      <c r="B83" s="9" t="s">
        <v>70</v>
      </c>
      <c r="C83" s="33">
        <v>45913</v>
      </c>
      <c r="D83" s="27">
        <v>54151</v>
      </c>
      <c r="E83" s="28">
        <f t="shared" si="49"/>
        <v>1420</v>
      </c>
      <c r="F83" s="27"/>
      <c r="G83" s="28" t="str">
        <f t="shared" si="56"/>
        <v/>
      </c>
      <c r="H83" s="27"/>
      <c r="I83" s="28" t="str">
        <f t="shared" si="57"/>
        <v/>
      </c>
      <c r="J83" s="27"/>
      <c r="K83" s="28" t="str">
        <f t="shared" si="58"/>
        <v/>
      </c>
      <c r="L83" s="27"/>
      <c r="M83" s="28" t="str">
        <f t="shared" si="59"/>
        <v/>
      </c>
      <c r="N83" s="27">
        <v>21597</v>
      </c>
      <c r="O83" s="28">
        <f t="shared" si="50"/>
        <v>236</v>
      </c>
      <c r="P83" s="27">
        <v>5990</v>
      </c>
      <c r="Q83" s="28">
        <f t="shared" si="51"/>
        <v>124</v>
      </c>
      <c r="R83" s="27"/>
      <c r="S83" s="28" t="str">
        <f t="shared" si="52"/>
        <v/>
      </c>
      <c r="T83" s="29">
        <v>35666</v>
      </c>
      <c r="U83" s="28">
        <f t="shared" si="53"/>
        <v>531</v>
      </c>
      <c r="V83" s="27">
        <v>7086</v>
      </c>
      <c r="W83" s="28">
        <f t="shared" si="54"/>
        <v>100</v>
      </c>
      <c r="X83" s="27"/>
      <c r="Y83" s="28"/>
      <c r="Z83" s="27"/>
      <c r="AA83" s="28"/>
      <c r="AB83" s="27">
        <v>3306</v>
      </c>
      <c r="AC83" s="28">
        <f t="shared" si="55"/>
        <v>70</v>
      </c>
      <c r="AD83" s="27">
        <v>3096</v>
      </c>
      <c r="AE83" s="28"/>
      <c r="AF83" s="27"/>
      <c r="AG83" s="28" t="str">
        <f t="shared" si="61"/>
        <v/>
      </c>
      <c r="AH83" s="27"/>
      <c r="AI83" s="28" t="str">
        <f t="shared" si="62"/>
        <v/>
      </c>
      <c r="AJ83" s="27"/>
      <c r="AK83" s="28" t="str">
        <f t="shared" si="63"/>
        <v/>
      </c>
      <c r="AL83" s="27"/>
      <c r="AM83" s="28" t="str">
        <f t="shared" si="64"/>
        <v/>
      </c>
      <c r="AN83" s="24">
        <f t="shared" si="65"/>
        <v>360</v>
      </c>
      <c r="AO83" s="24">
        <f t="shared" si="66"/>
        <v>100</v>
      </c>
      <c r="AP83" s="24">
        <f t="shared" si="67"/>
        <v>530</v>
      </c>
      <c r="AQ83" s="25">
        <f t="shared" si="68"/>
        <v>1060</v>
      </c>
      <c r="AR83" s="25">
        <f t="shared" si="69"/>
        <v>431</v>
      </c>
      <c r="AS83" s="25">
        <f t="shared" si="70"/>
        <v>1421</v>
      </c>
    </row>
    <row r="84" spans="2:45" hidden="1" x14ac:dyDescent="0.3">
      <c r="B84" s="9" t="s">
        <v>71</v>
      </c>
      <c r="C84" s="33">
        <v>45914</v>
      </c>
      <c r="D84" s="27">
        <v>55571</v>
      </c>
      <c r="E84" s="28">
        <f t="shared" si="49"/>
        <v>61</v>
      </c>
      <c r="F84" s="27"/>
      <c r="G84" s="28" t="str">
        <f t="shared" si="56"/>
        <v/>
      </c>
      <c r="H84" s="27"/>
      <c r="I84" s="28" t="str">
        <f t="shared" si="57"/>
        <v/>
      </c>
      <c r="J84" s="27"/>
      <c r="K84" s="28" t="str">
        <f t="shared" si="58"/>
        <v/>
      </c>
      <c r="L84" s="27"/>
      <c r="M84" s="28" t="str">
        <f t="shared" si="59"/>
        <v/>
      </c>
      <c r="N84" s="27">
        <v>21833</v>
      </c>
      <c r="O84" s="28">
        <f t="shared" si="50"/>
        <v>13</v>
      </c>
      <c r="P84" s="27">
        <v>6114</v>
      </c>
      <c r="Q84" s="28">
        <f t="shared" si="51"/>
        <v>12</v>
      </c>
      <c r="R84" s="27"/>
      <c r="S84" s="28" t="str">
        <f t="shared" si="52"/>
        <v/>
      </c>
      <c r="T84" s="29">
        <v>36197</v>
      </c>
      <c r="U84" s="28">
        <f t="shared" si="53"/>
        <v>67</v>
      </c>
      <c r="V84" s="27">
        <v>7186</v>
      </c>
      <c r="W84" s="28">
        <f t="shared" si="54"/>
        <v>7</v>
      </c>
      <c r="X84" s="27"/>
      <c r="Y84" s="28"/>
      <c r="Z84" s="27"/>
      <c r="AA84" s="28"/>
      <c r="AB84" s="27">
        <v>3376</v>
      </c>
      <c r="AC84" s="28">
        <f t="shared" si="55"/>
        <v>7</v>
      </c>
      <c r="AD84" s="27">
        <v>3166</v>
      </c>
      <c r="AE84" s="28">
        <f t="shared" si="60"/>
        <v>8</v>
      </c>
      <c r="AF84" s="27"/>
      <c r="AG84" s="28" t="str">
        <f t="shared" si="61"/>
        <v/>
      </c>
      <c r="AH84" s="27"/>
      <c r="AI84" s="28" t="str">
        <f t="shared" si="62"/>
        <v/>
      </c>
      <c r="AJ84" s="27"/>
      <c r="AK84" s="28" t="str">
        <f t="shared" si="63"/>
        <v/>
      </c>
      <c r="AL84" s="27"/>
      <c r="AM84" s="28" t="str">
        <f t="shared" si="64"/>
        <v/>
      </c>
      <c r="AN84" s="24">
        <f t="shared" si="65"/>
        <v>25</v>
      </c>
      <c r="AO84" s="24">
        <f t="shared" si="66"/>
        <v>15</v>
      </c>
      <c r="AP84" s="24">
        <f t="shared" si="67"/>
        <v>47</v>
      </c>
      <c r="AQ84" s="25">
        <f t="shared" si="68"/>
        <v>36</v>
      </c>
      <c r="AR84" s="25">
        <f t="shared" si="69"/>
        <v>52</v>
      </c>
      <c r="AS84" s="25">
        <f t="shared" si="70"/>
        <v>81</v>
      </c>
    </row>
    <row r="85" spans="2:45" hidden="1" x14ac:dyDescent="0.3">
      <c r="B85" s="9" t="s">
        <v>72</v>
      </c>
      <c r="C85" s="33">
        <v>45915</v>
      </c>
      <c r="D85" s="27">
        <v>55632</v>
      </c>
      <c r="E85" s="28">
        <f t="shared" si="49"/>
        <v>1441</v>
      </c>
      <c r="F85" s="27"/>
      <c r="G85" s="28" t="str">
        <f t="shared" si="56"/>
        <v/>
      </c>
      <c r="H85" s="27"/>
      <c r="I85" s="28" t="str">
        <f t="shared" si="57"/>
        <v/>
      </c>
      <c r="J85" s="27"/>
      <c r="K85" s="28" t="str">
        <f t="shared" si="58"/>
        <v/>
      </c>
      <c r="L85" s="27"/>
      <c r="M85" s="28" t="str">
        <f t="shared" si="59"/>
        <v/>
      </c>
      <c r="N85" s="27">
        <v>21846</v>
      </c>
      <c r="O85" s="28">
        <f t="shared" si="50"/>
        <v>254</v>
      </c>
      <c r="P85" s="27">
        <v>6126</v>
      </c>
      <c r="Q85" s="28">
        <f t="shared" si="51"/>
        <v>129</v>
      </c>
      <c r="R85" s="27"/>
      <c r="S85" s="28" t="str">
        <f t="shared" si="52"/>
        <v/>
      </c>
      <c r="T85" s="29">
        <v>36264</v>
      </c>
      <c r="U85" s="28">
        <f t="shared" si="53"/>
        <v>629</v>
      </c>
      <c r="V85" s="27">
        <v>7193</v>
      </c>
      <c r="W85" s="28">
        <f t="shared" si="54"/>
        <v>112</v>
      </c>
      <c r="X85" s="27"/>
      <c r="Y85" s="28"/>
      <c r="Z85" s="27"/>
      <c r="AA85" s="28"/>
      <c r="AB85" s="27">
        <v>3383</v>
      </c>
      <c r="AC85" s="28">
        <f t="shared" si="55"/>
        <v>114</v>
      </c>
      <c r="AD85" s="27">
        <v>3174</v>
      </c>
      <c r="AE85" s="28">
        <f t="shared" si="60"/>
        <v>90</v>
      </c>
      <c r="AF85" s="27"/>
      <c r="AG85" s="28" t="str">
        <f t="shared" si="61"/>
        <v/>
      </c>
      <c r="AH85" s="27"/>
      <c r="AI85" s="28" t="str">
        <f t="shared" si="62"/>
        <v/>
      </c>
      <c r="AJ85" s="27"/>
      <c r="AK85" s="28" t="str">
        <f t="shared" si="63"/>
        <v/>
      </c>
      <c r="AL85" s="27"/>
      <c r="AM85" s="28" t="str">
        <f t="shared" si="64"/>
        <v/>
      </c>
      <c r="AN85" s="24">
        <f t="shared" si="65"/>
        <v>383</v>
      </c>
      <c r="AO85" s="24">
        <f t="shared" si="66"/>
        <v>202</v>
      </c>
      <c r="AP85" s="24">
        <f t="shared" si="67"/>
        <v>699</v>
      </c>
      <c r="AQ85" s="25">
        <f t="shared" si="68"/>
        <v>1058</v>
      </c>
      <c r="AR85" s="25">
        <f t="shared" si="69"/>
        <v>427</v>
      </c>
      <c r="AS85" s="25">
        <f t="shared" si="70"/>
        <v>1371</v>
      </c>
    </row>
    <row r="86" spans="2:45" hidden="1" x14ac:dyDescent="0.3">
      <c r="B86" s="9" t="s">
        <v>66</v>
      </c>
      <c r="C86" s="33">
        <v>45916</v>
      </c>
      <c r="D86" s="27">
        <v>57073</v>
      </c>
      <c r="E86" s="28">
        <f t="shared" si="49"/>
        <v>1748</v>
      </c>
      <c r="F86" s="27"/>
      <c r="G86" s="28" t="str">
        <f t="shared" si="56"/>
        <v/>
      </c>
      <c r="H86" s="27"/>
      <c r="I86" s="28" t="str">
        <f t="shared" si="57"/>
        <v/>
      </c>
      <c r="J86" s="27"/>
      <c r="K86" s="28" t="str">
        <f t="shared" si="58"/>
        <v/>
      </c>
      <c r="L86" s="27"/>
      <c r="M86" s="28" t="str">
        <f t="shared" si="59"/>
        <v/>
      </c>
      <c r="N86" s="27">
        <v>22100</v>
      </c>
      <c r="O86" s="28">
        <f t="shared" si="50"/>
        <v>263</v>
      </c>
      <c r="P86" s="27">
        <v>6255</v>
      </c>
      <c r="Q86" s="28">
        <f t="shared" si="51"/>
        <v>128</v>
      </c>
      <c r="R86" s="27"/>
      <c r="S86" s="28" t="str">
        <f t="shared" si="52"/>
        <v/>
      </c>
      <c r="T86" s="29">
        <v>36893</v>
      </c>
      <c r="U86" s="28">
        <f t="shared" si="53"/>
        <v>673</v>
      </c>
      <c r="V86" s="27">
        <v>7305</v>
      </c>
      <c r="W86" s="28">
        <f t="shared" si="54"/>
        <v>121</v>
      </c>
      <c r="X86" s="27"/>
      <c r="Y86" s="28"/>
      <c r="Z86" s="27"/>
      <c r="AA86" s="28"/>
      <c r="AB86" s="27">
        <v>3497</v>
      </c>
      <c r="AC86" s="28">
        <f t="shared" si="55"/>
        <v>85</v>
      </c>
      <c r="AD86" s="27">
        <v>3264</v>
      </c>
      <c r="AE86" s="28">
        <f t="shared" si="60"/>
        <v>92</v>
      </c>
      <c r="AF86" s="27"/>
      <c r="AG86" s="28" t="str">
        <f t="shared" si="61"/>
        <v/>
      </c>
      <c r="AH86" s="27"/>
      <c r="AI86" s="28" t="str">
        <f t="shared" si="62"/>
        <v/>
      </c>
      <c r="AJ86" s="27"/>
      <c r="AK86" s="28" t="str">
        <f t="shared" si="63"/>
        <v/>
      </c>
      <c r="AL86" s="27"/>
      <c r="AM86" s="28" t="str">
        <f t="shared" si="64"/>
        <v/>
      </c>
      <c r="AN86" s="24">
        <f t="shared" si="65"/>
        <v>391</v>
      </c>
      <c r="AO86" s="24">
        <f t="shared" si="66"/>
        <v>213</v>
      </c>
      <c r="AP86" s="24">
        <f t="shared" si="67"/>
        <v>689</v>
      </c>
      <c r="AQ86" s="25">
        <f t="shared" si="68"/>
        <v>1357</v>
      </c>
      <c r="AR86" s="25">
        <f t="shared" si="69"/>
        <v>460</v>
      </c>
      <c r="AS86" s="25">
        <f t="shared" si="70"/>
        <v>1732</v>
      </c>
    </row>
    <row r="87" spans="2:45" hidden="1" x14ac:dyDescent="0.3">
      <c r="B87" s="9" t="s">
        <v>67</v>
      </c>
      <c r="C87" s="33">
        <v>45917</v>
      </c>
      <c r="D87" s="27">
        <v>58821</v>
      </c>
      <c r="E87" s="28">
        <f t="shared" si="49"/>
        <v>1854</v>
      </c>
      <c r="F87" s="27"/>
      <c r="G87" s="28" t="str">
        <f t="shared" si="56"/>
        <v/>
      </c>
      <c r="H87" s="27"/>
      <c r="I87" s="28" t="str">
        <f t="shared" si="57"/>
        <v/>
      </c>
      <c r="J87" s="27"/>
      <c r="K87" s="28" t="str">
        <f t="shared" si="58"/>
        <v/>
      </c>
      <c r="L87" s="27"/>
      <c r="M87" s="28" t="str">
        <f t="shared" si="59"/>
        <v/>
      </c>
      <c r="N87" s="27">
        <v>22363</v>
      </c>
      <c r="O87" s="28">
        <f t="shared" si="50"/>
        <v>255</v>
      </c>
      <c r="P87" s="27">
        <v>6383</v>
      </c>
      <c r="Q87" s="28">
        <f t="shared" si="51"/>
        <v>128</v>
      </c>
      <c r="R87" s="27"/>
      <c r="S87" s="28" t="str">
        <f t="shared" si="52"/>
        <v/>
      </c>
      <c r="T87" s="29">
        <v>37566</v>
      </c>
      <c r="U87" s="28">
        <f t="shared" si="53"/>
        <v>703</v>
      </c>
      <c r="V87" s="27">
        <v>7426</v>
      </c>
      <c r="W87" s="28">
        <f t="shared" si="54"/>
        <v>112</v>
      </c>
      <c r="X87" s="27"/>
      <c r="Y87" s="28"/>
      <c r="Z87" s="27"/>
      <c r="AA87" s="28"/>
      <c r="AB87" s="27">
        <v>3582</v>
      </c>
      <c r="AC87" s="28">
        <f t="shared" si="55"/>
        <v>115</v>
      </c>
      <c r="AD87" s="27">
        <v>3356</v>
      </c>
      <c r="AE87" s="28">
        <f t="shared" si="60"/>
        <v>99</v>
      </c>
      <c r="AF87" s="27"/>
      <c r="AG87" s="28" t="str">
        <f t="shared" si="61"/>
        <v/>
      </c>
      <c r="AH87" s="27"/>
      <c r="AI87" s="28" t="str">
        <f t="shared" si="62"/>
        <v/>
      </c>
      <c r="AJ87" s="27"/>
      <c r="AK87" s="28" t="str">
        <f t="shared" si="63"/>
        <v/>
      </c>
      <c r="AL87" s="27"/>
      <c r="AM87" s="28" t="str">
        <f t="shared" si="64"/>
        <v/>
      </c>
      <c r="AN87" s="24">
        <f t="shared" si="65"/>
        <v>383</v>
      </c>
      <c r="AO87" s="24">
        <f t="shared" si="66"/>
        <v>211</v>
      </c>
      <c r="AP87" s="24">
        <f t="shared" si="67"/>
        <v>709</v>
      </c>
      <c r="AQ87" s="25">
        <f t="shared" si="68"/>
        <v>1471</v>
      </c>
      <c r="AR87" s="25">
        <f t="shared" si="69"/>
        <v>492</v>
      </c>
      <c r="AS87" s="25">
        <f t="shared" si="70"/>
        <v>1848</v>
      </c>
    </row>
    <row r="88" spans="2:45" hidden="1" x14ac:dyDescent="0.3">
      <c r="B88" s="9" t="s">
        <v>68</v>
      </c>
      <c r="C88" s="33">
        <v>45918</v>
      </c>
      <c r="D88" s="27">
        <v>60675</v>
      </c>
      <c r="E88" s="28">
        <f t="shared" si="49"/>
        <v>1848</v>
      </c>
      <c r="F88" s="27"/>
      <c r="G88" s="28" t="str">
        <f t="shared" si="56"/>
        <v/>
      </c>
      <c r="H88" s="27"/>
      <c r="I88" s="28" t="str">
        <f t="shared" si="57"/>
        <v/>
      </c>
      <c r="J88" s="27"/>
      <c r="K88" s="28" t="str">
        <f t="shared" si="58"/>
        <v/>
      </c>
      <c r="L88" s="27"/>
      <c r="M88" s="28" t="str">
        <f t="shared" si="59"/>
        <v/>
      </c>
      <c r="N88" s="27">
        <v>22618</v>
      </c>
      <c r="O88" s="28">
        <f t="shared" si="50"/>
        <v>261</v>
      </c>
      <c r="P88" s="27">
        <v>6511</v>
      </c>
      <c r="Q88" s="28">
        <f t="shared" si="51"/>
        <v>126</v>
      </c>
      <c r="R88" s="27"/>
      <c r="S88" s="28" t="str">
        <f t="shared" si="52"/>
        <v/>
      </c>
      <c r="T88" s="29">
        <v>38269</v>
      </c>
      <c r="U88" s="28">
        <f t="shared" si="53"/>
        <v>575</v>
      </c>
      <c r="V88" s="27">
        <v>7538</v>
      </c>
      <c r="W88" s="28">
        <f t="shared" si="54"/>
        <v>114</v>
      </c>
      <c r="X88" s="27"/>
      <c r="Y88" s="28"/>
      <c r="Z88" s="27"/>
      <c r="AA88" s="28"/>
      <c r="AB88" s="27">
        <v>3697</v>
      </c>
      <c r="AC88" s="28">
        <f t="shared" si="55"/>
        <v>92</v>
      </c>
      <c r="AD88" s="27">
        <v>3455</v>
      </c>
      <c r="AE88" s="28">
        <f t="shared" si="60"/>
        <v>104</v>
      </c>
      <c r="AF88" s="27"/>
      <c r="AG88" s="28" t="str">
        <f t="shared" si="61"/>
        <v/>
      </c>
      <c r="AH88" s="27"/>
      <c r="AI88" s="28" t="str">
        <f t="shared" si="62"/>
        <v/>
      </c>
      <c r="AJ88" s="27"/>
      <c r="AK88" s="28" t="str">
        <f t="shared" si="63"/>
        <v/>
      </c>
      <c r="AL88" s="27"/>
      <c r="AM88" s="28" t="str">
        <f t="shared" si="64"/>
        <v/>
      </c>
      <c r="AN88" s="24">
        <f t="shared" si="65"/>
        <v>387</v>
      </c>
      <c r="AO88" s="24">
        <f t="shared" si="66"/>
        <v>218</v>
      </c>
      <c r="AP88" s="24">
        <f t="shared" si="67"/>
        <v>697</v>
      </c>
      <c r="AQ88" s="25">
        <f t="shared" si="68"/>
        <v>1461</v>
      </c>
      <c r="AR88" s="25">
        <f t="shared" si="69"/>
        <v>357</v>
      </c>
      <c r="AS88" s="25">
        <f t="shared" si="70"/>
        <v>1726</v>
      </c>
    </row>
    <row r="89" spans="2:45" hidden="1" x14ac:dyDescent="0.3">
      <c r="B89" s="9" t="s">
        <v>69</v>
      </c>
      <c r="C89" s="33">
        <v>45919</v>
      </c>
      <c r="D89" s="27">
        <v>62523</v>
      </c>
      <c r="E89" s="28">
        <f t="shared" si="49"/>
        <v>1833</v>
      </c>
      <c r="F89" s="27"/>
      <c r="G89" s="28" t="str">
        <f t="shared" si="56"/>
        <v/>
      </c>
      <c r="H89" s="27"/>
      <c r="I89" s="28" t="str">
        <f t="shared" si="57"/>
        <v/>
      </c>
      <c r="J89" s="27"/>
      <c r="K89" s="28" t="str">
        <f t="shared" si="58"/>
        <v/>
      </c>
      <c r="L89" s="27"/>
      <c r="M89" s="28" t="str">
        <f t="shared" si="59"/>
        <v/>
      </c>
      <c r="N89" s="27">
        <v>22879</v>
      </c>
      <c r="O89" s="28">
        <f t="shared" si="50"/>
        <v>243</v>
      </c>
      <c r="P89" s="27">
        <v>6637</v>
      </c>
      <c r="Q89" s="28">
        <f t="shared" si="51"/>
        <v>126</v>
      </c>
      <c r="R89" s="27"/>
      <c r="S89" s="28" t="str">
        <f t="shared" si="52"/>
        <v/>
      </c>
      <c r="T89" s="29">
        <v>38844</v>
      </c>
      <c r="U89" s="28">
        <f t="shared" si="53"/>
        <v>664</v>
      </c>
      <c r="V89" s="27">
        <v>7652</v>
      </c>
      <c r="W89" s="28">
        <f t="shared" si="54"/>
        <v>115</v>
      </c>
      <c r="X89" s="27"/>
      <c r="Y89" s="28"/>
      <c r="Z89" s="27"/>
      <c r="AA89" s="28"/>
      <c r="AB89" s="27">
        <v>3789</v>
      </c>
      <c r="AC89" s="28">
        <f t="shared" si="55"/>
        <v>84</v>
      </c>
      <c r="AD89" s="27">
        <v>3559</v>
      </c>
      <c r="AE89" s="28">
        <f t="shared" si="60"/>
        <v>108</v>
      </c>
      <c r="AF89" s="27"/>
      <c r="AG89" s="28" t="str">
        <f t="shared" si="61"/>
        <v/>
      </c>
      <c r="AH89" s="27"/>
      <c r="AI89" s="28" t="str">
        <f t="shared" si="62"/>
        <v/>
      </c>
      <c r="AJ89" s="27"/>
      <c r="AK89" s="28" t="str">
        <f t="shared" si="63"/>
        <v/>
      </c>
      <c r="AL89" s="27"/>
      <c r="AM89" s="28" t="str">
        <f t="shared" si="64"/>
        <v/>
      </c>
      <c r="AN89" s="24">
        <f t="shared" si="65"/>
        <v>369</v>
      </c>
      <c r="AO89" s="24">
        <f t="shared" si="66"/>
        <v>223</v>
      </c>
      <c r="AP89" s="24">
        <f t="shared" si="67"/>
        <v>676</v>
      </c>
      <c r="AQ89" s="25">
        <f t="shared" si="68"/>
        <v>1464</v>
      </c>
      <c r="AR89" s="25">
        <f t="shared" si="69"/>
        <v>441</v>
      </c>
      <c r="AS89" s="25">
        <f t="shared" si="70"/>
        <v>1821</v>
      </c>
    </row>
    <row r="90" spans="2:45" hidden="1" x14ac:dyDescent="0.3">
      <c r="B90" s="9" t="s">
        <v>70</v>
      </c>
      <c r="C90" s="33">
        <v>45920</v>
      </c>
      <c r="D90" s="27">
        <v>64356</v>
      </c>
      <c r="E90" s="28">
        <f t="shared" si="49"/>
        <v>1745</v>
      </c>
      <c r="F90" s="27"/>
      <c r="G90" s="28" t="str">
        <f t="shared" si="56"/>
        <v/>
      </c>
      <c r="H90" s="27"/>
      <c r="I90" s="28" t="str">
        <f t="shared" si="57"/>
        <v/>
      </c>
      <c r="J90" s="27"/>
      <c r="K90" s="28" t="str">
        <f t="shared" si="58"/>
        <v/>
      </c>
      <c r="L90" s="27"/>
      <c r="M90" s="28" t="str">
        <f t="shared" si="59"/>
        <v/>
      </c>
      <c r="N90" s="27">
        <v>23122</v>
      </c>
      <c r="O90" s="28">
        <f t="shared" si="50"/>
        <v>214</v>
      </c>
      <c r="P90" s="27">
        <v>6763</v>
      </c>
      <c r="Q90" s="28">
        <f t="shared" si="51"/>
        <v>129</v>
      </c>
      <c r="R90" s="27"/>
      <c r="S90" s="28" t="str">
        <f t="shared" si="52"/>
        <v/>
      </c>
      <c r="T90" s="29">
        <v>39508</v>
      </c>
      <c r="U90" s="28">
        <f t="shared" si="53"/>
        <v>463</v>
      </c>
      <c r="V90" s="27">
        <v>7767</v>
      </c>
      <c r="W90" s="28">
        <f t="shared" si="54"/>
        <v>77</v>
      </c>
      <c r="X90" s="27"/>
      <c r="Y90" s="28"/>
      <c r="Z90" s="27"/>
      <c r="AA90" s="28"/>
      <c r="AB90" s="27">
        <v>3873</v>
      </c>
      <c r="AC90" s="28">
        <f t="shared" si="55"/>
        <v>82</v>
      </c>
      <c r="AD90" s="27">
        <v>3667</v>
      </c>
      <c r="AE90" s="28">
        <f t="shared" si="60"/>
        <v>90</v>
      </c>
      <c r="AF90" s="27"/>
      <c r="AG90" s="28" t="str">
        <f t="shared" si="61"/>
        <v/>
      </c>
      <c r="AH90" s="27"/>
      <c r="AI90" s="28" t="str">
        <f t="shared" si="62"/>
        <v/>
      </c>
      <c r="AJ90" s="27"/>
      <c r="AK90" s="28" t="str">
        <f t="shared" si="63"/>
        <v/>
      </c>
      <c r="AL90" s="27"/>
      <c r="AM90" s="28" t="str">
        <f t="shared" si="64"/>
        <v/>
      </c>
      <c r="AN90" s="24">
        <f t="shared" si="65"/>
        <v>343</v>
      </c>
      <c r="AO90" s="24">
        <f t="shared" si="66"/>
        <v>167</v>
      </c>
      <c r="AP90" s="24">
        <f t="shared" si="67"/>
        <v>592</v>
      </c>
      <c r="AQ90" s="25">
        <f t="shared" si="68"/>
        <v>1402</v>
      </c>
      <c r="AR90" s="25">
        <f t="shared" si="69"/>
        <v>296</v>
      </c>
      <c r="AS90" s="25">
        <f t="shared" si="70"/>
        <v>1616</v>
      </c>
    </row>
    <row r="91" spans="2:45" hidden="1" x14ac:dyDescent="0.3">
      <c r="B91" s="9" t="s">
        <v>71</v>
      </c>
      <c r="C91" s="33">
        <v>45921</v>
      </c>
      <c r="D91" s="27">
        <v>66101</v>
      </c>
      <c r="E91" s="28">
        <f t="shared" si="49"/>
        <v>11</v>
      </c>
      <c r="F91" s="27"/>
      <c r="G91" s="28" t="str">
        <f t="shared" si="56"/>
        <v/>
      </c>
      <c r="H91" s="27"/>
      <c r="I91" s="28" t="str">
        <f t="shared" si="57"/>
        <v/>
      </c>
      <c r="J91" s="27"/>
      <c r="K91" s="28" t="str">
        <f t="shared" si="58"/>
        <v/>
      </c>
      <c r="L91" s="27"/>
      <c r="M91" s="28" t="str">
        <f t="shared" si="59"/>
        <v/>
      </c>
      <c r="N91" s="27">
        <v>23336</v>
      </c>
      <c r="O91" s="28">
        <f t="shared" si="50"/>
        <v>4</v>
      </c>
      <c r="P91" s="27">
        <v>6892</v>
      </c>
      <c r="Q91" s="28">
        <f t="shared" si="51"/>
        <v>3</v>
      </c>
      <c r="R91" s="27"/>
      <c r="S91" s="28" t="str">
        <f t="shared" si="52"/>
        <v/>
      </c>
      <c r="T91" s="29">
        <v>39971</v>
      </c>
      <c r="U91" s="28">
        <f t="shared" si="53"/>
        <v>141</v>
      </c>
      <c r="V91" s="27">
        <v>7844</v>
      </c>
      <c r="W91" s="28">
        <f t="shared" si="54"/>
        <v>37</v>
      </c>
      <c r="X91" s="27"/>
      <c r="Y91" s="28"/>
      <c r="Z91" s="27"/>
      <c r="AA91" s="28"/>
      <c r="AB91" s="27">
        <v>3955</v>
      </c>
      <c r="AC91" s="28">
        <f t="shared" si="55"/>
        <v>4</v>
      </c>
      <c r="AD91" s="27">
        <v>3757</v>
      </c>
      <c r="AE91" s="28">
        <f t="shared" si="60"/>
        <v>4</v>
      </c>
      <c r="AF91" s="27"/>
      <c r="AG91" s="28" t="str">
        <f t="shared" si="61"/>
        <v/>
      </c>
      <c r="AH91" s="27"/>
      <c r="AI91" s="28" t="str">
        <f t="shared" si="62"/>
        <v/>
      </c>
      <c r="AJ91" s="27"/>
      <c r="AK91" s="28" t="str">
        <f t="shared" si="63"/>
        <v/>
      </c>
      <c r="AL91" s="27"/>
      <c r="AM91" s="28" t="str">
        <f t="shared" si="64"/>
        <v/>
      </c>
      <c r="AN91" s="24">
        <f t="shared" si="65"/>
        <v>7</v>
      </c>
      <c r="AO91" s="24">
        <f t="shared" si="66"/>
        <v>41</v>
      </c>
      <c r="AP91" s="24">
        <f t="shared" si="67"/>
        <v>52</v>
      </c>
      <c r="AQ91" s="25">
        <f t="shared" si="68"/>
        <v>4</v>
      </c>
      <c r="AR91" s="25">
        <f t="shared" si="69"/>
        <v>100</v>
      </c>
      <c r="AS91" s="25">
        <f t="shared" si="70"/>
        <v>100</v>
      </c>
    </row>
    <row r="92" spans="2:45" hidden="1" x14ac:dyDescent="0.3">
      <c r="B92" s="9" t="s">
        <v>72</v>
      </c>
      <c r="C92" s="33">
        <v>45922</v>
      </c>
      <c r="D92" s="27">
        <v>66112</v>
      </c>
      <c r="E92" s="28">
        <f t="shared" si="49"/>
        <v>1664</v>
      </c>
      <c r="F92" s="27"/>
      <c r="G92" s="28" t="str">
        <f t="shared" si="56"/>
        <v/>
      </c>
      <c r="H92" s="27"/>
      <c r="I92" s="28" t="str">
        <f t="shared" si="57"/>
        <v/>
      </c>
      <c r="J92" s="27"/>
      <c r="K92" s="28" t="str">
        <f t="shared" si="58"/>
        <v/>
      </c>
      <c r="L92" s="27"/>
      <c r="M92" s="28" t="str">
        <f t="shared" si="59"/>
        <v/>
      </c>
      <c r="N92" s="27">
        <v>23340</v>
      </c>
      <c r="O92" s="28">
        <f t="shared" si="50"/>
        <v>259</v>
      </c>
      <c r="P92" s="27">
        <v>6895</v>
      </c>
      <c r="Q92" s="28">
        <f t="shared" si="51"/>
        <v>118</v>
      </c>
      <c r="R92" s="27"/>
      <c r="S92" s="28" t="str">
        <f t="shared" si="52"/>
        <v/>
      </c>
      <c r="T92" s="29">
        <v>40112</v>
      </c>
      <c r="U92" s="28">
        <f t="shared" si="53"/>
        <v>674</v>
      </c>
      <c r="V92" s="27">
        <v>7881</v>
      </c>
      <c r="W92" s="28">
        <f t="shared" si="54"/>
        <v>114</v>
      </c>
      <c r="X92" s="27"/>
      <c r="Y92" s="28"/>
      <c r="Z92" s="27"/>
      <c r="AA92" s="28"/>
      <c r="AB92" s="27">
        <v>3959</v>
      </c>
      <c r="AC92" s="28">
        <f t="shared" si="55"/>
        <v>87</v>
      </c>
      <c r="AD92" s="27">
        <v>3761</v>
      </c>
      <c r="AE92" s="28">
        <f t="shared" si="60"/>
        <v>89</v>
      </c>
      <c r="AF92" s="27"/>
      <c r="AG92" s="28" t="str">
        <f t="shared" si="61"/>
        <v/>
      </c>
      <c r="AH92" s="27"/>
      <c r="AI92" s="28" t="str">
        <f t="shared" si="62"/>
        <v/>
      </c>
      <c r="AJ92" s="27"/>
      <c r="AK92" s="28" t="str">
        <f t="shared" si="63"/>
        <v/>
      </c>
      <c r="AL92" s="27"/>
      <c r="AM92" s="28" t="str">
        <f t="shared" si="64"/>
        <v/>
      </c>
      <c r="AN92" s="24">
        <f t="shared" si="65"/>
        <v>377</v>
      </c>
      <c r="AO92" s="24">
        <f t="shared" si="66"/>
        <v>203</v>
      </c>
      <c r="AP92" s="24">
        <f t="shared" si="67"/>
        <v>667</v>
      </c>
      <c r="AQ92" s="25">
        <f t="shared" si="68"/>
        <v>1287</v>
      </c>
      <c r="AR92" s="25">
        <f t="shared" si="69"/>
        <v>471</v>
      </c>
      <c r="AS92" s="25">
        <f t="shared" si="70"/>
        <v>1671</v>
      </c>
    </row>
    <row r="93" spans="2:45" hidden="1" x14ac:dyDescent="0.3">
      <c r="B93" s="9" t="s">
        <v>66</v>
      </c>
      <c r="C93" s="33">
        <v>45923</v>
      </c>
      <c r="D93" s="27">
        <v>67776</v>
      </c>
      <c r="E93" s="28">
        <f t="shared" si="49"/>
        <v>1685</v>
      </c>
      <c r="F93" s="27"/>
      <c r="G93" s="28" t="str">
        <f t="shared" si="56"/>
        <v/>
      </c>
      <c r="H93" s="27"/>
      <c r="I93" s="28" t="str">
        <f t="shared" si="57"/>
        <v/>
      </c>
      <c r="J93" s="27"/>
      <c r="K93" s="28" t="str">
        <f t="shared" si="58"/>
        <v/>
      </c>
      <c r="L93" s="27"/>
      <c r="M93" s="28" t="str">
        <f t="shared" si="59"/>
        <v/>
      </c>
      <c r="N93" s="27">
        <v>23599</v>
      </c>
      <c r="O93" s="28">
        <f t="shared" si="50"/>
        <v>251</v>
      </c>
      <c r="P93" s="27">
        <v>7013</v>
      </c>
      <c r="Q93" s="28">
        <f t="shared" si="51"/>
        <v>130</v>
      </c>
      <c r="R93" s="27"/>
      <c r="S93" s="28" t="str">
        <f t="shared" si="52"/>
        <v/>
      </c>
      <c r="T93" s="29">
        <v>40786</v>
      </c>
      <c r="U93" s="28">
        <f t="shared" si="53"/>
        <v>712</v>
      </c>
      <c r="V93" s="27">
        <v>7995</v>
      </c>
      <c r="W93" s="28">
        <f t="shared" si="54"/>
        <v>113</v>
      </c>
      <c r="X93" s="27"/>
      <c r="Y93" s="28"/>
      <c r="Z93" s="27"/>
      <c r="AA93" s="28"/>
      <c r="AB93" s="27">
        <v>4046</v>
      </c>
      <c r="AC93" s="28">
        <f t="shared" si="55"/>
        <v>93</v>
      </c>
      <c r="AD93" s="27">
        <v>3850</v>
      </c>
      <c r="AE93" s="28">
        <f t="shared" si="60"/>
        <v>100</v>
      </c>
      <c r="AF93" s="27"/>
      <c r="AG93" s="28" t="str">
        <f t="shared" si="61"/>
        <v/>
      </c>
      <c r="AH93" s="27"/>
      <c r="AI93" s="28" t="str">
        <f t="shared" si="62"/>
        <v/>
      </c>
      <c r="AJ93" s="27"/>
      <c r="AK93" s="28" t="str">
        <f t="shared" si="63"/>
        <v/>
      </c>
      <c r="AL93" s="27"/>
      <c r="AM93" s="28" t="str">
        <f t="shared" si="64"/>
        <v/>
      </c>
      <c r="AN93" s="24">
        <f t="shared" si="65"/>
        <v>381</v>
      </c>
      <c r="AO93" s="24">
        <f t="shared" si="66"/>
        <v>213</v>
      </c>
      <c r="AP93" s="24">
        <f t="shared" si="67"/>
        <v>687</v>
      </c>
      <c r="AQ93" s="25">
        <f t="shared" si="68"/>
        <v>1304</v>
      </c>
      <c r="AR93" s="25">
        <f t="shared" si="69"/>
        <v>499</v>
      </c>
      <c r="AS93" s="25">
        <f t="shared" si="70"/>
        <v>1710</v>
      </c>
    </row>
    <row r="94" spans="2:45" hidden="1" x14ac:dyDescent="0.3">
      <c r="B94" s="9" t="s">
        <v>67</v>
      </c>
      <c r="C94" s="33">
        <v>45924</v>
      </c>
      <c r="D94" s="27">
        <v>69461</v>
      </c>
      <c r="E94" s="28">
        <f t="shared" si="49"/>
        <v>1764</v>
      </c>
      <c r="F94" s="27"/>
      <c r="G94" s="28" t="str">
        <f t="shared" si="56"/>
        <v/>
      </c>
      <c r="H94" s="27"/>
      <c r="I94" s="28" t="str">
        <f t="shared" si="57"/>
        <v/>
      </c>
      <c r="J94" s="27"/>
      <c r="K94" s="28" t="str">
        <f t="shared" si="58"/>
        <v/>
      </c>
      <c r="L94" s="27"/>
      <c r="M94" s="28" t="str">
        <f t="shared" si="59"/>
        <v/>
      </c>
      <c r="N94" s="27">
        <v>23850</v>
      </c>
      <c r="O94" s="28">
        <f t="shared" si="50"/>
        <v>222</v>
      </c>
      <c r="P94" s="27">
        <v>7143</v>
      </c>
      <c r="Q94" s="28">
        <f t="shared" si="51"/>
        <v>128</v>
      </c>
      <c r="R94" s="27"/>
      <c r="S94" s="28" t="str">
        <f t="shared" si="52"/>
        <v/>
      </c>
      <c r="T94" s="29">
        <v>41498</v>
      </c>
      <c r="U94" s="28">
        <f t="shared" si="53"/>
        <v>790</v>
      </c>
      <c r="V94" s="27">
        <v>8108</v>
      </c>
      <c r="W94" s="28">
        <f t="shared" si="54"/>
        <v>112</v>
      </c>
      <c r="X94" s="27"/>
      <c r="Y94" s="28"/>
      <c r="Z94" s="27"/>
      <c r="AA94" s="28"/>
      <c r="AB94" s="27">
        <v>4139</v>
      </c>
      <c r="AC94" s="28">
        <f t="shared" si="55"/>
        <v>119</v>
      </c>
      <c r="AD94" s="27">
        <v>3950</v>
      </c>
      <c r="AE94" s="28">
        <f t="shared" si="60"/>
        <v>123</v>
      </c>
      <c r="AF94" s="27"/>
      <c r="AG94" s="28" t="str">
        <f t="shared" si="61"/>
        <v/>
      </c>
      <c r="AH94" s="27"/>
      <c r="AI94" s="28" t="str">
        <f t="shared" si="62"/>
        <v/>
      </c>
      <c r="AJ94" s="27"/>
      <c r="AK94" s="28" t="str">
        <f t="shared" si="63"/>
        <v/>
      </c>
      <c r="AL94" s="27"/>
      <c r="AM94" s="28" t="str">
        <f t="shared" si="64"/>
        <v/>
      </c>
      <c r="AN94" s="24">
        <f t="shared" si="65"/>
        <v>350</v>
      </c>
      <c r="AO94" s="24">
        <f t="shared" si="66"/>
        <v>235</v>
      </c>
      <c r="AP94" s="24">
        <f t="shared" si="67"/>
        <v>704</v>
      </c>
      <c r="AQ94" s="25">
        <f t="shared" si="68"/>
        <v>1414</v>
      </c>
      <c r="AR94" s="25">
        <f t="shared" si="69"/>
        <v>555</v>
      </c>
      <c r="AS94" s="25">
        <f t="shared" si="70"/>
        <v>1850</v>
      </c>
    </row>
    <row r="95" spans="2:45" hidden="1" x14ac:dyDescent="0.3">
      <c r="B95" s="9" t="s">
        <v>68</v>
      </c>
      <c r="C95" s="33">
        <v>45925</v>
      </c>
      <c r="D95" s="27">
        <v>71225</v>
      </c>
      <c r="E95" s="28">
        <f t="shared" si="49"/>
        <v>1931</v>
      </c>
      <c r="F95" s="27"/>
      <c r="G95" s="28" t="str">
        <f t="shared" si="56"/>
        <v/>
      </c>
      <c r="H95" s="27"/>
      <c r="I95" s="28" t="str">
        <f t="shared" si="57"/>
        <v/>
      </c>
      <c r="J95" s="27"/>
      <c r="K95" s="28" t="str">
        <f t="shared" si="58"/>
        <v/>
      </c>
      <c r="L95" s="27"/>
      <c r="M95" s="28" t="str">
        <f t="shared" si="59"/>
        <v/>
      </c>
      <c r="N95" s="27">
        <v>24072</v>
      </c>
      <c r="O95" s="28">
        <f t="shared" si="50"/>
        <v>224</v>
      </c>
      <c r="P95" s="27">
        <v>7271</v>
      </c>
      <c r="Q95" s="28">
        <f t="shared" si="51"/>
        <v>122</v>
      </c>
      <c r="R95" s="27"/>
      <c r="S95" s="28" t="str">
        <f t="shared" si="52"/>
        <v/>
      </c>
      <c r="T95" s="29">
        <v>42288</v>
      </c>
      <c r="U95" s="28">
        <f t="shared" si="53"/>
        <v>779</v>
      </c>
      <c r="V95" s="27">
        <v>8220</v>
      </c>
      <c r="W95" s="28">
        <f t="shared" si="54"/>
        <v>117</v>
      </c>
      <c r="X95" s="27"/>
      <c r="Y95" s="28"/>
      <c r="Z95" s="27"/>
      <c r="AA95" s="28"/>
      <c r="AB95" s="27">
        <v>4258</v>
      </c>
      <c r="AC95" s="28">
        <f t="shared" si="55"/>
        <v>123</v>
      </c>
      <c r="AD95" s="27">
        <v>4073</v>
      </c>
      <c r="AE95" s="28">
        <f t="shared" si="60"/>
        <v>133</v>
      </c>
      <c r="AF95" s="27"/>
      <c r="AG95" s="28" t="str">
        <f t="shared" si="61"/>
        <v/>
      </c>
      <c r="AH95" s="27"/>
      <c r="AI95" s="28" t="str">
        <f t="shared" si="62"/>
        <v/>
      </c>
      <c r="AJ95" s="27"/>
      <c r="AK95" s="28" t="str">
        <f t="shared" si="63"/>
        <v/>
      </c>
      <c r="AL95" s="27"/>
      <c r="AM95" s="28" t="str">
        <f t="shared" si="64"/>
        <v/>
      </c>
      <c r="AN95" s="24">
        <f t="shared" si="65"/>
        <v>346</v>
      </c>
      <c r="AO95" s="24">
        <f t="shared" si="66"/>
        <v>250</v>
      </c>
      <c r="AP95" s="24">
        <f t="shared" si="67"/>
        <v>719</v>
      </c>
      <c r="AQ95" s="25">
        <f t="shared" si="68"/>
        <v>1585</v>
      </c>
      <c r="AR95" s="25">
        <f t="shared" si="69"/>
        <v>529</v>
      </c>
      <c r="AS95" s="25">
        <f t="shared" si="70"/>
        <v>1991</v>
      </c>
    </row>
    <row r="96" spans="2:45" hidden="1" x14ac:dyDescent="0.3">
      <c r="B96" s="9" t="s">
        <v>69</v>
      </c>
      <c r="C96" s="33">
        <v>45926</v>
      </c>
      <c r="D96" s="27">
        <v>73156</v>
      </c>
      <c r="E96" s="28">
        <f t="shared" si="49"/>
        <v>2084</v>
      </c>
      <c r="F96" s="27"/>
      <c r="G96" s="28" t="str">
        <f t="shared" si="56"/>
        <v/>
      </c>
      <c r="H96" s="27"/>
      <c r="I96" s="28" t="str">
        <f t="shared" si="57"/>
        <v/>
      </c>
      <c r="J96" s="27"/>
      <c r="K96" s="28" t="str">
        <f t="shared" si="58"/>
        <v/>
      </c>
      <c r="L96" s="27"/>
      <c r="M96" s="28" t="str">
        <f t="shared" si="59"/>
        <v/>
      </c>
      <c r="N96" s="27">
        <v>24296</v>
      </c>
      <c r="O96" s="28">
        <f t="shared" si="50"/>
        <v>258</v>
      </c>
      <c r="P96" s="27">
        <v>7393</v>
      </c>
      <c r="Q96" s="28">
        <f t="shared" si="51"/>
        <v>164</v>
      </c>
      <c r="R96" s="27"/>
      <c r="S96" s="28" t="str">
        <f t="shared" si="52"/>
        <v/>
      </c>
      <c r="T96" s="29">
        <v>43067</v>
      </c>
      <c r="U96" s="28">
        <f t="shared" si="53"/>
        <v>896</v>
      </c>
      <c r="V96" s="27">
        <v>8337</v>
      </c>
      <c r="W96" s="28">
        <f t="shared" si="54"/>
        <v>131</v>
      </c>
      <c r="X96" s="27"/>
      <c r="Y96" s="28"/>
      <c r="Z96" s="27"/>
      <c r="AA96" s="28"/>
      <c r="AB96" s="27">
        <v>4381</v>
      </c>
      <c r="AC96" s="28">
        <f t="shared" si="55"/>
        <v>118</v>
      </c>
      <c r="AD96" s="27">
        <v>4206</v>
      </c>
      <c r="AE96" s="28">
        <f t="shared" si="60"/>
        <v>131</v>
      </c>
      <c r="AF96" s="27"/>
      <c r="AG96" s="28" t="str">
        <f t="shared" si="61"/>
        <v/>
      </c>
      <c r="AH96" s="27"/>
      <c r="AI96" s="28" t="str">
        <f t="shared" si="62"/>
        <v/>
      </c>
      <c r="AJ96" s="27"/>
      <c r="AK96" s="28" t="str">
        <f t="shared" si="63"/>
        <v/>
      </c>
      <c r="AL96" s="27"/>
      <c r="AM96" s="28" t="str">
        <f t="shared" si="64"/>
        <v/>
      </c>
      <c r="AN96" s="24">
        <f t="shared" si="65"/>
        <v>422</v>
      </c>
      <c r="AO96" s="24">
        <f t="shared" si="66"/>
        <v>262</v>
      </c>
      <c r="AP96" s="24">
        <f t="shared" si="67"/>
        <v>802</v>
      </c>
      <c r="AQ96" s="25">
        <f t="shared" si="68"/>
        <v>1662</v>
      </c>
      <c r="AR96" s="25">
        <f t="shared" si="69"/>
        <v>634</v>
      </c>
      <c r="AS96" s="25">
        <f t="shared" si="70"/>
        <v>2178</v>
      </c>
    </row>
    <row r="97" spans="2:45" hidden="1" x14ac:dyDescent="0.3">
      <c r="B97" s="9" t="s">
        <v>70</v>
      </c>
      <c r="C97" s="33">
        <v>45927</v>
      </c>
      <c r="D97" s="27">
        <v>75240</v>
      </c>
      <c r="E97" s="28">
        <f t="shared" si="49"/>
        <v>2554</v>
      </c>
      <c r="F97" s="27"/>
      <c r="G97" s="28" t="str">
        <f t="shared" si="56"/>
        <v/>
      </c>
      <c r="H97" s="27"/>
      <c r="I97" s="28" t="str">
        <f t="shared" si="57"/>
        <v/>
      </c>
      <c r="J97" s="27"/>
      <c r="K97" s="28" t="str">
        <f t="shared" si="58"/>
        <v/>
      </c>
      <c r="L97" s="27"/>
      <c r="M97" s="28" t="str">
        <f t="shared" si="59"/>
        <v/>
      </c>
      <c r="N97" s="27">
        <v>24554</v>
      </c>
      <c r="O97" s="28">
        <f t="shared" si="50"/>
        <v>276</v>
      </c>
      <c r="P97" s="27">
        <v>7557</v>
      </c>
      <c r="Q97" s="28">
        <f t="shared" si="51"/>
        <v>169</v>
      </c>
      <c r="R97" s="27"/>
      <c r="S97" s="28" t="str">
        <f t="shared" si="52"/>
        <v/>
      </c>
      <c r="T97" s="29">
        <v>43963</v>
      </c>
      <c r="U97" s="28">
        <f t="shared" si="53"/>
        <v>909</v>
      </c>
      <c r="V97" s="27">
        <v>8468</v>
      </c>
      <c r="W97" s="28">
        <f t="shared" si="54"/>
        <v>131</v>
      </c>
      <c r="X97" s="27"/>
      <c r="Y97" s="28"/>
      <c r="Z97" s="27"/>
      <c r="AA97" s="28"/>
      <c r="AB97" s="27">
        <v>4499</v>
      </c>
      <c r="AC97" s="28">
        <f t="shared" si="55"/>
        <v>109</v>
      </c>
      <c r="AD97" s="27">
        <v>4337</v>
      </c>
      <c r="AE97" s="28">
        <f t="shared" si="60"/>
        <v>126</v>
      </c>
      <c r="AF97" s="27"/>
      <c r="AG97" s="28" t="str">
        <f t="shared" si="61"/>
        <v/>
      </c>
      <c r="AH97" s="27"/>
      <c r="AI97" s="28" t="str">
        <f t="shared" si="62"/>
        <v/>
      </c>
      <c r="AJ97" s="27"/>
      <c r="AK97" s="28" t="str">
        <f t="shared" si="63"/>
        <v/>
      </c>
      <c r="AL97" s="27"/>
      <c r="AM97" s="28" t="str">
        <f t="shared" si="64"/>
        <v/>
      </c>
      <c r="AN97" s="24">
        <f t="shared" si="65"/>
        <v>445</v>
      </c>
      <c r="AO97" s="24">
        <f t="shared" si="66"/>
        <v>257</v>
      </c>
      <c r="AP97" s="24">
        <f t="shared" si="67"/>
        <v>811</v>
      </c>
      <c r="AQ97" s="25">
        <f t="shared" si="68"/>
        <v>2109</v>
      </c>
      <c r="AR97" s="25">
        <f t="shared" si="69"/>
        <v>652</v>
      </c>
      <c r="AS97" s="25">
        <f t="shared" si="70"/>
        <v>2652</v>
      </c>
    </row>
    <row r="98" spans="2:45" hidden="1" x14ac:dyDescent="0.3">
      <c r="B98" s="9" t="s">
        <v>71</v>
      </c>
      <c r="C98" s="33">
        <v>45928</v>
      </c>
      <c r="D98" s="27">
        <v>77794</v>
      </c>
      <c r="E98" s="28">
        <f t="shared" si="49"/>
        <v>31</v>
      </c>
      <c r="F98" s="27"/>
      <c r="G98" s="28" t="str">
        <f t="shared" si="56"/>
        <v/>
      </c>
      <c r="H98" s="27"/>
      <c r="I98" s="28" t="str">
        <f t="shared" si="57"/>
        <v/>
      </c>
      <c r="J98" s="27"/>
      <c r="K98" s="28" t="str">
        <f t="shared" si="58"/>
        <v/>
      </c>
      <c r="L98" s="27"/>
      <c r="M98" s="28" t="str">
        <f t="shared" si="59"/>
        <v/>
      </c>
      <c r="N98" s="27">
        <v>24830</v>
      </c>
      <c r="O98" s="28">
        <f t="shared" si="50"/>
        <v>0</v>
      </c>
      <c r="P98" s="27">
        <v>7726</v>
      </c>
      <c r="Q98" s="28">
        <f t="shared" si="51"/>
        <v>7</v>
      </c>
      <c r="R98" s="27"/>
      <c r="S98" s="28" t="str">
        <f t="shared" si="52"/>
        <v/>
      </c>
      <c r="T98" s="29">
        <v>44872</v>
      </c>
      <c r="U98" s="28">
        <f t="shared" si="53"/>
        <v>149</v>
      </c>
      <c r="V98" s="27">
        <v>8599</v>
      </c>
      <c r="W98" s="28">
        <f t="shared" si="54"/>
        <v>1</v>
      </c>
      <c r="X98" s="27"/>
      <c r="Y98" s="28"/>
      <c r="Z98" s="27"/>
      <c r="AA98" s="28"/>
      <c r="AB98" s="27">
        <v>4608</v>
      </c>
      <c r="AC98" s="28">
        <f t="shared" si="55"/>
        <v>5</v>
      </c>
      <c r="AD98" s="27">
        <v>4463</v>
      </c>
      <c r="AE98" s="28">
        <f t="shared" si="60"/>
        <v>4</v>
      </c>
      <c r="AF98" s="27"/>
      <c r="AG98" s="28" t="str">
        <f t="shared" si="61"/>
        <v/>
      </c>
      <c r="AH98" s="27"/>
      <c r="AI98" s="28" t="str">
        <f t="shared" si="62"/>
        <v/>
      </c>
      <c r="AJ98" s="27"/>
      <c r="AK98" s="28" t="str">
        <f t="shared" si="63"/>
        <v/>
      </c>
      <c r="AL98" s="27"/>
      <c r="AM98" s="28" t="str">
        <f t="shared" si="64"/>
        <v/>
      </c>
      <c r="AN98" s="24">
        <f t="shared" si="65"/>
        <v>7</v>
      </c>
      <c r="AO98" s="24">
        <f t="shared" si="66"/>
        <v>5</v>
      </c>
      <c r="AP98" s="24">
        <f t="shared" si="67"/>
        <v>17</v>
      </c>
      <c r="AQ98" s="25">
        <f t="shared" si="68"/>
        <v>24</v>
      </c>
      <c r="AR98" s="25">
        <f t="shared" si="69"/>
        <v>144</v>
      </c>
      <c r="AS98" s="25">
        <f t="shared" si="70"/>
        <v>163</v>
      </c>
    </row>
    <row r="99" spans="2:45" hidden="1" x14ac:dyDescent="0.3">
      <c r="B99" s="9" t="s">
        <v>72</v>
      </c>
      <c r="C99" s="33">
        <v>45929</v>
      </c>
      <c r="D99" s="27">
        <v>77825</v>
      </c>
      <c r="E99" s="28">
        <f t="shared" si="49"/>
        <v>2432</v>
      </c>
      <c r="F99" s="27"/>
      <c r="G99" s="28" t="str">
        <f t="shared" si="56"/>
        <v/>
      </c>
      <c r="H99" s="27"/>
      <c r="I99" s="28" t="str">
        <f t="shared" si="57"/>
        <v/>
      </c>
      <c r="J99" s="27"/>
      <c r="K99" s="28" t="str">
        <f t="shared" si="58"/>
        <v/>
      </c>
      <c r="L99" s="27"/>
      <c r="M99" s="28" t="str">
        <f t="shared" si="59"/>
        <v/>
      </c>
      <c r="N99" s="27">
        <v>24830</v>
      </c>
      <c r="O99" s="28">
        <f t="shared" si="50"/>
        <v>260</v>
      </c>
      <c r="P99" s="27">
        <v>7733</v>
      </c>
      <c r="Q99" s="28">
        <f t="shared" si="51"/>
        <v>173</v>
      </c>
      <c r="R99" s="27"/>
      <c r="S99" s="28" t="str">
        <f t="shared" si="52"/>
        <v/>
      </c>
      <c r="T99" s="29">
        <v>45021</v>
      </c>
      <c r="U99" s="28">
        <f t="shared" si="53"/>
        <v>833</v>
      </c>
      <c r="V99" s="27">
        <v>8600</v>
      </c>
      <c r="W99" s="28">
        <f t="shared" si="54"/>
        <v>131</v>
      </c>
      <c r="X99" s="27"/>
      <c r="Y99" s="28"/>
      <c r="Z99" s="27"/>
      <c r="AA99" s="28"/>
      <c r="AB99" s="27">
        <v>4613</v>
      </c>
      <c r="AC99" s="28">
        <f t="shared" si="55"/>
        <v>110</v>
      </c>
      <c r="AD99" s="27">
        <v>4467</v>
      </c>
      <c r="AE99" s="28">
        <f t="shared" si="60"/>
        <v>98</v>
      </c>
      <c r="AF99" s="27"/>
      <c r="AG99" s="28" t="str">
        <f t="shared" si="61"/>
        <v/>
      </c>
      <c r="AH99" s="27"/>
      <c r="AI99" s="28" t="str">
        <f t="shared" si="62"/>
        <v/>
      </c>
      <c r="AJ99" s="27"/>
      <c r="AK99" s="28" t="str">
        <f t="shared" si="63"/>
        <v/>
      </c>
      <c r="AL99" s="27"/>
      <c r="AM99" s="28" t="str">
        <f t="shared" si="64"/>
        <v/>
      </c>
      <c r="AN99" s="24">
        <f t="shared" si="65"/>
        <v>433</v>
      </c>
      <c r="AO99" s="24">
        <f t="shared" si="66"/>
        <v>229</v>
      </c>
      <c r="AP99" s="24">
        <f t="shared" si="67"/>
        <v>772</v>
      </c>
      <c r="AQ99" s="25">
        <f t="shared" si="68"/>
        <v>1999</v>
      </c>
      <c r="AR99" s="25">
        <f t="shared" si="69"/>
        <v>604</v>
      </c>
      <c r="AS99" s="25">
        <f t="shared" si="70"/>
        <v>2493</v>
      </c>
    </row>
    <row r="100" spans="2:45" hidden="1" x14ac:dyDescent="0.3">
      <c r="B100" s="9" t="s">
        <v>66</v>
      </c>
      <c r="C100" s="33">
        <v>45930</v>
      </c>
      <c r="D100" s="27">
        <v>80257</v>
      </c>
      <c r="E100" s="28">
        <f t="shared" si="49"/>
        <v>1916</v>
      </c>
      <c r="F100" s="27"/>
      <c r="G100" s="28" t="str">
        <f t="shared" si="56"/>
        <v/>
      </c>
      <c r="H100" s="27"/>
      <c r="I100" s="28" t="str">
        <f t="shared" si="57"/>
        <v/>
      </c>
      <c r="J100" s="27"/>
      <c r="K100" s="28" t="str">
        <f t="shared" si="58"/>
        <v/>
      </c>
      <c r="L100" s="27"/>
      <c r="M100" s="28" t="str">
        <f t="shared" si="59"/>
        <v/>
      </c>
      <c r="N100" s="27">
        <v>25090</v>
      </c>
      <c r="O100" s="28">
        <f t="shared" si="50"/>
        <v>223</v>
      </c>
      <c r="P100" s="27">
        <v>7906</v>
      </c>
      <c r="Q100" s="28">
        <f t="shared" si="51"/>
        <v>138</v>
      </c>
      <c r="R100" s="27"/>
      <c r="S100" s="28" t="str">
        <f t="shared" si="52"/>
        <v/>
      </c>
      <c r="T100" s="29">
        <v>45854</v>
      </c>
      <c r="U100" s="28">
        <f t="shared" si="53"/>
        <v>774</v>
      </c>
      <c r="V100" s="27">
        <v>8731</v>
      </c>
      <c r="W100" s="28">
        <f t="shared" si="54"/>
        <v>109</v>
      </c>
      <c r="X100" s="27"/>
      <c r="Y100" s="28"/>
      <c r="Z100" s="27"/>
      <c r="AA100" s="28"/>
      <c r="AB100" s="27">
        <v>4723</v>
      </c>
      <c r="AC100" s="28">
        <f t="shared" si="55"/>
        <v>101</v>
      </c>
      <c r="AD100" s="27">
        <v>4565</v>
      </c>
      <c r="AE100" s="28">
        <f t="shared" si="60"/>
        <v>98</v>
      </c>
      <c r="AF100" s="27"/>
      <c r="AG100" s="28" t="str">
        <f t="shared" si="61"/>
        <v/>
      </c>
      <c r="AH100" s="27"/>
      <c r="AI100" s="28" t="str">
        <f t="shared" si="62"/>
        <v/>
      </c>
      <c r="AJ100" s="27"/>
      <c r="AK100" s="28" t="str">
        <f t="shared" si="63"/>
        <v/>
      </c>
      <c r="AL100" s="27"/>
      <c r="AM100" s="28" t="str">
        <f t="shared" si="64"/>
        <v/>
      </c>
      <c r="AN100" s="24">
        <f t="shared" si="65"/>
        <v>361</v>
      </c>
      <c r="AO100" s="24">
        <f t="shared" si="66"/>
        <v>207</v>
      </c>
      <c r="AP100" s="24">
        <f t="shared" si="67"/>
        <v>669</v>
      </c>
      <c r="AQ100" s="25">
        <f t="shared" si="68"/>
        <v>1555</v>
      </c>
      <c r="AR100" s="25">
        <f t="shared" si="69"/>
        <v>567</v>
      </c>
      <c r="AS100" s="25">
        <f t="shared" si="70"/>
        <v>2021</v>
      </c>
    </row>
    <row r="101" spans="2:45" hidden="1" x14ac:dyDescent="0.3">
      <c r="B101" s="9" t="s">
        <v>67</v>
      </c>
      <c r="C101" s="33">
        <v>45931</v>
      </c>
      <c r="D101" s="27">
        <v>82173</v>
      </c>
      <c r="E101" s="28" t="str">
        <f t="shared" si="49"/>
        <v/>
      </c>
      <c r="F101" s="27"/>
      <c r="G101" s="28" t="str">
        <f t="shared" si="56"/>
        <v/>
      </c>
      <c r="H101" s="27"/>
      <c r="I101" s="28" t="str">
        <f t="shared" si="57"/>
        <v/>
      </c>
      <c r="J101" s="27"/>
      <c r="K101" s="28" t="str">
        <f t="shared" si="58"/>
        <v/>
      </c>
      <c r="L101" s="27"/>
      <c r="M101" s="28" t="str">
        <f t="shared" si="59"/>
        <v/>
      </c>
      <c r="N101" s="27">
        <v>25313</v>
      </c>
      <c r="O101" s="28" t="str">
        <f t="shared" si="50"/>
        <v/>
      </c>
      <c r="P101" s="27">
        <v>8044</v>
      </c>
      <c r="Q101" s="28" t="str">
        <f t="shared" si="51"/>
        <v/>
      </c>
      <c r="R101" s="27"/>
      <c r="S101" s="28" t="str">
        <f t="shared" si="52"/>
        <v/>
      </c>
      <c r="T101" s="29">
        <v>46628</v>
      </c>
      <c r="U101" s="28" t="str">
        <f t="shared" si="53"/>
        <v/>
      </c>
      <c r="V101" s="27">
        <v>8840</v>
      </c>
      <c r="W101" s="28" t="str">
        <f t="shared" si="54"/>
        <v/>
      </c>
      <c r="X101" s="27"/>
      <c r="Y101" s="28"/>
      <c r="Z101" s="27"/>
      <c r="AA101" s="28"/>
      <c r="AB101" s="27">
        <v>4824</v>
      </c>
      <c r="AC101" s="28" t="str">
        <f t="shared" si="55"/>
        <v/>
      </c>
      <c r="AD101" s="27">
        <v>4663</v>
      </c>
      <c r="AE101" s="28" t="e">
        <f>IF(#REF!&lt;&gt;"",#REF!-AD101,"")</f>
        <v>#REF!</v>
      </c>
      <c r="AF101" s="27"/>
      <c r="AG101" s="28" t="e">
        <f>IF(#REF!&lt;&gt;"",#REF!-AF101,"")</f>
        <v>#REF!</v>
      </c>
      <c r="AH101" s="27"/>
      <c r="AI101" s="28" t="e">
        <f>IF(#REF!&lt;&gt;"",#REF!-AH101,"")</f>
        <v>#REF!</v>
      </c>
      <c r="AJ101" s="27"/>
      <c r="AK101" s="28" t="e">
        <f>IF(#REF!&lt;&gt;"",#REF!-AJ101,"")</f>
        <v>#REF!</v>
      </c>
      <c r="AL101" s="27"/>
      <c r="AM101" s="28" t="e">
        <f>IF(#REF!&lt;&gt;"",#REF!-AL101,"")</f>
        <v>#REF!</v>
      </c>
      <c r="AN101" s="24">
        <f t="shared" si="65"/>
        <v>0</v>
      </c>
      <c r="AO101" s="24" t="e">
        <f t="shared" si="66"/>
        <v>#REF!</v>
      </c>
      <c r="AP101" s="24" t="e">
        <f t="shared" si="67"/>
        <v>#REF!</v>
      </c>
      <c r="AQ101" s="25" t="e">
        <f t="shared" si="68"/>
        <v>#VALUE!</v>
      </c>
      <c r="AR101" s="25" t="e">
        <f t="shared" si="69"/>
        <v>#VALUE!</v>
      </c>
      <c r="AS101" s="25" t="e">
        <f t="shared" si="70"/>
        <v>#VALUE!</v>
      </c>
    </row>
    <row r="102" spans="2:45" s="26" customFormat="1" ht="23.4" hidden="1" x14ac:dyDescent="0.3">
      <c r="B102" s="190" t="s">
        <v>73</v>
      </c>
      <c r="C102" s="191"/>
      <c r="D102" s="21"/>
      <c r="E102" s="22">
        <f>SUM(E71:E100)</f>
        <v>40712</v>
      </c>
      <c r="F102" s="21"/>
      <c r="G102" s="22">
        <f>SUM(G71:G100)</f>
        <v>0</v>
      </c>
      <c r="H102" s="21"/>
      <c r="I102" s="22">
        <f>SUM(I71:I100)</f>
        <v>0</v>
      </c>
      <c r="J102" s="21"/>
      <c r="K102" s="22">
        <f>SUM(K71:K100)</f>
        <v>0</v>
      </c>
      <c r="L102" s="21"/>
      <c r="M102" s="22">
        <f>SUM(M71:M100)</f>
        <v>0</v>
      </c>
      <c r="N102" s="21"/>
      <c r="O102" s="22">
        <f>SUM(O71:O100)</f>
        <v>6093</v>
      </c>
      <c r="P102" s="21"/>
      <c r="Q102" s="22">
        <f>SUM(Q71:Q100)</f>
        <v>3444</v>
      </c>
      <c r="R102" s="21"/>
      <c r="S102" s="22">
        <f>SUM(S71:S100)</f>
        <v>0</v>
      </c>
      <c r="T102" s="23"/>
      <c r="U102" s="22">
        <f>SUM(U71:U100)</f>
        <v>16140</v>
      </c>
      <c r="V102" s="21"/>
      <c r="W102" s="22">
        <f>SUM(W71:W100)</f>
        <v>2876</v>
      </c>
      <c r="X102" s="21"/>
      <c r="Y102" s="22">
        <f>SUM(Y71:Y100)</f>
        <v>0</v>
      </c>
      <c r="Z102" s="21"/>
      <c r="AA102" s="22">
        <f>SUM(AA71:AA100)</f>
        <v>0</v>
      </c>
      <c r="AB102" s="21"/>
      <c r="AC102" s="22">
        <f>SUM(AC71:AC100)</f>
        <v>2265</v>
      </c>
      <c r="AD102" s="21"/>
      <c r="AE102" s="22">
        <f>SUM(AE71:AE100)</f>
        <v>2327</v>
      </c>
      <c r="AF102" s="21"/>
      <c r="AG102" s="22">
        <f>SUM(AG70:AG100)</f>
        <v>0</v>
      </c>
      <c r="AH102" s="21"/>
      <c r="AI102" s="22">
        <f>SUM(AI70:AI100)</f>
        <v>0</v>
      </c>
      <c r="AJ102" s="21"/>
      <c r="AK102" s="22">
        <f>SUM(AK70:AK100)</f>
        <v>0</v>
      </c>
      <c r="AL102" s="21"/>
      <c r="AM102" s="22">
        <f>SUM(AM70:AM100)</f>
        <v>0</v>
      </c>
      <c r="AN102" s="24">
        <f>SUM(G102,I102,K102,M102,O102,Q102,S102)</f>
        <v>9537</v>
      </c>
      <c r="AO102" s="24">
        <f>SUM(W102,Y102,AA102,AE102,AG102,AK102,AM102,AC102,AI102)</f>
        <v>7468</v>
      </c>
      <c r="AP102" s="24">
        <f>SUM(G102,I102,K102,M102,O102,Q102,S102,W102,Y102,AA102,AC102,AE102,AG102,AI102,AK102,AM102)</f>
        <v>17005</v>
      </c>
      <c r="AQ102" s="25">
        <f>E102-AN102</f>
        <v>31175</v>
      </c>
      <c r="AR102" s="25">
        <f>U102-AO102</f>
        <v>8672</v>
      </c>
      <c r="AS102" s="25">
        <f>(E102+U102)-AP102</f>
        <v>39847</v>
      </c>
    </row>
    <row r="103" spans="2:45" x14ac:dyDescent="0.3">
      <c r="B103" s="9" t="s">
        <v>67</v>
      </c>
      <c r="C103" s="33">
        <v>45931</v>
      </c>
      <c r="D103" s="27">
        <v>82173</v>
      </c>
      <c r="E103" s="28">
        <f t="shared" ref="E103:E134" si="71">IF(D104&lt;&gt;"",D104-D103,"")</f>
        <v>2031</v>
      </c>
      <c r="F103" s="27"/>
      <c r="G103" s="28" t="str">
        <f t="shared" ref="G103:G134" si="72">IF(F104&lt;&gt;"",F104-F103,"")</f>
        <v/>
      </c>
      <c r="H103" s="27"/>
      <c r="I103" s="28" t="str">
        <f t="shared" ref="I103:I134" si="73">IF(H104&lt;&gt;"",H104-H103,"")</f>
        <v/>
      </c>
      <c r="J103" s="27"/>
      <c r="K103" s="28" t="str">
        <f t="shared" ref="K103:K134" si="74">IF(J104&lt;&gt;"",J104-J103,"")</f>
        <v/>
      </c>
      <c r="L103" s="27"/>
      <c r="M103" s="28" t="str">
        <f t="shared" ref="M103:M134" si="75">IF(L104&lt;&gt;"",L104-L103,"")</f>
        <v/>
      </c>
      <c r="N103" s="27">
        <v>25313</v>
      </c>
      <c r="O103" s="28">
        <f t="shared" ref="O103:O134" si="76">IF(N104&lt;&gt;"",N104-N103,"")</f>
        <v>243</v>
      </c>
      <c r="P103" s="27">
        <v>8044</v>
      </c>
      <c r="Q103" s="28">
        <f t="shared" ref="Q103:Q134" si="77">IF(P104&lt;&gt;"",P104-P103,"")</f>
        <v>135</v>
      </c>
      <c r="R103" s="27"/>
      <c r="S103" s="28" t="str">
        <f t="shared" ref="S103:S134" si="78">IF(R104&lt;&gt;"",R104-R103,"")</f>
        <v/>
      </c>
      <c r="T103" s="29">
        <v>46628</v>
      </c>
      <c r="U103" s="28">
        <f t="shared" ref="U103:U134" si="79">IF(T104&lt;&gt;"",T104-T103,"")</f>
        <v>783</v>
      </c>
      <c r="V103" s="27">
        <v>8840</v>
      </c>
      <c r="W103" s="28">
        <f t="shared" ref="W103:W134" si="80">IF(V104&lt;&gt;"",V104-V103,"")</f>
        <v>113</v>
      </c>
      <c r="X103" s="27"/>
      <c r="Y103" s="28"/>
      <c r="Z103" s="27"/>
      <c r="AA103" s="28"/>
      <c r="AB103" s="27">
        <v>4824</v>
      </c>
      <c r="AC103" s="28">
        <f t="shared" ref="AC103:AC134" si="81">IF(AB104&lt;&gt;"",AB104-AB103,"")</f>
        <v>111</v>
      </c>
      <c r="AD103" s="27">
        <v>4663</v>
      </c>
      <c r="AE103" s="28">
        <f t="shared" ref="AE103:AE134" si="82">IF(AD104&lt;&gt;"",AD104-AD103,"")</f>
        <v>115</v>
      </c>
      <c r="AF103" s="27"/>
      <c r="AG103" s="28"/>
      <c r="AH103" s="27"/>
      <c r="AI103" s="28"/>
      <c r="AJ103" s="27"/>
      <c r="AK103" s="28"/>
      <c r="AL103" s="27"/>
      <c r="AM103" s="28"/>
      <c r="AN103" s="24">
        <f t="shared" ref="AN103:AN132" si="83">SUM(G103,I103,K103,M103,O103,Q103,S103)</f>
        <v>378</v>
      </c>
      <c r="AO103" s="24">
        <f>SUM(W103,Y103,AA103,AE103,AG103,AK103,AM103)</f>
        <v>228</v>
      </c>
      <c r="AP103" s="24">
        <f t="shared" ref="AP103:AP132" si="84">SUM(G103,I103,K103,M103,O103,Q103,S103,W103,Y103,AA103,AC103,AE103,AG103,AI103,AK103,AM103)</f>
        <v>717</v>
      </c>
      <c r="AQ103" s="25">
        <f t="shared" ref="AQ103:AQ132" si="85">E103-AN103</f>
        <v>1653</v>
      </c>
      <c r="AR103" s="25">
        <f t="shared" ref="AR103:AR132" si="86">U103-AO103</f>
        <v>555</v>
      </c>
      <c r="AS103" s="25">
        <f t="shared" ref="AS103:AS132" si="87">(E103+U103)-AP103</f>
        <v>2097</v>
      </c>
    </row>
    <row r="104" spans="2:45" x14ac:dyDescent="0.3">
      <c r="B104" s="9" t="s">
        <v>68</v>
      </c>
      <c r="C104" s="33">
        <v>45932</v>
      </c>
      <c r="D104" s="27">
        <v>84204</v>
      </c>
      <c r="E104" s="28">
        <f t="shared" si="71"/>
        <v>2141</v>
      </c>
      <c r="F104" s="27"/>
      <c r="G104" s="28" t="str">
        <f t="shared" si="72"/>
        <v/>
      </c>
      <c r="H104" s="27"/>
      <c r="I104" s="28" t="str">
        <f t="shared" si="73"/>
        <v/>
      </c>
      <c r="J104" s="27"/>
      <c r="K104" s="28" t="str">
        <f t="shared" si="74"/>
        <v/>
      </c>
      <c r="L104" s="27"/>
      <c r="M104" s="28" t="str">
        <f t="shared" si="75"/>
        <v/>
      </c>
      <c r="N104" s="27">
        <v>25556</v>
      </c>
      <c r="O104" s="28">
        <f t="shared" si="76"/>
        <v>211</v>
      </c>
      <c r="P104" s="27">
        <v>8179</v>
      </c>
      <c r="Q104" s="28">
        <f t="shared" si="77"/>
        <v>137</v>
      </c>
      <c r="R104" s="27"/>
      <c r="S104" s="28" t="str">
        <f t="shared" si="78"/>
        <v/>
      </c>
      <c r="T104" s="29">
        <v>47411</v>
      </c>
      <c r="U104" s="28">
        <f t="shared" si="79"/>
        <v>879</v>
      </c>
      <c r="V104" s="27">
        <v>8953</v>
      </c>
      <c r="W104" s="28">
        <f t="shared" si="80"/>
        <v>120</v>
      </c>
      <c r="X104" s="27"/>
      <c r="Y104" s="28"/>
      <c r="Z104" s="27"/>
      <c r="AA104" s="28"/>
      <c r="AB104" s="27">
        <v>4935</v>
      </c>
      <c r="AC104" s="28">
        <f t="shared" si="81"/>
        <v>136</v>
      </c>
      <c r="AD104" s="27">
        <v>4778</v>
      </c>
      <c r="AE104" s="28">
        <f t="shared" si="82"/>
        <v>141</v>
      </c>
      <c r="AF104" s="27"/>
      <c r="AG104" s="28" t="str">
        <f t="shared" ref="AG104:AG134" si="88">IF(AF105&lt;&gt;"",AF105-AF104,"")</f>
        <v/>
      </c>
      <c r="AH104" s="27"/>
      <c r="AI104" s="28" t="str">
        <f t="shared" ref="AI104:AI134" si="89">IF(AH105&lt;&gt;"",AH105-AH104,"")</f>
        <v/>
      </c>
      <c r="AJ104" s="27"/>
      <c r="AK104" s="28" t="str">
        <f t="shared" ref="AK104:AK134" si="90">IF(AJ105&lt;&gt;"",AJ105-AJ104,"")</f>
        <v/>
      </c>
      <c r="AL104" s="27"/>
      <c r="AM104" s="28" t="str">
        <f t="shared" ref="AM104:AM134" si="91">IF(AL105&lt;&gt;"",AL105-AL104,"")</f>
        <v/>
      </c>
      <c r="AN104" s="24">
        <f t="shared" si="83"/>
        <v>348</v>
      </c>
      <c r="AO104" s="24">
        <f>SUM(W104,Y104,AA104,AE104,AG104,AK104,AM104)</f>
        <v>261</v>
      </c>
      <c r="AP104" s="24">
        <f t="shared" si="84"/>
        <v>745</v>
      </c>
      <c r="AQ104" s="25">
        <f t="shared" si="85"/>
        <v>1793</v>
      </c>
      <c r="AR104" s="25">
        <f t="shared" si="86"/>
        <v>618</v>
      </c>
      <c r="AS104" s="25">
        <f t="shared" si="87"/>
        <v>2275</v>
      </c>
    </row>
    <row r="105" spans="2:45" x14ac:dyDescent="0.3">
      <c r="B105" s="9" t="s">
        <v>69</v>
      </c>
      <c r="C105" s="33">
        <v>45933</v>
      </c>
      <c r="D105" s="27">
        <v>86345</v>
      </c>
      <c r="E105" s="28">
        <f t="shared" si="71"/>
        <v>2427</v>
      </c>
      <c r="F105" s="27"/>
      <c r="G105" s="28" t="str">
        <f t="shared" si="72"/>
        <v/>
      </c>
      <c r="H105" s="27"/>
      <c r="I105" s="28" t="str">
        <f t="shared" si="73"/>
        <v/>
      </c>
      <c r="J105" s="27"/>
      <c r="K105" s="28" t="str">
        <f t="shared" si="74"/>
        <v/>
      </c>
      <c r="L105" s="27"/>
      <c r="M105" s="28" t="str">
        <f t="shared" si="75"/>
        <v/>
      </c>
      <c r="N105" s="27">
        <v>25767</v>
      </c>
      <c r="O105" s="28">
        <f t="shared" si="76"/>
        <v>241</v>
      </c>
      <c r="P105" s="27">
        <v>8316</v>
      </c>
      <c r="Q105" s="28">
        <f t="shared" si="77"/>
        <v>150</v>
      </c>
      <c r="R105" s="27"/>
      <c r="S105" s="28" t="str">
        <f t="shared" si="78"/>
        <v/>
      </c>
      <c r="T105" s="29">
        <v>48290</v>
      </c>
      <c r="U105" s="28">
        <f t="shared" si="79"/>
        <v>768</v>
      </c>
      <c r="V105" s="27">
        <v>9073</v>
      </c>
      <c r="W105" s="28">
        <f t="shared" si="80"/>
        <v>118</v>
      </c>
      <c r="X105" s="27"/>
      <c r="Y105" s="28"/>
      <c r="Z105" s="27"/>
      <c r="AA105" s="28"/>
      <c r="AB105" s="27">
        <v>5071</v>
      </c>
      <c r="AC105" s="28">
        <f t="shared" si="81"/>
        <v>116</v>
      </c>
      <c r="AD105" s="27">
        <v>4919</v>
      </c>
      <c r="AE105" s="28">
        <f t="shared" si="82"/>
        <v>130</v>
      </c>
      <c r="AF105" s="27"/>
      <c r="AG105" s="28" t="str">
        <f t="shared" si="88"/>
        <v/>
      </c>
      <c r="AH105" s="27"/>
      <c r="AI105" s="28" t="str">
        <f t="shared" si="89"/>
        <v/>
      </c>
      <c r="AJ105" s="27"/>
      <c r="AK105" s="28" t="str">
        <f t="shared" si="90"/>
        <v/>
      </c>
      <c r="AL105" s="27"/>
      <c r="AM105" s="28" t="str">
        <f t="shared" si="91"/>
        <v/>
      </c>
      <c r="AN105" s="24">
        <f t="shared" si="83"/>
        <v>391</v>
      </c>
      <c r="AO105" s="24">
        <f t="shared" ref="AO105:AO132" si="92">SUM(W105,Y105,AA105,AE105,AG105,AK105,AM105)</f>
        <v>248</v>
      </c>
      <c r="AP105" s="24">
        <f t="shared" si="84"/>
        <v>755</v>
      </c>
      <c r="AQ105" s="25">
        <f t="shared" si="85"/>
        <v>2036</v>
      </c>
      <c r="AR105" s="25">
        <f t="shared" si="86"/>
        <v>520</v>
      </c>
      <c r="AS105" s="25">
        <f t="shared" si="87"/>
        <v>2440</v>
      </c>
    </row>
    <row r="106" spans="2:45" x14ac:dyDescent="0.3">
      <c r="B106" s="9" t="s">
        <v>70</v>
      </c>
      <c r="C106" s="33">
        <v>45934</v>
      </c>
      <c r="D106" s="27">
        <v>88772</v>
      </c>
      <c r="E106" s="28">
        <f t="shared" si="71"/>
        <v>2308</v>
      </c>
      <c r="F106" s="27"/>
      <c r="G106" s="28" t="str">
        <f t="shared" si="72"/>
        <v/>
      </c>
      <c r="H106" s="27"/>
      <c r="I106" s="28" t="str">
        <f t="shared" si="73"/>
        <v/>
      </c>
      <c r="J106" s="27"/>
      <c r="K106" s="28" t="str">
        <f t="shared" si="74"/>
        <v/>
      </c>
      <c r="L106" s="27"/>
      <c r="M106" s="28" t="str">
        <f t="shared" si="75"/>
        <v/>
      </c>
      <c r="N106" s="27">
        <v>26008</v>
      </c>
      <c r="O106" s="28">
        <f t="shared" si="76"/>
        <v>214</v>
      </c>
      <c r="P106" s="27">
        <v>8466</v>
      </c>
      <c r="Q106" s="28">
        <f t="shared" si="77"/>
        <v>150</v>
      </c>
      <c r="R106" s="27"/>
      <c r="S106" s="28" t="str">
        <f t="shared" si="78"/>
        <v/>
      </c>
      <c r="T106" s="29">
        <v>49058</v>
      </c>
      <c r="U106" s="28">
        <f t="shared" si="79"/>
        <v>701</v>
      </c>
      <c r="V106" s="27">
        <v>9191</v>
      </c>
      <c r="W106" s="28">
        <f t="shared" si="80"/>
        <v>110</v>
      </c>
      <c r="X106" s="27"/>
      <c r="Y106" s="28"/>
      <c r="Z106" s="27"/>
      <c r="AA106" s="28"/>
      <c r="AB106" s="27">
        <v>5187</v>
      </c>
      <c r="AC106" s="28">
        <f t="shared" si="81"/>
        <v>70</v>
      </c>
      <c r="AD106" s="27">
        <v>5049</v>
      </c>
      <c r="AE106" s="28">
        <f t="shared" si="82"/>
        <v>92</v>
      </c>
      <c r="AF106" s="27"/>
      <c r="AG106" s="28" t="str">
        <f t="shared" si="88"/>
        <v/>
      </c>
      <c r="AH106" s="27"/>
      <c r="AI106" s="28" t="str">
        <f t="shared" si="89"/>
        <v/>
      </c>
      <c r="AJ106" s="27"/>
      <c r="AK106" s="28" t="str">
        <f t="shared" si="90"/>
        <v/>
      </c>
      <c r="AL106" s="27"/>
      <c r="AM106" s="28" t="str">
        <f t="shared" si="91"/>
        <v/>
      </c>
      <c r="AN106" s="24">
        <f t="shared" si="83"/>
        <v>364</v>
      </c>
      <c r="AO106" s="24">
        <f t="shared" si="92"/>
        <v>202</v>
      </c>
      <c r="AP106" s="24">
        <f t="shared" si="84"/>
        <v>636</v>
      </c>
      <c r="AQ106" s="25">
        <f t="shared" si="85"/>
        <v>1944</v>
      </c>
      <c r="AR106" s="25">
        <f t="shared" si="86"/>
        <v>499</v>
      </c>
      <c r="AS106" s="25">
        <f t="shared" si="87"/>
        <v>2373</v>
      </c>
    </row>
    <row r="107" spans="2:45" x14ac:dyDescent="0.3">
      <c r="B107" s="9" t="s">
        <v>71</v>
      </c>
      <c r="C107" s="33">
        <v>45935</v>
      </c>
      <c r="D107" s="27">
        <v>91080</v>
      </c>
      <c r="E107" s="28">
        <f t="shared" si="71"/>
        <v>122</v>
      </c>
      <c r="F107" s="27"/>
      <c r="G107" s="28" t="str">
        <f t="shared" si="72"/>
        <v/>
      </c>
      <c r="H107" s="27"/>
      <c r="I107" s="28" t="str">
        <f t="shared" si="73"/>
        <v/>
      </c>
      <c r="J107" s="27"/>
      <c r="K107" s="28" t="str">
        <f t="shared" si="74"/>
        <v/>
      </c>
      <c r="L107" s="27"/>
      <c r="M107" s="28" t="str">
        <f t="shared" si="75"/>
        <v/>
      </c>
      <c r="N107" s="27">
        <v>26222</v>
      </c>
      <c r="O107" s="28">
        <f t="shared" si="76"/>
        <v>2</v>
      </c>
      <c r="P107" s="27">
        <v>8616</v>
      </c>
      <c r="Q107" s="28">
        <f t="shared" si="77"/>
        <v>8</v>
      </c>
      <c r="R107" s="27"/>
      <c r="S107" s="28" t="str">
        <f t="shared" si="78"/>
        <v/>
      </c>
      <c r="T107" s="29">
        <v>49759</v>
      </c>
      <c r="U107" s="28">
        <f t="shared" si="79"/>
        <v>118</v>
      </c>
      <c r="V107" s="27">
        <v>9301</v>
      </c>
      <c r="W107" s="28">
        <f t="shared" si="80"/>
        <v>4</v>
      </c>
      <c r="X107" s="27"/>
      <c r="Y107" s="28"/>
      <c r="Z107" s="27"/>
      <c r="AA107" s="28"/>
      <c r="AB107" s="27">
        <v>5257</v>
      </c>
      <c r="AC107" s="28">
        <f t="shared" si="81"/>
        <v>1</v>
      </c>
      <c r="AD107" s="27">
        <v>5141</v>
      </c>
      <c r="AE107" s="28">
        <f t="shared" si="82"/>
        <v>1</v>
      </c>
      <c r="AF107" s="27"/>
      <c r="AG107" s="28" t="str">
        <f t="shared" si="88"/>
        <v/>
      </c>
      <c r="AH107" s="27"/>
      <c r="AI107" s="28" t="str">
        <f t="shared" si="89"/>
        <v/>
      </c>
      <c r="AJ107" s="27"/>
      <c r="AK107" s="28" t="str">
        <f t="shared" si="90"/>
        <v/>
      </c>
      <c r="AL107" s="27"/>
      <c r="AM107" s="28" t="str">
        <f t="shared" si="91"/>
        <v/>
      </c>
      <c r="AN107" s="24">
        <f t="shared" si="83"/>
        <v>10</v>
      </c>
      <c r="AO107" s="24">
        <f t="shared" si="92"/>
        <v>5</v>
      </c>
      <c r="AP107" s="24">
        <f t="shared" si="84"/>
        <v>16</v>
      </c>
      <c r="AQ107" s="25">
        <f t="shared" si="85"/>
        <v>112</v>
      </c>
      <c r="AR107" s="25">
        <f t="shared" si="86"/>
        <v>113</v>
      </c>
      <c r="AS107" s="25">
        <f t="shared" si="87"/>
        <v>224</v>
      </c>
    </row>
    <row r="108" spans="2:45" x14ac:dyDescent="0.3">
      <c r="B108" s="9" t="s">
        <v>72</v>
      </c>
      <c r="C108" s="33">
        <v>45936</v>
      </c>
      <c r="D108" s="27">
        <v>91202</v>
      </c>
      <c r="E108" s="28">
        <f t="shared" si="71"/>
        <v>1883</v>
      </c>
      <c r="F108" s="27"/>
      <c r="G108" s="28" t="str">
        <f t="shared" si="72"/>
        <v/>
      </c>
      <c r="H108" s="27"/>
      <c r="I108" s="28" t="str">
        <f t="shared" si="73"/>
        <v/>
      </c>
      <c r="J108" s="27"/>
      <c r="K108" s="28" t="str">
        <f t="shared" si="74"/>
        <v/>
      </c>
      <c r="L108" s="27"/>
      <c r="M108" s="28" t="str">
        <f t="shared" si="75"/>
        <v/>
      </c>
      <c r="N108" s="27">
        <v>26224</v>
      </c>
      <c r="O108" s="28">
        <f t="shared" si="76"/>
        <v>218</v>
      </c>
      <c r="P108" s="27">
        <v>8624</v>
      </c>
      <c r="Q108" s="28">
        <f t="shared" si="77"/>
        <v>151</v>
      </c>
      <c r="R108" s="27"/>
      <c r="S108" s="28" t="str">
        <f t="shared" si="78"/>
        <v/>
      </c>
      <c r="T108" s="29">
        <v>49877</v>
      </c>
      <c r="U108" s="28">
        <f t="shared" si="79"/>
        <v>474</v>
      </c>
      <c r="V108" s="27">
        <v>9305</v>
      </c>
      <c r="W108" s="28">
        <f t="shared" si="80"/>
        <v>105</v>
      </c>
      <c r="X108" s="27"/>
      <c r="Y108" s="28"/>
      <c r="Z108" s="27"/>
      <c r="AA108" s="28"/>
      <c r="AB108" s="27">
        <v>5258</v>
      </c>
      <c r="AC108" s="28">
        <f t="shared" si="81"/>
        <v>51</v>
      </c>
      <c r="AD108" s="27">
        <v>5142</v>
      </c>
      <c r="AE108" s="28">
        <f t="shared" si="82"/>
        <v>64</v>
      </c>
      <c r="AF108" s="27"/>
      <c r="AG108" s="28" t="str">
        <f t="shared" si="88"/>
        <v/>
      </c>
      <c r="AH108" s="27"/>
      <c r="AI108" s="28" t="str">
        <f t="shared" si="89"/>
        <v/>
      </c>
      <c r="AJ108" s="27"/>
      <c r="AK108" s="28" t="str">
        <f t="shared" si="90"/>
        <v/>
      </c>
      <c r="AL108" s="27"/>
      <c r="AM108" s="28" t="str">
        <f t="shared" si="91"/>
        <v/>
      </c>
      <c r="AN108" s="24">
        <f t="shared" si="83"/>
        <v>369</v>
      </c>
      <c r="AO108" s="24">
        <f t="shared" si="92"/>
        <v>169</v>
      </c>
      <c r="AP108" s="24">
        <f t="shared" si="84"/>
        <v>589</v>
      </c>
      <c r="AQ108" s="25">
        <f t="shared" si="85"/>
        <v>1514</v>
      </c>
      <c r="AR108" s="25">
        <f t="shared" si="86"/>
        <v>305</v>
      </c>
      <c r="AS108" s="25">
        <f t="shared" si="87"/>
        <v>1768</v>
      </c>
    </row>
    <row r="109" spans="2:45" x14ac:dyDescent="0.3">
      <c r="B109" s="9" t="s">
        <v>66</v>
      </c>
      <c r="C109" s="33">
        <v>45937</v>
      </c>
      <c r="D109" s="27">
        <v>93085</v>
      </c>
      <c r="E109" s="28">
        <f t="shared" si="71"/>
        <v>2154</v>
      </c>
      <c r="F109" s="27"/>
      <c r="G109" s="28" t="str">
        <f t="shared" si="72"/>
        <v/>
      </c>
      <c r="H109" s="27"/>
      <c r="I109" s="28" t="str">
        <f t="shared" si="73"/>
        <v/>
      </c>
      <c r="J109" s="27"/>
      <c r="K109" s="28" t="str">
        <f t="shared" si="74"/>
        <v/>
      </c>
      <c r="L109" s="27"/>
      <c r="M109" s="28" t="str">
        <f t="shared" si="75"/>
        <v/>
      </c>
      <c r="N109" s="27">
        <v>26442</v>
      </c>
      <c r="O109" s="28">
        <f t="shared" si="76"/>
        <v>233</v>
      </c>
      <c r="P109" s="27">
        <v>8775</v>
      </c>
      <c r="Q109" s="28">
        <f t="shared" si="77"/>
        <v>153</v>
      </c>
      <c r="R109" s="27"/>
      <c r="S109" s="28" t="str">
        <f t="shared" si="78"/>
        <v/>
      </c>
      <c r="T109" s="29">
        <v>50351</v>
      </c>
      <c r="U109" s="28">
        <f t="shared" si="79"/>
        <v>451</v>
      </c>
      <c r="V109" s="27">
        <v>9410</v>
      </c>
      <c r="W109" s="28">
        <f t="shared" si="80"/>
        <v>101</v>
      </c>
      <c r="X109" s="27"/>
      <c r="Y109" s="28"/>
      <c r="Z109" s="27"/>
      <c r="AA109" s="28"/>
      <c r="AB109" s="27">
        <v>5309</v>
      </c>
      <c r="AC109" s="28">
        <f t="shared" si="81"/>
        <v>51</v>
      </c>
      <c r="AD109" s="27">
        <v>5206</v>
      </c>
      <c r="AE109" s="28">
        <f t="shared" si="82"/>
        <v>29</v>
      </c>
      <c r="AF109" s="27"/>
      <c r="AG109" s="28" t="str">
        <f t="shared" si="88"/>
        <v/>
      </c>
      <c r="AH109" s="27"/>
      <c r="AI109" s="28" t="str">
        <f t="shared" si="89"/>
        <v/>
      </c>
      <c r="AJ109" s="27"/>
      <c r="AK109" s="28" t="str">
        <f t="shared" si="90"/>
        <v/>
      </c>
      <c r="AL109" s="27"/>
      <c r="AM109" s="28" t="str">
        <f t="shared" si="91"/>
        <v/>
      </c>
      <c r="AN109" s="24">
        <f t="shared" si="83"/>
        <v>386</v>
      </c>
      <c r="AO109" s="24">
        <f t="shared" si="92"/>
        <v>130</v>
      </c>
      <c r="AP109" s="24">
        <f t="shared" si="84"/>
        <v>567</v>
      </c>
      <c r="AQ109" s="25">
        <f t="shared" si="85"/>
        <v>1768</v>
      </c>
      <c r="AR109" s="25">
        <f t="shared" si="86"/>
        <v>321</v>
      </c>
      <c r="AS109" s="25">
        <f t="shared" si="87"/>
        <v>2038</v>
      </c>
    </row>
    <row r="110" spans="2:45" x14ac:dyDescent="0.3">
      <c r="B110" s="9" t="s">
        <v>67</v>
      </c>
      <c r="C110" s="33">
        <v>45938</v>
      </c>
      <c r="D110" s="27">
        <v>95239</v>
      </c>
      <c r="E110" s="28">
        <f t="shared" si="71"/>
        <v>2089</v>
      </c>
      <c r="F110" s="27"/>
      <c r="G110" s="28" t="str">
        <f t="shared" si="72"/>
        <v/>
      </c>
      <c r="H110" s="27"/>
      <c r="I110" s="28" t="str">
        <f t="shared" si="73"/>
        <v/>
      </c>
      <c r="J110" s="27"/>
      <c r="K110" s="28" t="str">
        <f t="shared" si="74"/>
        <v/>
      </c>
      <c r="L110" s="27"/>
      <c r="M110" s="28" t="str">
        <f t="shared" si="75"/>
        <v/>
      </c>
      <c r="N110" s="27">
        <v>26675</v>
      </c>
      <c r="O110" s="28">
        <f t="shared" si="76"/>
        <v>233</v>
      </c>
      <c r="P110" s="27">
        <v>8928</v>
      </c>
      <c r="Q110" s="28">
        <f t="shared" si="77"/>
        <v>150</v>
      </c>
      <c r="R110" s="27"/>
      <c r="S110" s="28" t="str">
        <f t="shared" si="78"/>
        <v/>
      </c>
      <c r="T110" s="29">
        <v>50802</v>
      </c>
      <c r="U110" s="28">
        <f t="shared" si="79"/>
        <v>380</v>
      </c>
      <c r="V110" s="27">
        <v>9511</v>
      </c>
      <c r="W110" s="28">
        <f t="shared" si="80"/>
        <v>91</v>
      </c>
      <c r="X110" s="27"/>
      <c r="Y110" s="28"/>
      <c r="Z110" s="27"/>
      <c r="AA110" s="28"/>
      <c r="AB110" s="27">
        <v>5360</v>
      </c>
      <c r="AC110" s="28">
        <f t="shared" si="81"/>
        <v>41</v>
      </c>
      <c r="AD110" s="27">
        <v>5235</v>
      </c>
      <c r="AE110" s="28">
        <f t="shared" si="82"/>
        <v>51</v>
      </c>
      <c r="AF110" s="27"/>
      <c r="AG110" s="28" t="str">
        <f t="shared" si="88"/>
        <v/>
      </c>
      <c r="AH110" s="27"/>
      <c r="AI110" s="28" t="str">
        <f t="shared" si="89"/>
        <v/>
      </c>
      <c r="AJ110" s="27"/>
      <c r="AK110" s="28" t="str">
        <f t="shared" si="90"/>
        <v/>
      </c>
      <c r="AL110" s="27"/>
      <c r="AM110" s="28" t="str">
        <f t="shared" si="91"/>
        <v/>
      </c>
      <c r="AN110" s="24">
        <f t="shared" si="83"/>
        <v>383</v>
      </c>
      <c r="AO110" s="24">
        <f t="shared" si="92"/>
        <v>142</v>
      </c>
      <c r="AP110" s="24">
        <f t="shared" si="84"/>
        <v>566</v>
      </c>
      <c r="AQ110" s="25">
        <f t="shared" si="85"/>
        <v>1706</v>
      </c>
      <c r="AR110" s="25">
        <f t="shared" si="86"/>
        <v>238</v>
      </c>
      <c r="AS110" s="25">
        <f t="shared" si="87"/>
        <v>1903</v>
      </c>
    </row>
    <row r="111" spans="2:45" x14ac:dyDescent="0.3">
      <c r="B111" s="9" t="s">
        <v>68</v>
      </c>
      <c r="C111" s="33">
        <v>45939</v>
      </c>
      <c r="D111" s="27">
        <v>97328</v>
      </c>
      <c r="E111" s="28">
        <f t="shared" si="71"/>
        <v>2306</v>
      </c>
      <c r="F111" s="27"/>
      <c r="G111" s="28" t="str">
        <f t="shared" si="72"/>
        <v/>
      </c>
      <c r="H111" s="27"/>
      <c r="I111" s="28" t="str">
        <f t="shared" si="73"/>
        <v/>
      </c>
      <c r="J111" s="27"/>
      <c r="K111" s="28" t="str">
        <f t="shared" si="74"/>
        <v/>
      </c>
      <c r="L111" s="27"/>
      <c r="M111" s="28" t="str">
        <f t="shared" si="75"/>
        <v/>
      </c>
      <c r="N111" s="27">
        <v>26908</v>
      </c>
      <c r="O111" s="28">
        <f t="shared" si="76"/>
        <v>240</v>
      </c>
      <c r="P111" s="27">
        <v>9078</v>
      </c>
      <c r="Q111" s="28">
        <f t="shared" si="77"/>
        <v>136</v>
      </c>
      <c r="R111" s="27"/>
      <c r="S111" s="28" t="str">
        <f t="shared" si="78"/>
        <v/>
      </c>
      <c r="T111" s="29">
        <v>51182</v>
      </c>
      <c r="U111" s="28">
        <f t="shared" si="79"/>
        <v>457</v>
      </c>
      <c r="V111" s="27">
        <v>9602</v>
      </c>
      <c r="W111" s="28">
        <f t="shared" si="80"/>
        <v>91</v>
      </c>
      <c r="X111" s="27"/>
      <c r="Y111" s="28"/>
      <c r="Z111" s="27"/>
      <c r="AA111" s="28"/>
      <c r="AB111" s="27">
        <v>5401</v>
      </c>
      <c r="AC111" s="28">
        <f t="shared" si="81"/>
        <v>76</v>
      </c>
      <c r="AD111" s="27">
        <v>5286</v>
      </c>
      <c r="AE111" s="28">
        <f t="shared" si="82"/>
        <v>76</v>
      </c>
      <c r="AF111" s="27"/>
      <c r="AG111" s="28" t="str">
        <f t="shared" si="88"/>
        <v/>
      </c>
      <c r="AH111" s="27"/>
      <c r="AI111" s="28" t="str">
        <f t="shared" si="89"/>
        <v/>
      </c>
      <c r="AJ111" s="27"/>
      <c r="AK111" s="28" t="str">
        <f t="shared" si="90"/>
        <v/>
      </c>
      <c r="AL111" s="27"/>
      <c r="AM111" s="28" t="str">
        <f t="shared" si="91"/>
        <v/>
      </c>
      <c r="AN111" s="24">
        <f t="shared" si="83"/>
        <v>376</v>
      </c>
      <c r="AO111" s="24">
        <f t="shared" si="92"/>
        <v>167</v>
      </c>
      <c r="AP111" s="24">
        <f t="shared" si="84"/>
        <v>619</v>
      </c>
      <c r="AQ111" s="25">
        <f t="shared" si="85"/>
        <v>1930</v>
      </c>
      <c r="AR111" s="25">
        <f t="shared" si="86"/>
        <v>290</v>
      </c>
      <c r="AS111" s="25">
        <f t="shared" si="87"/>
        <v>2144</v>
      </c>
    </row>
    <row r="112" spans="2:45" x14ac:dyDescent="0.3">
      <c r="B112" s="9" t="s">
        <v>69</v>
      </c>
      <c r="C112" s="33">
        <v>45940</v>
      </c>
      <c r="D112" s="27">
        <v>99634</v>
      </c>
      <c r="E112" s="28">
        <f t="shared" si="71"/>
        <v>2159</v>
      </c>
      <c r="F112" s="27"/>
      <c r="G112" s="28" t="str">
        <f t="shared" si="72"/>
        <v/>
      </c>
      <c r="H112" s="27"/>
      <c r="I112" s="28" t="str">
        <f t="shared" si="73"/>
        <v/>
      </c>
      <c r="J112" s="27"/>
      <c r="K112" s="28" t="str">
        <f t="shared" si="74"/>
        <v/>
      </c>
      <c r="L112" s="27"/>
      <c r="M112" s="28" t="str">
        <f t="shared" si="75"/>
        <v/>
      </c>
      <c r="N112" s="27">
        <v>27148</v>
      </c>
      <c r="O112" s="28">
        <f t="shared" si="76"/>
        <v>237</v>
      </c>
      <c r="P112" s="27">
        <v>9214</v>
      </c>
      <c r="Q112" s="28">
        <f t="shared" si="77"/>
        <v>136</v>
      </c>
      <c r="R112" s="27"/>
      <c r="S112" s="28" t="str">
        <f t="shared" si="78"/>
        <v/>
      </c>
      <c r="T112" s="29">
        <v>51639</v>
      </c>
      <c r="U112" s="28">
        <f t="shared" si="79"/>
        <v>514</v>
      </c>
      <c r="V112" s="27">
        <v>9693</v>
      </c>
      <c r="W112" s="28">
        <f t="shared" si="80"/>
        <v>98</v>
      </c>
      <c r="X112" s="27"/>
      <c r="Y112" s="28"/>
      <c r="Z112" s="27"/>
      <c r="AA112" s="28"/>
      <c r="AB112" s="27">
        <v>5477</v>
      </c>
      <c r="AC112" s="28">
        <f t="shared" si="81"/>
        <v>88</v>
      </c>
      <c r="AD112" s="27">
        <v>5362</v>
      </c>
      <c r="AE112" s="28">
        <f t="shared" si="82"/>
        <v>96</v>
      </c>
      <c r="AF112" s="27"/>
      <c r="AG112" s="28" t="str">
        <f t="shared" si="88"/>
        <v/>
      </c>
      <c r="AH112" s="27"/>
      <c r="AI112" s="28" t="str">
        <f t="shared" si="89"/>
        <v/>
      </c>
      <c r="AJ112" s="27"/>
      <c r="AK112" s="28" t="str">
        <f t="shared" si="90"/>
        <v/>
      </c>
      <c r="AL112" s="27"/>
      <c r="AM112" s="28" t="str">
        <f t="shared" si="91"/>
        <v/>
      </c>
      <c r="AN112" s="24">
        <f t="shared" si="83"/>
        <v>373</v>
      </c>
      <c r="AO112" s="24">
        <f t="shared" si="92"/>
        <v>194</v>
      </c>
      <c r="AP112" s="24">
        <f t="shared" si="84"/>
        <v>655</v>
      </c>
      <c r="AQ112" s="25">
        <f t="shared" si="85"/>
        <v>1786</v>
      </c>
      <c r="AR112" s="25">
        <f t="shared" si="86"/>
        <v>320</v>
      </c>
      <c r="AS112" s="25">
        <f t="shared" si="87"/>
        <v>2018</v>
      </c>
    </row>
    <row r="113" spans="2:45" x14ac:dyDescent="0.3">
      <c r="B113" s="9" t="s">
        <v>70</v>
      </c>
      <c r="C113" s="33">
        <v>45941</v>
      </c>
      <c r="D113" s="27">
        <v>101793</v>
      </c>
      <c r="E113" s="28">
        <f t="shared" si="71"/>
        <v>2140</v>
      </c>
      <c r="F113" s="27"/>
      <c r="G113" s="28" t="str">
        <f t="shared" si="72"/>
        <v/>
      </c>
      <c r="H113" s="27"/>
      <c r="I113" s="28" t="str">
        <f t="shared" si="73"/>
        <v/>
      </c>
      <c r="J113" s="27"/>
      <c r="K113" s="28" t="str">
        <f t="shared" si="74"/>
        <v/>
      </c>
      <c r="L113" s="27"/>
      <c r="M113" s="28" t="str">
        <f t="shared" si="75"/>
        <v/>
      </c>
      <c r="N113" s="27">
        <v>27385</v>
      </c>
      <c r="O113" s="28">
        <f t="shared" si="76"/>
        <v>231</v>
      </c>
      <c r="P113" s="27">
        <v>9350</v>
      </c>
      <c r="Q113" s="28">
        <f t="shared" si="77"/>
        <v>142</v>
      </c>
      <c r="R113" s="27"/>
      <c r="S113" s="28" t="str">
        <f t="shared" si="78"/>
        <v/>
      </c>
      <c r="T113" s="29">
        <v>52153</v>
      </c>
      <c r="U113" s="28">
        <f t="shared" si="79"/>
        <v>499</v>
      </c>
      <c r="V113" s="27">
        <v>9791</v>
      </c>
      <c r="W113" s="28">
        <f t="shared" si="80"/>
        <v>97</v>
      </c>
      <c r="X113" s="27"/>
      <c r="Y113" s="28"/>
      <c r="Z113" s="27"/>
      <c r="AA113" s="28"/>
      <c r="AB113" s="27">
        <v>5565</v>
      </c>
      <c r="AC113" s="28">
        <f t="shared" si="81"/>
        <v>97</v>
      </c>
      <c r="AD113" s="27">
        <v>5458</v>
      </c>
      <c r="AE113" s="28">
        <f t="shared" si="82"/>
        <v>91</v>
      </c>
      <c r="AF113" s="27"/>
      <c r="AG113" s="28" t="str">
        <f t="shared" si="88"/>
        <v/>
      </c>
      <c r="AH113" s="27"/>
      <c r="AI113" s="28" t="str">
        <f t="shared" si="89"/>
        <v/>
      </c>
      <c r="AJ113" s="27"/>
      <c r="AK113" s="28" t="str">
        <f t="shared" si="90"/>
        <v/>
      </c>
      <c r="AL113" s="27"/>
      <c r="AM113" s="28" t="str">
        <f t="shared" si="91"/>
        <v/>
      </c>
      <c r="AN113" s="24">
        <f t="shared" si="83"/>
        <v>373</v>
      </c>
      <c r="AO113" s="24">
        <f t="shared" si="92"/>
        <v>188</v>
      </c>
      <c r="AP113" s="24">
        <f t="shared" si="84"/>
        <v>658</v>
      </c>
      <c r="AQ113" s="25">
        <f t="shared" si="85"/>
        <v>1767</v>
      </c>
      <c r="AR113" s="25">
        <f t="shared" si="86"/>
        <v>311</v>
      </c>
      <c r="AS113" s="25">
        <f t="shared" si="87"/>
        <v>1981</v>
      </c>
    </row>
    <row r="114" spans="2:45" x14ac:dyDescent="0.3">
      <c r="B114" s="9" t="s">
        <v>71</v>
      </c>
      <c r="C114" s="33">
        <v>45942</v>
      </c>
      <c r="D114" s="27">
        <v>103933</v>
      </c>
      <c r="E114" s="28">
        <f t="shared" si="71"/>
        <v>192</v>
      </c>
      <c r="F114" s="27"/>
      <c r="G114" s="28" t="str">
        <f t="shared" si="72"/>
        <v/>
      </c>
      <c r="H114" s="27"/>
      <c r="I114" s="28" t="str">
        <f t="shared" si="73"/>
        <v/>
      </c>
      <c r="J114" s="27"/>
      <c r="K114" s="28" t="str">
        <f t="shared" si="74"/>
        <v/>
      </c>
      <c r="L114" s="27"/>
      <c r="M114" s="28" t="str">
        <f t="shared" si="75"/>
        <v/>
      </c>
      <c r="N114" s="27">
        <v>27616</v>
      </c>
      <c r="O114" s="28">
        <f t="shared" si="76"/>
        <v>16</v>
      </c>
      <c r="P114" s="27">
        <v>9492</v>
      </c>
      <c r="Q114" s="28">
        <f t="shared" si="77"/>
        <v>7</v>
      </c>
      <c r="R114" s="27"/>
      <c r="S114" s="28" t="str">
        <f t="shared" si="78"/>
        <v/>
      </c>
      <c r="T114" s="29">
        <v>52652</v>
      </c>
      <c r="U114" s="28">
        <f t="shared" si="79"/>
        <v>68</v>
      </c>
      <c r="V114" s="27">
        <v>9888</v>
      </c>
      <c r="W114" s="28">
        <f t="shared" si="80"/>
        <v>2</v>
      </c>
      <c r="X114" s="27"/>
      <c r="Y114" s="28"/>
      <c r="Z114" s="27"/>
      <c r="AA114" s="28"/>
      <c r="AB114" s="27">
        <v>5662</v>
      </c>
      <c r="AC114" s="28">
        <f t="shared" si="81"/>
        <v>4</v>
      </c>
      <c r="AD114" s="27">
        <v>5549</v>
      </c>
      <c r="AE114" s="28">
        <f t="shared" si="82"/>
        <v>4</v>
      </c>
      <c r="AF114" s="27"/>
      <c r="AG114" s="28" t="str">
        <f t="shared" si="88"/>
        <v/>
      </c>
      <c r="AH114" s="27"/>
      <c r="AI114" s="28" t="str">
        <f t="shared" si="89"/>
        <v/>
      </c>
      <c r="AJ114" s="27"/>
      <c r="AK114" s="28" t="str">
        <f t="shared" si="90"/>
        <v/>
      </c>
      <c r="AL114" s="27"/>
      <c r="AM114" s="28" t="str">
        <f t="shared" si="91"/>
        <v/>
      </c>
      <c r="AN114" s="24">
        <f t="shared" si="83"/>
        <v>23</v>
      </c>
      <c r="AO114" s="24">
        <f t="shared" si="92"/>
        <v>6</v>
      </c>
      <c r="AP114" s="24">
        <f t="shared" si="84"/>
        <v>33</v>
      </c>
      <c r="AQ114" s="25">
        <f t="shared" si="85"/>
        <v>169</v>
      </c>
      <c r="AR114" s="25">
        <f t="shared" si="86"/>
        <v>62</v>
      </c>
      <c r="AS114" s="25">
        <f t="shared" si="87"/>
        <v>227</v>
      </c>
    </row>
    <row r="115" spans="2:45" x14ac:dyDescent="0.3">
      <c r="B115" s="9" t="s">
        <v>72</v>
      </c>
      <c r="C115" s="33">
        <v>45943</v>
      </c>
      <c r="D115" s="27">
        <v>104125</v>
      </c>
      <c r="E115" s="28">
        <f t="shared" si="71"/>
        <v>1992</v>
      </c>
      <c r="F115" s="27"/>
      <c r="G115" s="28" t="str">
        <f t="shared" si="72"/>
        <v/>
      </c>
      <c r="H115" s="27"/>
      <c r="I115" s="28" t="str">
        <f t="shared" si="73"/>
        <v/>
      </c>
      <c r="J115" s="27"/>
      <c r="K115" s="28" t="str">
        <f t="shared" si="74"/>
        <v/>
      </c>
      <c r="L115" s="27"/>
      <c r="M115" s="28" t="str">
        <f t="shared" si="75"/>
        <v/>
      </c>
      <c r="N115" s="27">
        <v>27632</v>
      </c>
      <c r="O115" s="28">
        <f t="shared" si="76"/>
        <v>166</v>
      </c>
      <c r="P115" s="27">
        <v>9499</v>
      </c>
      <c r="Q115" s="28">
        <f t="shared" si="77"/>
        <v>136</v>
      </c>
      <c r="R115" s="27"/>
      <c r="S115" s="28" t="str">
        <f t="shared" si="78"/>
        <v/>
      </c>
      <c r="T115" s="29">
        <v>52720</v>
      </c>
      <c r="U115" s="28">
        <f t="shared" si="79"/>
        <v>544</v>
      </c>
      <c r="V115" s="27">
        <v>9890</v>
      </c>
      <c r="W115" s="28">
        <f t="shared" si="80"/>
        <v>98</v>
      </c>
      <c r="X115" s="27"/>
      <c r="Y115" s="28"/>
      <c r="Z115" s="27"/>
      <c r="AA115" s="28"/>
      <c r="AB115" s="27">
        <v>5666</v>
      </c>
      <c r="AC115" s="28">
        <f t="shared" si="81"/>
        <v>107</v>
      </c>
      <c r="AD115" s="27">
        <v>5553</v>
      </c>
      <c r="AE115" s="28">
        <f t="shared" si="82"/>
        <v>93</v>
      </c>
      <c r="AF115" s="27"/>
      <c r="AG115" s="28" t="str">
        <f t="shared" si="88"/>
        <v/>
      </c>
      <c r="AH115" s="27"/>
      <c r="AI115" s="28" t="str">
        <f t="shared" si="89"/>
        <v/>
      </c>
      <c r="AJ115" s="27"/>
      <c r="AK115" s="28" t="str">
        <f t="shared" si="90"/>
        <v/>
      </c>
      <c r="AL115" s="27"/>
      <c r="AM115" s="28" t="str">
        <f t="shared" si="91"/>
        <v/>
      </c>
      <c r="AN115" s="24">
        <f t="shared" si="83"/>
        <v>302</v>
      </c>
      <c r="AO115" s="24">
        <f t="shared" si="92"/>
        <v>191</v>
      </c>
      <c r="AP115" s="24">
        <f t="shared" si="84"/>
        <v>600</v>
      </c>
      <c r="AQ115" s="25">
        <f t="shared" si="85"/>
        <v>1690</v>
      </c>
      <c r="AR115" s="25">
        <f t="shared" si="86"/>
        <v>353</v>
      </c>
      <c r="AS115" s="25">
        <f t="shared" si="87"/>
        <v>1936</v>
      </c>
    </row>
    <row r="116" spans="2:45" x14ac:dyDescent="0.3">
      <c r="B116" s="9" t="s">
        <v>66</v>
      </c>
      <c r="C116" s="33">
        <v>45944</v>
      </c>
      <c r="D116" s="27">
        <v>106117</v>
      </c>
      <c r="E116" s="28">
        <f t="shared" si="71"/>
        <v>2458</v>
      </c>
      <c r="F116" s="27"/>
      <c r="G116" s="28" t="str">
        <f t="shared" si="72"/>
        <v/>
      </c>
      <c r="H116" s="27"/>
      <c r="I116" s="28" t="str">
        <f t="shared" si="73"/>
        <v/>
      </c>
      <c r="J116" s="27"/>
      <c r="K116" s="28" t="str">
        <f t="shared" si="74"/>
        <v/>
      </c>
      <c r="L116" s="27"/>
      <c r="M116" s="28" t="str">
        <f t="shared" si="75"/>
        <v/>
      </c>
      <c r="N116" s="27">
        <v>27798</v>
      </c>
      <c r="O116" s="28">
        <f t="shared" si="76"/>
        <v>166</v>
      </c>
      <c r="P116" s="27">
        <v>9635</v>
      </c>
      <c r="Q116" s="28">
        <f t="shared" si="77"/>
        <v>177</v>
      </c>
      <c r="R116" s="27"/>
      <c r="S116" s="28" t="str">
        <f t="shared" si="78"/>
        <v/>
      </c>
      <c r="T116" s="29">
        <v>53264</v>
      </c>
      <c r="U116" s="28">
        <f t="shared" si="79"/>
        <v>590</v>
      </c>
      <c r="V116" s="27">
        <v>9988</v>
      </c>
      <c r="W116" s="28">
        <f t="shared" si="80"/>
        <v>121</v>
      </c>
      <c r="X116" s="27"/>
      <c r="Y116" s="28"/>
      <c r="Z116" s="27"/>
      <c r="AA116" s="28"/>
      <c r="AB116" s="27">
        <v>5773</v>
      </c>
      <c r="AC116" s="28">
        <f t="shared" si="81"/>
        <v>80</v>
      </c>
      <c r="AD116" s="27">
        <v>5646</v>
      </c>
      <c r="AE116" s="28">
        <f t="shared" si="82"/>
        <v>75</v>
      </c>
      <c r="AF116" s="27"/>
      <c r="AG116" s="28" t="str">
        <f t="shared" si="88"/>
        <v/>
      </c>
      <c r="AH116" s="27"/>
      <c r="AI116" s="28" t="str">
        <f t="shared" si="89"/>
        <v/>
      </c>
      <c r="AJ116" s="27"/>
      <c r="AK116" s="28" t="str">
        <f t="shared" si="90"/>
        <v/>
      </c>
      <c r="AL116" s="27"/>
      <c r="AM116" s="28" t="str">
        <f t="shared" si="91"/>
        <v/>
      </c>
      <c r="AN116" s="24">
        <f t="shared" si="83"/>
        <v>343</v>
      </c>
      <c r="AO116" s="24">
        <f t="shared" si="92"/>
        <v>196</v>
      </c>
      <c r="AP116" s="24">
        <f t="shared" si="84"/>
        <v>619</v>
      </c>
      <c r="AQ116" s="25">
        <f t="shared" si="85"/>
        <v>2115</v>
      </c>
      <c r="AR116" s="25">
        <f t="shared" si="86"/>
        <v>394</v>
      </c>
      <c r="AS116" s="25">
        <f t="shared" si="87"/>
        <v>2429</v>
      </c>
    </row>
    <row r="117" spans="2:45" x14ac:dyDescent="0.3">
      <c r="B117" s="9" t="s">
        <v>67</v>
      </c>
      <c r="C117" s="33">
        <v>45945</v>
      </c>
      <c r="D117" s="27">
        <v>108575</v>
      </c>
      <c r="E117" s="28">
        <f t="shared" si="71"/>
        <v>2675</v>
      </c>
      <c r="F117" s="27"/>
      <c r="G117" s="28" t="str">
        <f t="shared" si="72"/>
        <v/>
      </c>
      <c r="H117" s="27"/>
      <c r="I117" s="28" t="str">
        <f t="shared" si="73"/>
        <v/>
      </c>
      <c r="J117" s="27"/>
      <c r="K117" s="28" t="str">
        <f t="shared" si="74"/>
        <v/>
      </c>
      <c r="L117" s="27"/>
      <c r="M117" s="28" t="str">
        <f t="shared" si="75"/>
        <v/>
      </c>
      <c r="N117" s="27">
        <v>27964</v>
      </c>
      <c r="O117" s="28">
        <f t="shared" si="76"/>
        <v>282</v>
      </c>
      <c r="P117" s="27">
        <v>9812</v>
      </c>
      <c r="Q117" s="28">
        <f t="shared" si="77"/>
        <v>154</v>
      </c>
      <c r="R117" s="27"/>
      <c r="S117" s="28" t="str">
        <f t="shared" si="78"/>
        <v/>
      </c>
      <c r="T117" s="29">
        <v>53854</v>
      </c>
      <c r="U117" s="28">
        <f t="shared" si="79"/>
        <v>596</v>
      </c>
      <c r="V117" s="27">
        <v>10109</v>
      </c>
      <c r="W117" s="28">
        <f t="shared" si="80"/>
        <v>123</v>
      </c>
      <c r="X117" s="27"/>
      <c r="Y117" s="28"/>
      <c r="Z117" s="27"/>
      <c r="AA117" s="28"/>
      <c r="AB117" s="27">
        <v>5853</v>
      </c>
      <c r="AC117" s="28">
        <f t="shared" si="81"/>
        <v>87</v>
      </c>
      <c r="AD117" s="27">
        <v>5721</v>
      </c>
      <c r="AE117" s="28">
        <f t="shared" si="82"/>
        <v>85</v>
      </c>
      <c r="AF117" s="27"/>
      <c r="AG117" s="28" t="str">
        <f t="shared" si="88"/>
        <v/>
      </c>
      <c r="AH117" s="27"/>
      <c r="AI117" s="28" t="str">
        <f t="shared" si="89"/>
        <v/>
      </c>
      <c r="AJ117" s="27"/>
      <c r="AK117" s="28" t="str">
        <f t="shared" si="90"/>
        <v/>
      </c>
      <c r="AL117" s="27"/>
      <c r="AM117" s="28" t="str">
        <f t="shared" si="91"/>
        <v/>
      </c>
      <c r="AN117" s="24">
        <f t="shared" si="83"/>
        <v>436</v>
      </c>
      <c r="AO117" s="24">
        <f t="shared" si="92"/>
        <v>208</v>
      </c>
      <c r="AP117" s="24">
        <f t="shared" si="84"/>
        <v>731</v>
      </c>
      <c r="AQ117" s="25">
        <f t="shared" si="85"/>
        <v>2239</v>
      </c>
      <c r="AR117" s="25">
        <f t="shared" si="86"/>
        <v>388</v>
      </c>
      <c r="AS117" s="25">
        <f t="shared" si="87"/>
        <v>2540</v>
      </c>
    </row>
    <row r="118" spans="2:45" x14ac:dyDescent="0.3">
      <c r="B118" s="9" t="s">
        <v>68</v>
      </c>
      <c r="C118" s="33">
        <v>45946</v>
      </c>
      <c r="D118" s="27">
        <v>111250</v>
      </c>
      <c r="E118" s="28">
        <f t="shared" si="71"/>
        <v>2792</v>
      </c>
      <c r="F118" s="27"/>
      <c r="G118" s="28" t="str">
        <f t="shared" si="72"/>
        <v/>
      </c>
      <c r="H118" s="27"/>
      <c r="I118" s="28" t="str">
        <f t="shared" si="73"/>
        <v/>
      </c>
      <c r="J118" s="27"/>
      <c r="K118" s="28" t="str">
        <f t="shared" si="74"/>
        <v/>
      </c>
      <c r="L118" s="27"/>
      <c r="M118" s="28" t="str">
        <f t="shared" si="75"/>
        <v/>
      </c>
      <c r="N118" s="27">
        <v>28246</v>
      </c>
      <c r="O118" s="28">
        <f t="shared" si="76"/>
        <v>291</v>
      </c>
      <c r="P118" s="27">
        <v>9966</v>
      </c>
      <c r="Q118" s="28">
        <f t="shared" si="77"/>
        <v>162</v>
      </c>
      <c r="R118" s="27"/>
      <c r="S118" s="28" t="str">
        <f t="shared" si="78"/>
        <v/>
      </c>
      <c r="T118" s="29">
        <v>54450</v>
      </c>
      <c r="U118" s="28">
        <f t="shared" si="79"/>
        <v>549</v>
      </c>
      <c r="V118" s="27">
        <v>10232</v>
      </c>
      <c r="W118" s="28">
        <f t="shared" si="80"/>
        <v>119</v>
      </c>
      <c r="X118" s="27"/>
      <c r="Y118" s="28"/>
      <c r="Z118" s="27"/>
      <c r="AA118" s="28"/>
      <c r="AB118" s="27">
        <v>5940</v>
      </c>
      <c r="AC118" s="28">
        <f t="shared" si="81"/>
        <v>79</v>
      </c>
      <c r="AD118" s="27">
        <v>5806</v>
      </c>
      <c r="AE118" s="28">
        <f t="shared" si="82"/>
        <v>84</v>
      </c>
      <c r="AF118" s="27"/>
      <c r="AG118" s="28" t="str">
        <f t="shared" si="88"/>
        <v/>
      </c>
      <c r="AH118" s="27"/>
      <c r="AI118" s="28" t="str">
        <f t="shared" si="89"/>
        <v/>
      </c>
      <c r="AJ118" s="27"/>
      <c r="AK118" s="28" t="str">
        <f t="shared" si="90"/>
        <v/>
      </c>
      <c r="AL118" s="27"/>
      <c r="AM118" s="28" t="str">
        <f t="shared" si="91"/>
        <v/>
      </c>
      <c r="AN118" s="24">
        <f t="shared" si="83"/>
        <v>453</v>
      </c>
      <c r="AO118" s="24">
        <f t="shared" si="92"/>
        <v>203</v>
      </c>
      <c r="AP118" s="24">
        <f t="shared" si="84"/>
        <v>735</v>
      </c>
      <c r="AQ118" s="25">
        <f t="shared" si="85"/>
        <v>2339</v>
      </c>
      <c r="AR118" s="25">
        <f t="shared" si="86"/>
        <v>346</v>
      </c>
      <c r="AS118" s="25">
        <f t="shared" si="87"/>
        <v>2606</v>
      </c>
    </row>
    <row r="119" spans="2:45" x14ac:dyDescent="0.3">
      <c r="B119" s="9" t="s">
        <v>69</v>
      </c>
      <c r="C119" s="33">
        <v>45947</v>
      </c>
      <c r="D119" s="27">
        <v>114042</v>
      </c>
      <c r="E119" s="28">
        <f t="shared" si="71"/>
        <v>2824</v>
      </c>
      <c r="F119" s="27"/>
      <c r="G119" s="28" t="str">
        <f t="shared" si="72"/>
        <v/>
      </c>
      <c r="H119" s="27"/>
      <c r="I119" s="28" t="str">
        <f t="shared" si="73"/>
        <v/>
      </c>
      <c r="J119" s="27"/>
      <c r="K119" s="28" t="str">
        <f t="shared" si="74"/>
        <v/>
      </c>
      <c r="L119" s="27"/>
      <c r="M119" s="28" t="str">
        <f t="shared" si="75"/>
        <v/>
      </c>
      <c r="N119" s="27">
        <v>28537</v>
      </c>
      <c r="O119" s="28">
        <f t="shared" si="76"/>
        <v>271</v>
      </c>
      <c r="P119" s="27">
        <v>10128</v>
      </c>
      <c r="Q119" s="28">
        <f t="shared" si="77"/>
        <v>156</v>
      </c>
      <c r="R119" s="27"/>
      <c r="S119" s="28" t="str">
        <f t="shared" si="78"/>
        <v/>
      </c>
      <c r="T119" s="29">
        <v>54999</v>
      </c>
      <c r="U119" s="28">
        <f t="shared" si="79"/>
        <v>566</v>
      </c>
      <c r="V119" s="27">
        <v>10351</v>
      </c>
      <c r="W119" s="28">
        <f t="shared" si="80"/>
        <v>115</v>
      </c>
      <c r="X119" s="27"/>
      <c r="Y119" s="28"/>
      <c r="Z119" s="27"/>
      <c r="AA119" s="28"/>
      <c r="AB119" s="27">
        <v>6019</v>
      </c>
      <c r="AC119" s="28">
        <f t="shared" si="81"/>
        <v>99</v>
      </c>
      <c r="AD119" s="27">
        <v>5890</v>
      </c>
      <c r="AE119" s="28">
        <f t="shared" si="82"/>
        <v>90</v>
      </c>
      <c r="AF119" s="27"/>
      <c r="AG119" s="28" t="str">
        <f t="shared" si="88"/>
        <v/>
      </c>
      <c r="AH119" s="27"/>
      <c r="AI119" s="28" t="str">
        <f t="shared" si="89"/>
        <v/>
      </c>
      <c r="AJ119" s="27"/>
      <c r="AK119" s="28" t="str">
        <f t="shared" si="90"/>
        <v/>
      </c>
      <c r="AL119" s="27"/>
      <c r="AM119" s="28" t="str">
        <f t="shared" si="91"/>
        <v/>
      </c>
      <c r="AN119" s="24">
        <f t="shared" si="83"/>
        <v>427</v>
      </c>
      <c r="AO119" s="24">
        <f t="shared" si="92"/>
        <v>205</v>
      </c>
      <c r="AP119" s="24">
        <f t="shared" si="84"/>
        <v>731</v>
      </c>
      <c r="AQ119" s="25">
        <f t="shared" si="85"/>
        <v>2397</v>
      </c>
      <c r="AR119" s="25">
        <f t="shared" si="86"/>
        <v>361</v>
      </c>
      <c r="AS119" s="25">
        <f t="shared" si="87"/>
        <v>2659</v>
      </c>
    </row>
    <row r="120" spans="2:45" x14ac:dyDescent="0.3">
      <c r="B120" s="9" t="s">
        <v>70</v>
      </c>
      <c r="C120" s="33">
        <v>45948</v>
      </c>
      <c r="D120" s="27">
        <v>116866</v>
      </c>
      <c r="E120" s="28">
        <f t="shared" si="71"/>
        <v>2753</v>
      </c>
      <c r="F120" s="27"/>
      <c r="G120" s="28" t="str">
        <f t="shared" si="72"/>
        <v/>
      </c>
      <c r="H120" s="27"/>
      <c r="I120" s="28" t="str">
        <f t="shared" si="73"/>
        <v/>
      </c>
      <c r="J120" s="27"/>
      <c r="K120" s="28" t="str">
        <f t="shared" si="74"/>
        <v/>
      </c>
      <c r="L120" s="27"/>
      <c r="M120" s="28" t="str">
        <f t="shared" si="75"/>
        <v/>
      </c>
      <c r="N120" s="27">
        <v>28808</v>
      </c>
      <c r="O120" s="28">
        <f t="shared" si="76"/>
        <v>275</v>
      </c>
      <c r="P120" s="27">
        <v>10284</v>
      </c>
      <c r="Q120" s="28">
        <f t="shared" si="77"/>
        <v>166</v>
      </c>
      <c r="R120" s="27"/>
      <c r="S120" s="28" t="str">
        <f t="shared" si="78"/>
        <v/>
      </c>
      <c r="T120" s="29">
        <v>55565</v>
      </c>
      <c r="U120" s="28">
        <f t="shared" si="79"/>
        <v>616</v>
      </c>
      <c r="V120" s="27">
        <v>10466</v>
      </c>
      <c r="W120" s="28">
        <f t="shared" si="80"/>
        <v>115</v>
      </c>
      <c r="X120" s="27"/>
      <c r="Y120" s="28"/>
      <c r="Z120" s="27"/>
      <c r="AA120" s="28"/>
      <c r="AB120" s="27">
        <v>6118</v>
      </c>
      <c r="AC120" s="28">
        <f t="shared" si="81"/>
        <v>91</v>
      </c>
      <c r="AD120" s="27">
        <v>5980</v>
      </c>
      <c r="AE120" s="28">
        <f t="shared" si="82"/>
        <v>83</v>
      </c>
      <c r="AF120" s="27"/>
      <c r="AG120" s="28" t="str">
        <f t="shared" si="88"/>
        <v/>
      </c>
      <c r="AH120" s="27"/>
      <c r="AI120" s="28" t="str">
        <f t="shared" si="89"/>
        <v/>
      </c>
      <c r="AJ120" s="27"/>
      <c r="AK120" s="28" t="str">
        <f t="shared" si="90"/>
        <v/>
      </c>
      <c r="AL120" s="27"/>
      <c r="AM120" s="28" t="str">
        <f t="shared" si="91"/>
        <v/>
      </c>
      <c r="AN120" s="24">
        <f t="shared" si="83"/>
        <v>441</v>
      </c>
      <c r="AO120" s="24">
        <f t="shared" si="92"/>
        <v>198</v>
      </c>
      <c r="AP120" s="24">
        <f t="shared" si="84"/>
        <v>730</v>
      </c>
      <c r="AQ120" s="25">
        <f t="shared" si="85"/>
        <v>2312</v>
      </c>
      <c r="AR120" s="25">
        <f t="shared" si="86"/>
        <v>418</v>
      </c>
      <c r="AS120" s="25">
        <f t="shared" si="87"/>
        <v>2639</v>
      </c>
    </row>
    <row r="121" spans="2:45" x14ac:dyDescent="0.3">
      <c r="B121" s="9" t="s">
        <v>71</v>
      </c>
      <c r="C121" s="33">
        <v>45949</v>
      </c>
      <c r="D121" s="27">
        <v>119619</v>
      </c>
      <c r="E121" s="28">
        <f t="shared" si="71"/>
        <v>2058</v>
      </c>
      <c r="F121" s="27"/>
      <c r="G121" s="28" t="str">
        <f t="shared" si="72"/>
        <v/>
      </c>
      <c r="H121" s="27"/>
      <c r="I121" s="28" t="str">
        <f t="shared" si="73"/>
        <v/>
      </c>
      <c r="J121" s="27"/>
      <c r="K121" s="28" t="str">
        <f t="shared" si="74"/>
        <v/>
      </c>
      <c r="L121" s="27"/>
      <c r="M121" s="28" t="str">
        <f t="shared" si="75"/>
        <v/>
      </c>
      <c r="N121" s="27">
        <v>29083</v>
      </c>
      <c r="O121" s="28">
        <f t="shared" si="76"/>
        <v>222</v>
      </c>
      <c r="P121" s="27">
        <v>10450</v>
      </c>
      <c r="Q121" s="28">
        <f t="shared" si="77"/>
        <v>138</v>
      </c>
      <c r="R121" s="27"/>
      <c r="S121" s="28" t="str">
        <f t="shared" si="78"/>
        <v/>
      </c>
      <c r="T121" s="29">
        <v>56181</v>
      </c>
      <c r="U121" s="28">
        <f t="shared" si="79"/>
        <v>471</v>
      </c>
      <c r="V121" s="27">
        <v>10581</v>
      </c>
      <c r="W121" s="28">
        <f t="shared" si="80"/>
        <v>89</v>
      </c>
      <c r="X121" s="27"/>
      <c r="Y121" s="28"/>
      <c r="Z121" s="27"/>
      <c r="AA121" s="28"/>
      <c r="AB121" s="27">
        <v>6209</v>
      </c>
      <c r="AC121" s="28">
        <f t="shared" si="81"/>
        <v>98</v>
      </c>
      <c r="AD121" s="27">
        <v>6063</v>
      </c>
      <c r="AE121" s="28">
        <f t="shared" si="82"/>
        <v>87</v>
      </c>
      <c r="AF121" s="27"/>
      <c r="AG121" s="28" t="str">
        <f t="shared" si="88"/>
        <v/>
      </c>
      <c r="AH121" s="27"/>
      <c r="AI121" s="28" t="str">
        <f t="shared" si="89"/>
        <v/>
      </c>
      <c r="AJ121" s="27"/>
      <c r="AK121" s="28" t="str">
        <f t="shared" si="90"/>
        <v/>
      </c>
      <c r="AL121" s="27"/>
      <c r="AM121" s="28" t="str">
        <f t="shared" si="91"/>
        <v/>
      </c>
      <c r="AN121" s="24">
        <f t="shared" si="83"/>
        <v>360</v>
      </c>
      <c r="AO121" s="24">
        <f t="shared" si="92"/>
        <v>176</v>
      </c>
      <c r="AP121" s="24">
        <f t="shared" si="84"/>
        <v>634</v>
      </c>
      <c r="AQ121" s="25">
        <f t="shared" si="85"/>
        <v>1698</v>
      </c>
      <c r="AR121" s="25">
        <f t="shared" si="86"/>
        <v>295</v>
      </c>
      <c r="AS121" s="25">
        <f t="shared" si="87"/>
        <v>1895</v>
      </c>
    </row>
    <row r="122" spans="2:45" x14ac:dyDescent="0.3">
      <c r="B122" s="9" t="s">
        <v>72</v>
      </c>
      <c r="C122" s="33">
        <v>45950</v>
      </c>
      <c r="D122" s="27">
        <v>121677</v>
      </c>
      <c r="E122" s="28">
        <f t="shared" si="71"/>
        <v>3125</v>
      </c>
      <c r="F122" s="27"/>
      <c r="G122" s="28" t="str">
        <f t="shared" si="72"/>
        <v/>
      </c>
      <c r="H122" s="27"/>
      <c r="I122" s="28" t="str">
        <f t="shared" si="73"/>
        <v/>
      </c>
      <c r="J122" s="27"/>
      <c r="K122" s="28" t="str">
        <f t="shared" si="74"/>
        <v/>
      </c>
      <c r="L122" s="27"/>
      <c r="M122" s="28" t="str">
        <f t="shared" si="75"/>
        <v/>
      </c>
      <c r="N122" s="27">
        <v>29305</v>
      </c>
      <c r="O122" s="28">
        <f t="shared" si="76"/>
        <v>347</v>
      </c>
      <c r="P122" s="27">
        <v>10588</v>
      </c>
      <c r="Q122" s="28">
        <f t="shared" si="77"/>
        <v>177</v>
      </c>
      <c r="R122" s="27"/>
      <c r="S122" s="28" t="str">
        <f t="shared" si="78"/>
        <v/>
      </c>
      <c r="T122" s="29">
        <v>56652</v>
      </c>
      <c r="U122" s="28">
        <f t="shared" si="79"/>
        <v>598</v>
      </c>
      <c r="V122" s="27">
        <v>10670</v>
      </c>
      <c r="W122" s="28">
        <f t="shared" si="80"/>
        <v>119</v>
      </c>
      <c r="X122" s="27"/>
      <c r="Y122" s="28"/>
      <c r="Z122" s="27"/>
      <c r="AA122" s="28"/>
      <c r="AB122" s="27">
        <v>6307</v>
      </c>
      <c r="AC122" s="28">
        <f t="shared" si="81"/>
        <v>94</v>
      </c>
      <c r="AD122" s="27">
        <v>6150</v>
      </c>
      <c r="AE122" s="28">
        <f t="shared" si="82"/>
        <v>85</v>
      </c>
      <c r="AF122" s="27"/>
      <c r="AG122" s="28" t="str">
        <f t="shared" si="88"/>
        <v/>
      </c>
      <c r="AH122" s="27"/>
      <c r="AI122" s="28" t="s">
        <v>189</v>
      </c>
      <c r="AJ122" s="27"/>
      <c r="AK122" s="28" t="str">
        <f t="shared" si="90"/>
        <v/>
      </c>
      <c r="AL122" s="27"/>
      <c r="AM122" s="28" t="str">
        <f t="shared" si="91"/>
        <v/>
      </c>
      <c r="AN122" s="24">
        <f t="shared" si="83"/>
        <v>524</v>
      </c>
      <c r="AO122" s="24">
        <f t="shared" si="92"/>
        <v>204</v>
      </c>
      <c r="AP122" s="24">
        <f t="shared" si="84"/>
        <v>822</v>
      </c>
      <c r="AQ122" s="25">
        <f t="shared" si="85"/>
        <v>2601</v>
      </c>
      <c r="AR122" s="25">
        <f t="shared" si="86"/>
        <v>394</v>
      </c>
      <c r="AS122" s="25">
        <f t="shared" si="87"/>
        <v>2901</v>
      </c>
    </row>
    <row r="123" spans="2:45" x14ac:dyDescent="0.3">
      <c r="B123" s="9" t="s">
        <v>66</v>
      </c>
      <c r="C123" s="33">
        <v>45951</v>
      </c>
      <c r="D123" s="27">
        <v>124802</v>
      </c>
      <c r="E123" s="28">
        <f t="shared" si="71"/>
        <v>2253</v>
      </c>
      <c r="F123" s="27"/>
      <c r="G123" s="28" t="str">
        <f t="shared" si="72"/>
        <v/>
      </c>
      <c r="H123" s="27"/>
      <c r="I123" s="28" t="str">
        <f t="shared" si="73"/>
        <v/>
      </c>
      <c r="J123" s="27"/>
      <c r="K123" s="28" t="str">
        <f t="shared" si="74"/>
        <v/>
      </c>
      <c r="L123" s="27"/>
      <c r="M123" s="28" t="str">
        <f t="shared" si="75"/>
        <v/>
      </c>
      <c r="N123" s="27">
        <v>29652</v>
      </c>
      <c r="O123" s="28">
        <f t="shared" si="76"/>
        <v>119</v>
      </c>
      <c r="P123" s="27">
        <v>10765</v>
      </c>
      <c r="Q123" s="28">
        <f t="shared" si="77"/>
        <v>160</v>
      </c>
      <c r="R123" s="27"/>
      <c r="S123" s="28" t="str">
        <f t="shared" si="78"/>
        <v/>
      </c>
      <c r="T123" s="29">
        <v>57250</v>
      </c>
      <c r="U123" s="28">
        <f t="shared" si="79"/>
        <v>509</v>
      </c>
      <c r="V123" s="27">
        <v>10789</v>
      </c>
      <c r="W123" s="28">
        <f t="shared" si="80"/>
        <v>122</v>
      </c>
      <c r="X123" s="27"/>
      <c r="Y123" s="28"/>
      <c r="Z123" s="27"/>
      <c r="AA123" s="28"/>
      <c r="AB123" s="27">
        <v>6401</v>
      </c>
      <c r="AC123" s="28">
        <f t="shared" si="81"/>
        <v>89</v>
      </c>
      <c r="AD123" s="27">
        <v>6235</v>
      </c>
      <c r="AE123" s="28">
        <f t="shared" si="82"/>
        <v>85</v>
      </c>
      <c r="AF123" s="27"/>
      <c r="AG123" s="28" t="str">
        <f t="shared" si="88"/>
        <v/>
      </c>
      <c r="AH123" s="27"/>
      <c r="AI123" s="28" t="str">
        <f t="shared" si="89"/>
        <v/>
      </c>
      <c r="AJ123" s="27"/>
      <c r="AK123" s="28" t="str">
        <f t="shared" si="90"/>
        <v/>
      </c>
      <c r="AL123" s="27"/>
      <c r="AM123" s="28" t="str">
        <f t="shared" si="91"/>
        <v/>
      </c>
      <c r="AN123" s="24">
        <f t="shared" si="83"/>
        <v>279</v>
      </c>
      <c r="AO123" s="24">
        <f t="shared" si="92"/>
        <v>207</v>
      </c>
      <c r="AP123" s="24">
        <f t="shared" si="84"/>
        <v>575</v>
      </c>
      <c r="AQ123" s="25">
        <f t="shared" si="85"/>
        <v>1974</v>
      </c>
      <c r="AR123" s="25">
        <f t="shared" si="86"/>
        <v>302</v>
      </c>
      <c r="AS123" s="25">
        <f t="shared" si="87"/>
        <v>2187</v>
      </c>
    </row>
    <row r="124" spans="2:45" x14ac:dyDescent="0.3">
      <c r="B124" s="9" t="s">
        <v>67</v>
      </c>
      <c r="C124" s="33">
        <v>45952</v>
      </c>
      <c r="D124" s="27">
        <v>127055</v>
      </c>
      <c r="E124" s="28">
        <f t="shared" si="71"/>
        <v>2723</v>
      </c>
      <c r="F124" s="27"/>
      <c r="G124" s="28" t="str">
        <f t="shared" si="72"/>
        <v/>
      </c>
      <c r="H124" s="27"/>
      <c r="I124" s="28" t="str">
        <f t="shared" si="73"/>
        <v/>
      </c>
      <c r="J124" s="27"/>
      <c r="K124" s="28" t="str">
        <f t="shared" si="74"/>
        <v/>
      </c>
      <c r="L124" s="27"/>
      <c r="M124" s="28" t="str">
        <f t="shared" si="75"/>
        <v/>
      </c>
      <c r="N124" s="27">
        <v>29771</v>
      </c>
      <c r="O124" s="28">
        <f t="shared" si="76"/>
        <v>272</v>
      </c>
      <c r="P124" s="27">
        <v>10925</v>
      </c>
      <c r="Q124" s="28">
        <f t="shared" si="77"/>
        <v>184</v>
      </c>
      <c r="R124" s="27"/>
      <c r="S124" s="28" t="str">
        <f t="shared" si="78"/>
        <v/>
      </c>
      <c r="T124" s="29">
        <v>57759</v>
      </c>
      <c r="U124" s="28">
        <f t="shared" si="79"/>
        <v>676</v>
      </c>
      <c r="V124" s="27">
        <v>10911</v>
      </c>
      <c r="W124" s="28">
        <f t="shared" si="80"/>
        <v>117</v>
      </c>
      <c r="X124" s="27"/>
      <c r="Y124" s="28"/>
      <c r="Z124" s="27"/>
      <c r="AA124" s="28"/>
      <c r="AB124" s="27">
        <v>6490</v>
      </c>
      <c r="AC124" s="28">
        <f t="shared" si="81"/>
        <v>124</v>
      </c>
      <c r="AD124" s="27">
        <v>6320</v>
      </c>
      <c r="AE124" s="28">
        <f t="shared" si="82"/>
        <v>108</v>
      </c>
      <c r="AF124" s="27"/>
      <c r="AG124" s="28" t="str">
        <f t="shared" si="88"/>
        <v/>
      </c>
      <c r="AH124" s="27"/>
      <c r="AI124" s="28" t="str">
        <f t="shared" si="89"/>
        <v/>
      </c>
      <c r="AJ124" s="27"/>
      <c r="AK124" s="28" t="str">
        <f t="shared" si="90"/>
        <v/>
      </c>
      <c r="AL124" s="27"/>
      <c r="AM124" s="28" t="str">
        <f t="shared" si="91"/>
        <v/>
      </c>
      <c r="AN124" s="24">
        <f t="shared" si="83"/>
        <v>456</v>
      </c>
      <c r="AO124" s="24">
        <f t="shared" si="92"/>
        <v>225</v>
      </c>
      <c r="AP124" s="24">
        <f t="shared" si="84"/>
        <v>805</v>
      </c>
      <c r="AQ124" s="25">
        <f t="shared" si="85"/>
        <v>2267</v>
      </c>
      <c r="AR124" s="25">
        <f t="shared" si="86"/>
        <v>451</v>
      </c>
      <c r="AS124" s="25">
        <f t="shared" si="87"/>
        <v>2594</v>
      </c>
    </row>
    <row r="125" spans="2:45" x14ac:dyDescent="0.3">
      <c r="B125" s="9" t="s">
        <v>68</v>
      </c>
      <c r="C125" s="33">
        <v>45953</v>
      </c>
      <c r="D125" s="27">
        <v>129778</v>
      </c>
      <c r="E125" s="28">
        <f t="shared" si="71"/>
        <v>2849</v>
      </c>
      <c r="F125" s="27"/>
      <c r="G125" s="28" t="str">
        <f t="shared" si="72"/>
        <v/>
      </c>
      <c r="H125" s="27"/>
      <c r="I125" s="28" t="str">
        <f t="shared" si="73"/>
        <v/>
      </c>
      <c r="J125" s="27"/>
      <c r="K125" s="28" t="str">
        <f t="shared" si="74"/>
        <v/>
      </c>
      <c r="L125" s="27"/>
      <c r="M125" s="28" t="str">
        <f t="shared" si="75"/>
        <v/>
      </c>
      <c r="N125" s="27">
        <v>30043</v>
      </c>
      <c r="O125" s="28">
        <f t="shared" si="76"/>
        <v>277</v>
      </c>
      <c r="P125" s="27">
        <v>11109</v>
      </c>
      <c r="Q125" s="28">
        <f t="shared" si="77"/>
        <v>184</v>
      </c>
      <c r="R125" s="27"/>
      <c r="S125" s="28" t="str">
        <f t="shared" si="78"/>
        <v/>
      </c>
      <c r="T125" s="29">
        <v>58435</v>
      </c>
      <c r="U125" s="28">
        <f t="shared" si="79"/>
        <v>629</v>
      </c>
      <c r="V125" s="27">
        <v>11028</v>
      </c>
      <c r="W125" s="28">
        <f t="shared" si="80"/>
        <v>130</v>
      </c>
      <c r="X125" s="27"/>
      <c r="Y125" s="28"/>
      <c r="Z125" s="27"/>
      <c r="AA125" s="28"/>
      <c r="AB125" s="27">
        <v>6614</v>
      </c>
      <c r="AC125" s="28">
        <f t="shared" si="81"/>
        <v>108</v>
      </c>
      <c r="AD125" s="27">
        <v>6428</v>
      </c>
      <c r="AE125" s="28">
        <f t="shared" si="82"/>
        <v>121</v>
      </c>
      <c r="AF125" s="27"/>
      <c r="AG125" s="28" t="str">
        <f t="shared" si="88"/>
        <v/>
      </c>
      <c r="AH125" s="27"/>
      <c r="AI125" s="28" t="str">
        <f t="shared" si="89"/>
        <v/>
      </c>
      <c r="AJ125" s="27"/>
      <c r="AK125" s="28" t="str">
        <f t="shared" si="90"/>
        <v/>
      </c>
      <c r="AL125" s="27"/>
      <c r="AM125" s="28" t="str">
        <f t="shared" si="91"/>
        <v/>
      </c>
      <c r="AN125" s="24">
        <f t="shared" si="83"/>
        <v>461</v>
      </c>
      <c r="AO125" s="24">
        <f t="shared" si="92"/>
        <v>251</v>
      </c>
      <c r="AP125" s="24">
        <f t="shared" si="84"/>
        <v>820</v>
      </c>
      <c r="AQ125" s="25">
        <f t="shared" si="85"/>
        <v>2388</v>
      </c>
      <c r="AR125" s="25">
        <f t="shared" si="86"/>
        <v>378</v>
      </c>
      <c r="AS125" s="25">
        <f t="shared" si="87"/>
        <v>2658</v>
      </c>
    </row>
    <row r="126" spans="2:45" x14ac:dyDescent="0.3">
      <c r="B126" s="9" t="s">
        <v>69</v>
      </c>
      <c r="C126" s="33">
        <v>45954</v>
      </c>
      <c r="D126" s="27">
        <v>132627</v>
      </c>
      <c r="E126" s="28">
        <f t="shared" si="71"/>
        <v>2604</v>
      </c>
      <c r="F126" s="27"/>
      <c r="G126" s="28" t="str">
        <f t="shared" si="72"/>
        <v/>
      </c>
      <c r="H126" s="27"/>
      <c r="I126" s="28" t="str">
        <f t="shared" si="73"/>
        <v/>
      </c>
      <c r="J126" s="27"/>
      <c r="K126" s="28" t="str">
        <f t="shared" si="74"/>
        <v/>
      </c>
      <c r="L126" s="27"/>
      <c r="M126" s="28" t="str">
        <f t="shared" si="75"/>
        <v/>
      </c>
      <c r="N126" s="27">
        <v>30320</v>
      </c>
      <c r="O126" s="28">
        <f t="shared" si="76"/>
        <v>330</v>
      </c>
      <c r="P126" s="27">
        <v>11293</v>
      </c>
      <c r="Q126" s="28">
        <f t="shared" si="77"/>
        <v>178</v>
      </c>
      <c r="R126" s="27"/>
      <c r="S126" s="28" t="str">
        <f t="shared" si="78"/>
        <v/>
      </c>
      <c r="T126" s="29">
        <v>59064</v>
      </c>
      <c r="U126" s="28">
        <f t="shared" si="79"/>
        <v>684</v>
      </c>
      <c r="V126" s="27">
        <v>11158</v>
      </c>
      <c r="W126" s="28">
        <f t="shared" si="80"/>
        <v>125</v>
      </c>
      <c r="X126" s="27"/>
      <c r="Y126" s="28"/>
      <c r="Z126" s="27"/>
      <c r="AA126" s="28"/>
      <c r="AB126" s="27">
        <v>6722</v>
      </c>
      <c r="AC126" s="28">
        <f t="shared" si="81"/>
        <v>114</v>
      </c>
      <c r="AD126" s="27">
        <v>6549</v>
      </c>
      <c r="AE126" s="28">
        <f t="shared" si="82"/>
        <v>109</v>
      </c>
      <c r="AF126" s="27"/>
      <c r="AG126" s="28" t="str">
        <f t="shared" si="88"/>
        <v/>
      </c>
      <c r="AH126" s="27"/>
      <c r="AI126" s="28" t="str">
        <f t="shared" si="89"/>
        <v/>
      </c>
      <c r="AJ126" s="27"/>
      <c r="AK126" s="28" t="str">
        <f t="shared" si="90"/>
        <v/>
      </c>
      <c r="AL126" s="27"/>
      <c r="AM126" s="28" t="str">
        <f t="shared" si="91"/>
        <v/>
      </c>
      <c r="AN126" s="24">
        <f t="shared" si="83"/>
        <v>508</v>
      </c>
      <c r="AO126" s="24">
        <f t="shared" si="92"/>
        <v>234</v>
      </c>
      <c r="AP126" s="24">
        <f t="shared" si="84"/>
        <v>856</v>
      </c>
      <c r="AQ126" s="25">
        <f t="shared" si="85"/>
        <v>2096</v>
      </c>
      <c r="AR126" s="25">
        <f t="shared" si="86"/>
        <v>450</v>
      </c>
      <c r="AS126" s="25">
        <f t="shared" si="87"/>
        <v>2432</v>
      </c>
    </row>
    <row r="127" spans="2:45" x14ac:dyDescent="0.3">
      <c r="B127" s="9" t="s">
        <v>70</v>
      </c>
      <c r="C127" s="33">
        <v>45955</v>
      </c>
      <c r="D127" s="27">
        <v>135231</v>
      </c>
      <c r="E127" s="28">
        <f t="shared" si="71"/>
        <v>2532</v>
      </c>
      <c r="F127" s="27"/>
      <c r="G127" s="28" t="str">
        <f t="shared" si="72"/>
        <v/>
      </c>
      <c r="H127" s="27"/>
      <c r="I127" s="28" t="str">
        <f t="shared" si="73"/>
        <v/>
      </c>
      <c r="J127" s="27"/>
      <c r="K127" s="28" t="str">
        <f t="shared" si="74"/>
        <v/>
      </c>
      <c r="L127" s="27"/>
      <c r="M127" s="28" t="str">
        <f t="shared" si="75"/>
        <v/>
      </c>
      <c r="N127" s="27">
        <v>30650</v>
      </c>
      <c r="O127" s="28">
        <f t="shared" si="76"/>
        <v>284</v>
      </c>
      <c r="P127" s="27">
        <v>11471</v>
      </c>
      <c r="Q127" s="28">
        <f t="shared" si="77"/>
        <v>177</v>
      </c>
      <c r="R127" s="27"/>
      <c r="S127" s="28" t="str">
        <f t="shared" si="78"/>
        <v/>
      </c>
      <c r="T127" s="29">
        <v>59748</v>
      </c>
      <c r="U127" s="28">
        <f t="shared" si="79"/>
        <v>614</v>
      </c>
      <c r="V127" s="27">
        <v>11283</v>
      </c>
      <c r="W127" s="28">
        <f t="shared" si="80"/>
        <v>114</v>
      </c>
      <c r="X127" s="27"/>
      <c r="Y127" s="28"/>
      <c r="Z127" s="27"/>
      <c r="AA127" s="28"/>
      <c r="AB127" s="27">
        <v>6836</v>
      </c>
      <c r="AC127" s="28">
        <f t="shared" si="81"/>
        <v>116</v>
      </c>
      <c r="AD127" s="27">
        <v>6658</v>
      </c>
      <c r="AE127" s="28">
        <f t="shared" si="82"/>
        <v>102</v>
      </c>
      <c r="AF127" s="27"/>
      <c r="AG127" s="28" t="str">
        <f t="shared" si="88"/>
        <v/>
      </c>
      <c r="AH127" s="27"/>
      <c r="AI127" s="28" t="str">
        <f t="shared" si="89"/>
        <v/>
      </c>
      <c r="AJ127" s="27"/>
      <c r="AK127" s="28" t="str">
        <f t="shared" si="90"/>
        <v/>
      </c>
      <c r="AL127" s="27"/>
      <c r="AM127" s="28" t="str">
        <f t="shared" si="91"/>
        <v/>
      </c>
      <c r="AN127" s="24">
        <f t="shared" si="83"/>
        <v>461</v>
      </c>
      <c r="AO127" s="24">
        <f t="shared" si="92"/>
        <v>216</v>
      </c>
      <c r="AP127" s="24">
        <f t="shared" si="84"/>
        <v>793</v>
      </c>
      <c r="AQ127" s="25">
        <f t="shared" si="85"/>
        <v>2071</v>
      </c>
      <c r="AR127" s="25">
        <f t="shared" si="86"/>
        <v>398</v>
      </c>
      <c r="AS127" s="25">
        <f t="shared" si="87"/>
        <v>2353</v>
      </c>
    </row>
    <row r="128" spans="2:45" x14ac:dyDescent="0.3">
      <c r="B128" s="9" t="s">
        <v>71</v>
      </c>
      <c r="C128" s="33">
        <v>45956</v>
      </c>
      <c r="D128" s="27">
        <v>137763</v>
      </c>
      <c r="E128" s="28">
        <f t="shared" si="71"/>
        <v>42</v>
      </c>
      <c r="F128" s="27"/>
      <c r="G128" s="28" t="str">
        <f t="shared" si="72"/>
        <v/>
      </c>
      <c r="H128" s="27"/>
      <c r="I128" s="28" t="str">
        <f t="shared" si="73"/>
        <v/>
      </c>
      <c r="J128" s="27"/>
      <c r="K128" s="28" t="str">
        <f t="shared" si="74"/>
        <v/>
      </c>
      <c r="L128" s="27"/>
      <c r="M128" s="28" t="str">
        <f t="shared" si="75"/>
        <v/>
      </c>
      <c r="N128" s="27">
        <v>30934</v>
      </c>
      <c r="O128" s="28">
        <f t="shared" si="76"/>
        <v>0</v>
      </c>
      <c r="P128" s="27">
        <v>11648</v>
      </c>
      <c r="Q128" s="28">
        <f t="shared" si="77"/>
        <v>7</v>
      </c>
      <c r="R128" s="27"/>
      <c r="S128" s="28" t="str">
        <f t="shared" si="78"/>
        <v/>
      </c>
      <c r="T128" s="29">
        <v>60362</v>
      </c>
      <c r="U128" s="28">
        <f t="shared" si="79"/>
        <v>21</v>
      </c>
      <c r="V128" s="27">
        <v>11397</v>
      </c>
      <c r="W128" s="28">
        <f t="shared" si="80"/>
        <v>0</v>
      </c>
      <c r="X128" s="27"/>
      <c r="Y128" s="28"/>
      <c r="Z128" s="27"/>
      <c r="AA128" s="28"/>
      <c r="AB128" s="27">
        <v>6952</v>
      </c>
      <c r="AC128" s="28">
        <f t="shared" si="81"/>
        <v>0</v>
      </c>
      <c r="AD128" s="27">
        <v>6760</v>
      </c>
      <c r="AE128" s="28">
        <f t="shared" si="82"/>
        <v>4</v>
      </c>
      <c r="AF128" s="27"/>
      <c r="AG128" s="28" t="str">
        <f t="shared" si="88"/>
        <v/>
      </c>
      <c r="AH128" s="27"/>
      <c r="AI128" s="28" t="str">
        <f t="shared" si="89"/>
        <v/>
      </c>
      <c r="AJ128" s="27"/>
      <c r="AK128" s="28" t="str">
        <f t="shared" si="90"/>
        <v/>
      </c>
      <c r="AL128" s="27"/>
      <c r="AM128" s="28" t="str">
        <f t="shared" si="91"/>
        <v/>
      </c>
      <c r="AN128" s="24">
        <f t="shared" si="83"/>
        <v>7</v>
      </c>
      <c r="AO128" s="24">
        <f t="shared" si="92"/>
        <v>4</v>
      </c>
      <c r="AP128" s="24">
        <f t="shared" si="84"/>
        <v>11</v>
      </c>
      <c r="AQ128" s="25">
        <f t="shared" si="85"/>
        <v>35</v>
      </c>
      <c r="AR128" s="25">
        <f t="shared" si="86"/>
        <v>17</v>
      </c>
      <c r="AS128" s="25">
        <f t="shared" si="87"/>
        <v>52</v>
      </c>
    </row>
    <row r="129" spans="2:45" x14ac:dyDescent="0.3">
      <c r="B129" s="9" t="s">
        <v>72</v>
      </c>
      <c r="C129" s="33">
        <v>45957</v>
      </c>
      <c r="D129" s="27">
        <v>137805</v>
      </c>
      <c r="E129" s="28">
        <f t="shared" si="71"/>
        <v>2578</v>
      </c>
      <c r="F129" s="27"/>
      <c r="G129" s="28" t="str">
        <f t="shared" si="72"/>
        <v/>
      </c>
      <c r="H129" s="27"/>
      <c r="I129" s="28" t="str">
        <f t="shared" si="73"/>
        <v/>
      </c>
      <c r="J129" s="27"/>
      <c r="K129" s="28" t="str">
        <f t="shared" si="74"/>
        <v/>
      </c>
      <c r="L129" s="27"/>
      <c r="M129" s="28" t="str">
        <f t="shared" si="75"/>
        <v/>
      </c>
      <c r="N129" s="27">
        <v>30934</v>
      </c>
      <c r="O129" s="28">
        <f t="shared" si="76"/>
        <v>330</v>
      </c>
      <c r="P129" s="27">
        <v>11655</v>
      </c>
      <c r="Q129" s="28">
        <f t="shared" si="77"/>
        <v>184</v>
      </c>
      <c r="R129" s="27"/>
      <c r="S129" s="28" t="str">
        <f t="shared" si="78"/>
        <v/>
      </c>
      <c r="T129" s="29">
        <v>60383</v>
      </c>
      <c r="U129" s="28">
        <f t="shared" si="79"/>
        <v>754</v>
      </c>
      <c r="V129" s="27">
        <v>11397</v>
      </c>
      <c r="W129" s="28">
        <f t="shared" si="80"/>
        <v>112</v>
      </c>
      <c r="X129" s="27"/>
      <c r="Y129" s="28"/>
      <c r="Z129" s="27"/>
      <c r="AA129" s="28"/>
      <c r="AB129" s="27">
        <v>6952</v>
      </c>
      <c r="AC129" s="28">
        <f t="shared" si="81"/>
        <v>204</v>
      </c>
      <c r="AD129" s="27">
        <v>6764</v>
      </c>
      <c r="AE129" s="28">
        <f t="shared" si="82"/>
        <v>188</v>
      </c>
      <c r="AF129" s="27"/>
      <c r="AG129" s="28" t="str">
        <f t="shared" si="88"/>
        <v/>
      </c>
      <c r="AH129" s="27"/>
      <c r="AI129" s="28" t="str">
        <f t="shared" si="89"/>
        <v/>
      </c>
      <c r="AJ129" s="27"/>
      <c r="AK129" s="28" t="str">
        <f t="shared" si="90"/>
        <v/>
      </c>
      <c r="AL129" s="27"/>
      <c r="AM129" s="28" t="str">
        <f t="shared" si="91"/>
        <v/>
      </c>
      <c r="AN129" s="24">
        <f t="shared" si="83"/>
        <v>514</v>
      </c>
      <c r="AO129" s="24">
        <f t="shared" si="92"/>
        <v>300</v>
      </c>
      <c r="AP129" s="24">
        <f t="shared" si="84"/>
        <v>1018</v>
      </c>
      <c r="AQ129" s="25">
        <f t="shared" si="85"/>
        <v>2064</v>
      </c>
      <c r="AR129" s="25">
        <f t="shared" si="86"/>
        <v>454</v>
      </c>
      <c r="AS129" s="25">
        <f t="shared" si="87"/>
        <v>2314</v>
      </c>
    </row>
    <row r="130" spans="2:45" x14ac:dyDescent="0.3">
      <c r="B130" s="9" t="s">
        <v>66</v>
      </c>
      <c r="C130" s="33">
        <v>45958</v>
      </c>
      <c r="D130" s="27">
        <v>140383</v>
      </c>
      <c r="E130" s="28">
        <f t="shared" si="71"/>
        <v>2613</v>
      </c>
      <c r="F130" s="27"/>
      <c r="G130" s="28" t="str">
        <f t="shared" si="72"/>
        <v/>
      </c>
      <c r="H130" s="27"/>
      <c r="I130" s="28" t="str">
        <f t="shared" si="73"/>
        <v/>
      </c>
      <c r="J130" s="27"/>
      <c r="K130" s="28" t="str">
        <f t="shared" si="74"/>
        <v/>
      </c>
      <c r="L130" s="27"/>
      <c r="M130" s="28" t="str">
        <f t="shared" si="75"/>
        <v/>
      </c>
      <c r="N130" s="27">
        <v>31264</v>
      </c>
      <c r="O130" s="28">
        <f t="shared" si="76"/>
        <v>245</v>
      </c>
      <c r="P130" s="27">
        <v>11839</v>
      </c>
      <c r="Q130" s="28">
        <f t="shared" si="77"/>
        <v>170</v>
      </c>
      <c r="R130" s="27"/>
      <c r="S130" s="28" t="str">
        <f t="shared" si="78"/>
        <v/>
      </c>
      <c r="T130" s="29">
        <v>61137</v>
      </c>
      <c r="U130" s="28">
        <f t="shared" si="79"/>
        <v>710</v>
      </c>
      <c r="V130" s="27">
        <v>11509</v>
      </c>
      <c r="W130" s="28">
        <f t="shared" si="80"/>
        <v>119</v>
      </c>
      <c r="X130" s="27"/>
      <c r="Y130" s="28"/>
      <c r="Z130" s="27"/>
      <c r="AA130" s="28"/>
      <c r="AB130" s="27">
        <v>7156</v>
      </c>
      <c r="AC130" s="28">
        <f t="shared" si="81"/>
        <v>182</v>
      </c>
      <c r="AD130" s="27">
        <v>6952</v>
      </c>
      <c r="AE130" s="28">
        <f t="shared" si="82"/>
        <v>174</v>
      </c>
      <c r="AF130" s="27"/>
      <c r="AG130" s="28" t="str">
        <f t="shared" si="88"/>
        <v/>
      </c>
      <c r="AH130" s="27"/>
      <c r="AI130" s="28" t="str">
        <f t="shared" si="89"/>
        <v/>
      </c>
      <c r="AJ130" s="27"/>
      <c r="AK130" s="28" t="str">
        <f t="shared" si="90"/>
        <v/>
      </c>
      <c r="AL130" s="27"/>
      <c r="AM130" s="28" t="str">
        <f t="shared" si="91"/>
        <v/>
      </c>
      <c r="AN130" s="24">
        <f t="shared" si="83"/>
        <v>415</v>
      </c>
      <c r="AO130" s="24">
        <f t="shared" si="92"/>
        <v>293</v>
      </c>
      <c r="AP130" s="24">
        <f t="shared" si="84"/>
        <v>890</v>
      </c>
      <c r="AQ130" s="25">
        <f t="shared" si="85"/>
        <v>2198</v>
      </c>
      <c r="AR130" s="25">
        <f t="shared" si="86"/>
        <v>417</v>
      </c>
      <c r="AS130" s="25">
        <f t="shared" si="87"/>
        <v>2433</v>
      </c>
    </row>
    <row r="131" spans="2:45" x14ac:dyDescent="0.3">
      <c r="B131" s="9" t="s">
        <v>67</v>
      </c>
      <c r="C131" s="33">
        <v>45959</v>
      </c>
      <c r="D131" s="27">
        <v>142996</v>
      </c>
      <c r="E131" s="28">
        <f t="shared" si="71"/>
        <v>2479</v>
      </c>
      <c r="F131" s="27"/>
      <c r="G131" s="28" t="str">
        <f t="shared" si="72"/>
        <v/>
      </c>
      <c r="H131" s="27"/>
      <c r="I131" s="28" t="str">
        <f t="shared" si="73"/>
        <v/>
      </c>
      <c r="J131" s="27"/>
      <c r="K131" s="28" t="str">
        <f t="shared" si="74"/>
        <v/>
      </c>
      <c r="L131" s="27"/>
      <c r="M131" s="28" t="str">
        <f t="shared" si="75"/>
        <v/>
      </c>
      <c r="N131" s="27">
        <v>31509</v>
      </c>
      <c r="O131" s="28">
        <f t="shared" si="76"/>
        <v>273</v>
      </c>
      <c r="P131" s="27">
        <v>12009</v>
      </c>
      <c r="Q131" s="28">
        <f t="shared" si="77"/>
        <v>174</v>
      </c>
      <c r="R131" s="27"/>
      <c r="S131" s="28" t="str">
        <f t="shared" si="78"/>
        <v/>
      </c>
      <c r="T131" s="29">
        <v>61847</v>
      </c>
      <c r="U131" s="28">
        <f t="shared" si="79"/>
        <v>741</v>
      </c>
      <c r="V131" s="27">
        <v>11628</v>
      </c>
      <c r="W131" s="28">
        <f t="shared" si="80"/>
        <v>123</v>
      </c>
      <c r="X131" s="27"/>
      <c r="Y131" s="28"/>
      <c r="Z131" s="27"/>
      <c r="AA131" s="28"/>
      <c r="AB131" s="27">
        <v>7338</v>
      </c>
      <c r="AC131" s="28">
        <f t="shared" si="81"/>
        <v>205</v>
      </c>
      <c r="AD131" s="27">
        <v>7126</v>
      </c>
      <c r="AE131" s="28">
        <f t="shared" si="82"/>
        <v>204</v>
      </c>
      <c r="AF131" s="27"/>
      <c r="AG131" s="28" t="str">
        <f t="shared" si="88"/>
        <v/>
      </c>
      <c r="AH131" s="27"/>
      <c r="AI131" s="28" t="str">
        <f t="shared" si="89"/>
        <v/>
      </c>
      <c r="AJ131" s="27"/>
      <c r="AK131" s="28" t="str">
        <f t="shared" si="90"/>
        <v/>
      </c>
      <c r="AL131" s="27"/>
      <c r="AM131" s="28" t="str">
        <f t="shared" si="91"/>
        <v/>
      </c>
      <c r="AN131" s="24">
        <f t="shared" si="83"/>
        <v>447</v>
      </c>
      <c r="AO131" s="24">
        <f t="shared" si="92"/>
        <v>327</v>
      </c>
      <c r="AP131" s="24">
        <f t="shared" si="84"/>
        <v>979</v>
      </c>
      <c r="AQ131" s="25">
        <f t="shared" si="85"/>
        <v>2032</v>
      </c>
      <c r="AR131" s="25">
        <f t="shared" si="86"/>
        <v>414</v>
      </c>
      <c r="AS131" s="25">
        <f t="shared" si="87"/>
        <v>2241</v>
      </c>
    </row>
    <row r="132" spans="2:45" x14ac:dyDescent="0.3">
      <c r="B132" s="9" t="s">
        <v>68</v>
      </c>
      <c r="C132" s="33">
        <v>45960</v>
      </c>
      <c r="D132" s="27">
        <v>145475</v>
      </c>
      <c r="E132" s="28">
        <f t="shared" si="71"/>
        <v>2716</v>
      </c>
      <c r="F132" s="27"/>
      <c r="G132" s="28" t="str">
        <f t="shared" si="72"/>
        <v/>
      </c>
      <c r="H132" s="27"/>
      <c r="I132" s="28" t="str">
        <f t="shared" si="73"/>
        <v/>
      </c>
      <c r="J132" s="27"/>
      <c r="K132" s="28" t="str">
        <f t="shared" si="74"/>
        <v/>
      </c>
      <c r="L132" s="27"/>
      <c r="M132" s="28" t="str">
        <f t="shared" si="75"/>
        <v/>
      </c>
      <c r="N132" s="27">
        <v>31782</v>
      </c>
      <c r="O132" s="28">
        <f t="shared" si="76"/>
        <v>270</v>
      </c>
      <c r="P132" s="27">
        <v>12183</v>
      </c>
      <c r="Q132" s="28">
        <f t="shared" si="77"/>
        <v>185</v>
      </c>
      <c r="R132" s="27"/>
      <c r="S132" s="28" t="str">
        <f t="shared" si="78"/>
        <v/>
      </c>
      <c r="T132" s="29">
        <v>62588</v>
      </c>
      <c r="U132" s="28">
        <f t="shared" si="79"/>
        <v>685</v>
      </c>
      <c r="V132" s="27">
        <v>11751</v>
      </c>
      <c r="W132" s="28">
        <f t="shared" si="80"/>
        <v>121</v>
      </c>
      <c r="X132" s="27"/>
      <c r="Y132" s="28"/>
      <c r="Z132" s="27"/>
      <c r="AA132" s="28"/>
      <c r="AB132" s="27">
        <v>7543</v>
      </c>
      <c r="AC132" s="28">
        <f t="shared" si="81"/>
        <v>175</v>
      </c>
      <c r="AD132" s="27">
        <v>7330</v>
      </c>
      <c r="AE132" s="28">
        <f t="shared" si="82"/>
        <v>174</v>
      </c>
      <c r="AF132" s="27"/>
      <c r="AG132" s="28" t="str">
        <f t="shared" si="88"/>
        <v/>
      </c>
      <c r="AH132" s="27"/>
      <c r="AI132" s="28" t="str">
        <f t="shared" si="89"/>
        <v/>
      </c>
      <c r="AJ132" s="27"/>
      <c r="AK132" s="28" t="str">
        <f t="shared" si="90"/>
        <v/>
      </c>
      <c r="AL132" s="27"/>
      <c r="AM132" s="28" t="str">
        <f t="shared" si="91"/>
        <v/>
      </c>
      <c r="AN132" s="24">
        <f t="shared" si="83"/>
        <v>455</v>
      </c>
      <c r="AO132" s="24">
        <f t="shared" si="92"/>
        <v>295</v>
      </c>
      <c r="AP132" s="24">
        <f t="shared" si="84"/>
        <v>925</v>
      </c>
      <c r="AQ132" s="25">
        <f t="shared" si="85"/>
        <v>2261</v>
      </c>
      <c r="AR132" s="25">
        <f t="shared" si="86"/>
        <v>390</v>
      </c>
      <c r="AS132" s="25">
        <f t="shared" si="87"/>
        <v>2476</v>
      </c>
    </row>
    <row r="133" spans="2:45" x14ac:dyDescent="0.3">
      <c r="B133" s="9" t="s">
        <v>69</v>
      </c>
      <c r="C133" s="33">
        <v>45961</v>
      </c>
      <c r="D133" s="27">
        <v>148191</v>
      </c>
      <c r="E133" s="28">
        <f t="shared" si="71"/>
        <v>2395</v>
      </c>
      <c r="F133" s="27"/>
      <c r="G133" s="28" t="str">
        <f t="shared" si="72"/>
        <v/>
      </c>
      <c r="H133" s="27"/>
      <c r="I133" s="28" t="str">
        <f t="shared" si="73"/>
        <v/>
      </c>
      <c r="J133" s="27"/>
      <c r="K133" s="28" t="str">
        <f t="shared" si="74"/>
        <v/>
      </c>
      <c r="L133" s="27"/>
      <c r="M133" s="28" t="str">
        <f t="shared" si="75"/>
        <v/>
      </c>
      <c r="N133" s="27">
        <v>32052</v>
      </c>
      <c r="O133" s="28">
        <f t="shared" si="76"/>
        <v>268</v>
      </c>
      <c r="P133" s="27">
        <v>12368</v>
      </c>
      <c r="Q133" s="28">
        <f t="shared" si="77"/>
        <v>172</v>
      </c>
      <c r="R133" s="27"/>
      <c r="S133" s="28" t="str">
        <f t="shared" si="78"/>
        <v/>
      </c>
      <c r="T133" s="29">
        <v>63273</v>
      </c>
      <c r="U133" s="28">
        <f t="shared" si="79"/>
        <v>587</v>
      </c>
      <c r="V133" s="27">
        <v>11872</v>
      </c>
      <c r="W133" s="28">
        <f t="shared" si="80"/>
        <v>118</v>
      </c>
      <c r="X133" s="27"/>
      <c r="Y133" s="28"/>
      <c r="Z133" s="27"/>
      <c r="AA133" s="28"/>
      <c r="AB133" s="27">
        <v>7718</v>
      </c>
      <c r="AC133" s="28">
        <f t="shared" si="81"/>
        <v>115</v>
      </c>
      <c r="AD133" s="27">
        <v>7504</v>
      </c>
      <c r="AE133" s="28">
        <f t="shared" si="82"/>
        <v>109</v>
      </c>
      <c r="AF133" s="27"/>
      <c r="AG133" s="28" t="str">
        <f t="shared" si="88"/>
        <v/>
      </c>
      <c r="AH133" s="27"/>
      <c r="AI133" s="28" t="str">
        <f t="shared" si="89"/>
        <v/>
      </c>
      <c r="AJ133" s="27"/>
      <c r="AK133" s="28" t="str">
        <f t="shared" si="90"/>
        <v/>
      </c>
      <c r="AL133" s="27"/>
      <c r="AM133" s="28" t="str">
        <f t="shared" si="91"/>
        <v/>
      </c>
      <c r="AN133" s="24">
        <f>SUM(G133,I133,K133,M133,O133,Q133,S133)</f>
        <v>440</v>
      </c>
      <c r="AO133" s="24">
        <f>SUM(W133,Y133,AA133,AE133,AG133,AK133,AM133)</f>
        <v>227</v>
      </c>
      <c r="AP133" s="24">
        <f>SUM(G133,I133,K133,M133,O133,Q133,S133,W133,Y133,AA133,AC133,AE133,AG133,AI133,AK133,AM133)</f>
        <v>782</v>
      </c>
      <c r="AQ133" s="25">
        <f>E133-AN133</f>
        <v>1955</v>
      </c>
      <c r="AR133" s="25">
        <f>U133-AO133</f>
        <v>360</v>
      </c>
      <c r="AS133" s="25">
        <f>(E133+U133)-AP133</f>
        <v>2200</v>
      </c>
    </row>
    <row r="134" spans="2:45" x14ac:dyDescent="0.3">
      <c r="B134" s="9" t="s">
        <v>70</v>
      </c>
      <c r="C134" s="33">
        <v>45962</v>
      </c>
      <c r="D134" s="27">
        <v>150586</v>
      </c>
      <c r="E134" s="28" t="str">
        <f t="shared" si="71"/>
        <v/>
      </c>
      <c r="F134" s="27"/>
      <c r="G134" s="28" t="str">
        <f t="shared" si="72"/>
        <v/>
      </c>
      <c r="H134" s="27"/>
      <c r="I134" s="28" t="str">
        <f t="shared" si="73"/>
        <v/>
      </c>
      <c r="J134" s="27"/>
      <c r="K134" s="28" t="str">
        <f t="shared" si="74"/>
        <v/>
      </c>
      <c r="L134" s="27"/>
      <c r="M134" s="28" t="str">
        <f t="shared" si="75"/>
        <v/>
      </c>
      <c r="N134" s="27">
        <v>32320</v>
      </c>
      <c r="O134" s="28" t="str">
        <f t="shared" si="76"/>
        <v/>
      </c>
      <c r="P134" s="27">
        <v>12540</v>
      </c>
      <c r="Q134" s="28" t="str">
        <f t="shared" si="77"/>
        <v/>
      </c>
      <c r="R134" s="27"/>
      <c r="S134" s="28" t="str">
        <f t="shared" si="78"/>
        <v/>
      </c>
      <c r="T134" s="29">
        <v>63860</v>
      </c>
      <c r="U134" s="28" t="str">
        <f t="shared" si="79"/>
        <v/>
      </c>
      <c r="V134" s="27">
        <v>11990</v>
      </c>
      <c r="W134" s="28" t="str">
        <f t="shared" si="80"/>
        <v/>
      </c>
      <c r="X134" s="27"/>
      <c r="Y134" s="28"/>
      <c r="Z134" s="27"/>
      <c r="AA134" s="28"/>
      <c r="AB134" s="27">
        <v>7833</v>
      </c>
      <c r="AC134" s="28" t="str">
        <f t="shared" si="81"/>
        <v/>
      </c>
      <c r="AD134" s="27">
        <v>7613</v>
      </c>
      <c r="AE134" s="28" t="str">
        <f t="shared" si="82"/>
        <v/>
      </c>
      <c r="AF134" s="27"/>
      <c r="AG134" s="28" t="str">
        <f t="shared" si="88"/>
        <v/>
      </c>
      <c r="AH134" s="27"/>
      <c r="AI134" s="28" t="str">
        <f t="shared" si="89"/>
        <v/>
      </c>
      <c r="AJ134" s="27"/>
      <c r="AK134" s="28" t="str">
        <f t="shared" si="90"/>
        <v/>
      </c>
      <c r="AL134" s="27"/>
      <c r="AM134" s="28" t="str">
        <f t="shared" si="91"/>
        <v/>
      </c>
      <c r="AN134" s="24">
        <f>SUM(G134,I134,K134,M134,O134,Q134,S134)</f>
        <v>0</v>
      </c>
      <c r="AO134" s="24">
        <f>SUM(W134,Y134,AA134,AE134,AG134,AK134,AM134)</f>
        <v>0</v>
      </c>
      <c r="AP134" s="24">
        <f>SUM(G134,I134,K134,M134,O134,Q134,S134,W134,Y134,AA134,AC134,AE134,AG134,AI134,AK134,AM134)</f>
        <v>0</v>
      </c>
      <c r="AQ134" s="25" t="e">
        <f>E134-AN134</f>
        <v>#VALUE!</v>
      </c>
      <c r="AR134" s="25" t="e">
        <f>U134-AO134</f>
        <v>#VALUE!</v>
      </c>
      <c r="AS134" s="25" t="e">
        <f>(E134+U134)-AP134</f>
        <v>#VALUE!</v>
      </c>
    </row>
    <row r="135" spans="2:45" s="26" customFormat="1" ht="45" customHeight="1" x14ac:dyDescent="0.3">
      <c r="B135" s="190" t="s">
        <v>73</v>
      </c>
      <c r="C135" s="191"/>
      <c r="D135" s="21"/>
      <c r="E135" s="22">
        <f>SUM(E103:E133)</f>
        <v>68413</v>
      </c>
      <c r="F135" s="21"/>
      <c r="G135" s="22">
        <f>SUM(G103:G133)</f>
        <v>0</v>
      </c>
      <c r="H135" s="21"/>
      <c r="I135" s="22">
        <f>SUM(I103:I133)</f>
        <v>0</v>
      </c>
      <c r="J135" s="21"/>
      <c r="K135" s="22">
        <f>SUM(K103:K133)</f>
        <v>0</v>
      </c>
      <c r="L135" s="21"/>
      <c r="M135" s="22">
        <f>SUM(M103:M133)</f>
        <v>0</v>
      </c>
      <c r="N135" s="21"/>
      <c r="O135" s="22">
        <f>SUM(O103:O133)</f>
        <v>7007</v>
      </c>
      <c r="P135" s="21"/>
      <c r="Q135" s="22">
        <f>SUM(Q103:Q133)</f>
        <v>4496</v>
      </c>
      <c r="R135" s="21"/>
      <c r="S135" s="22">
        <f>SUM(S103:S133)</f>
        <v>0</v>
      </c>
      <c r="T135" s="23"/>
      <c r="U135" s="22">
        <f>SUM(U103:U133)</f>
        <v>17232</v>
      </c>
      <c r="V135" s="21"/>
      <c r="W135" s="22">
        <f>SUM(W103:W133)</f>
        <v>3150</v>
      </c>
      <c r="X135" s="21"/>
      <c r="Y135" s="22">
        <f>SUM(Y103:Y133)</f>
        <v>0</v>
      </c>
      <c r="Z135" s="21"/>
      <c r="AA135" s="22">
        <f>SUM(AA103:AA133)</f>
        <v>0</v>
      </c>
      <c r="AB135" s="21"/>
      <c r="AC135" s="22">
        <f>SUM(AC103:AC133)</f>
        <v>3009</v>
      </c>
      <c r="AD135" s="21"/>
      <c r="AE135" s="22">
        <f>SUM(AE103:AE133)</f>
        <v>2950</v>
      </c>
      <c r="AF135" s="21"/>
      <c r="AG135" s="22">
        <f>SUM(AG103:AG133)</f>
        <v>0</v>
      </c>
      <c r="AH135" s="21"/>
      <c r="AI135" s="22">
        <f>SUM(AI103:AI133)</f>
        <v>0</v>
      </c>
      <c r="AJ135" s="21"/>
      <c r="AK135" s="22">
        <f>SUM(AK103:AK133)</f>
        <v>0</v>
      </c>
      <c r="AL135" s="21"/>
      <c r="AM135" s="22">
        <f>SUM(AM103:AM133)</f>
        <v>0</v>
      </c>
      <c r="AN135" s="24">
        <f>SUM(G135,I135,K135,M135,O135,Q135,S135)</f>
        <v>11503</v>
      </c>
      <c r="AO135" s="24">
        <f>SUM(W135,Y135,AA135,AE135,AG135,AK135,AM135,AC135,AI135)</f>
        <v>9109</v>
      </c>
      <c r="AP135" s="24">
        <f>SUM(G135,I135,K135,M135,O135,Q135,S135,W135,Y135,AA135,AC135,AE135,AG135,AI135,AK135,AM135)</f>
        <v>20612</v>
      </c>
      <c r="AQ135" s="25">
        <f>E135-AN135</f>
        <v>56910</v>
      </c>
      <c r="AR135" s="25">
        <f>U135-AO135</f>
        <v>8123</v>
      </c>
      <c r="AS135" s="25">
        <f>(E135+U135)-AP135</f>
        <v>65033</v>
      </c>
    </row>
    <row r="136" spans="2:45" x14ac:dyDescent="0.3">
      <c r="B136" s="9" t="s">
        <v>70</v>
      </c>
      <c r="C136" s="33">
        <v>45962</v>
      </c>
      <c r="D136" s="27">
        <v>150586</v>
      </c>
      <c r="E136" s="28">
        <f>IF(D137&lt;&gt;"",D137-D136,"")</f>
        <v>1897</v>
      </c>
      <c r="F136" s="27"/>
      <c r="G136" s="28" t="str">
        <f>IF(F137&lt;&gt;"",F137-F136,"")</f>
        <v/>
      </c>
      <c r="H136" s="27"/>
      <c r="I136" s="28" t="str">
        <f>IF(H137&lt;&gt;"",H137-H136,"")</f>
        <v/>
      </c>
      <c r="J136" s="27"/>
      <c r="K136" s="28" t="str">
        <f>IF(J137&lt;&gt;"",J137-J136,"")</f>
        <v/>
      </c>
      <c r="L136" s="27"/>
      <c r="M136" s="28" t="str">
        <f>IF(L137&lt;&gt;"",L137-L136,"")</f>
        <v/>
      </c>
      <c r="N136" s="27">
        <v>32320</v>
      </c>
      <c r="O136" s="28">
        <f>IF(N137&lt;&gt;"",N137-N136,"")</f>
        <v>213</v>
      </c>
      <c r="P136" s="27">
        <v>12540</v>
      </c>
      <c r="Q136" s="28">
        <f>IF(P137&lt;&gt;"",P137-P136,"")</f>
        <v>129</v>
      </c>
      <c r="R136" s="27"/>
      <c r="S136" s="28" t="str">
        <f>IF(R137&lt;&gt;"",R137-R136,"")</f>
        <v/>
      </c>
      <c r="T136" s="29">
        <v>63860</v>
      </c>
      <c r="U136" s="28">
        <f>IF(T137&lt;&gt;"",T137-T136,"")</f>
        <v>539</v>
      </c>
      <c r="V136" s="27">
        <v>11990</v>
      </c>
      <c r="W136" s="28">
        <f>IF(V137&lt;&gt;"",V137-V136,"")</f>
        <v>95</v>
      </c>
      <c r="X136" s="27"/>
      <c r="Y136" s="28"/>
      <c r="Z136" s="27"/>
      <c r="AA136" s="28"/>
      <c r="AB136" s="27">
        <v>7833</v>
      </c>
      <c r="AC136" s="28">
        <f>IF(AB137&lt;&gt;"",AB137-AB136,"")</f>
        <v>0</v>
      </c>
      <c r="AD136" s="27">
        <v>7613</v>
      </c>
      <c r="AE136" s="28">
        <f>IF(AD137&lt;&gt;"",AD137-AD136,"")</f>
        <v>0</v>
      </c>
      <c r="AF136" s="27"/>
      <c r="AG136" s="28" t="str">
        <f>IF(AF137&lt;&gt;"",AF137-AF136,"")</f>
        <v/>
      </c>
      <c r="AH136" s="27"/>
      <c r="AI136" s="28" t="str">
        <f>IF(AH137&lt;&gt;"",AH137-AH136,"")</f>
        <v/>
      </c>
      <c r="AJ136" s="27"/>
      <c r="AK136" s="28" t="str">
        <f>IF(AJ137&lt;&gt;"",AJ137-AJ136,"")</f>
        <v/>
      </c>
      <c r="AL136" s="27"/>
      <c r="AM136" s="28" t="str">
        <f>IF(AL137&lt;&gt;"",AL137-AL136,"")</f>
        <v/>
      </c>
      <c r="AN136" s="24">
        <f>SUM(G136,I136,K136,M136,O136,Q136,S136)</f>
        <v>342</v>
      </c>
      <c r="AO136" s="24">
        <f>SUM(W136,Y136,AA136,AE136,AG136,AK136,AM136)</f>
        <v>95</v>
      </c>
      <c r="AP136" s="24">
        <f>SUM(G136,I136,K136,M136,O136,Q136,S136,W136,Y136,AA136,AC136,AE136,AG136,AI136,AK136,AM136)</f>
        <v>437</v>
      </c>
      <c r="AQ136" s="25">
        <f>E136-AN136</f>
        <v>1555</v>
      </c>
      <c r="AR136" s="25">
        <f>U136-AO136</f>
        <v>444</v>
      </c>
      <c r="AS136" s="25">
        <f>(E136+U136)-AP136</f>
        <v>1999</v>
      </c>
    </row>
    <row r="137" spans="2:45" x14ac:dyDescent="0.3">
      <c r="B137" s="9" t="s">
        <v>71</v>
      </c>
      <c r="C137" s="33">
        <v>45963</v>
      </c>
      <c r="D137" s="27">
        <v>152483</v>
      </c>
      <c r="E137" s="28">
        <f t="shared" ref="E137:E167" si="93">IF(D138&lt;&gt;"",D138-D137,"")</f>
        <v>4</v>
      </c>
      <c r="F137" s="27"/>
      <c r="G137" s="28" t="str">
        <f t="shared" ref="G137:G167" si="94">IF(F138&lt;&gt;"",F138-F137,"")</f>
        <v/>
      </c>
      <c r="H137" s="27"/>
      <c r="I137" s="28" t="str">
        <f t="shared" ref="I137:I167" si="95">IF(H138&lt;&gt;"",H138-H137,"")</f>
        <v/>
      </c>
      <c r="J137" s="27"/>
      <c r="K137" s="28" t="str">
        <f t="shared" ref="K137:K167" si="96">IF(J138&lt;&gt;"",J138-J137,"")</f>
        <v/>
      </c>
      <c r="L137" s="27"/>
      <c r="M137" s="28" t="str">
        <f t="shared" ref="M137:M167" si="97">IF(L138&lt;&gt;"",L138-L137,"")</f>
        <v/>
      </c>
      <c r="N137" s="27">
        <v>32533</v>
      </c>
      <c r="O137" s="28">
        <f t="shared" ref="O137:O167" si="98">IF(N138&lt;&gt;"",N138-N137,"")</f>
        <v>9</v>
      </c>
      <c r="P137" s="27">
        <v>12669</v>
      </c>
      <c r="Q137" s="28">
        <f t="shared" ref="Q137:Q167" si="99">IF(P138&lt;&gt;"",P138-P137,"")</f>
        <v>4</v>
      </c>
      <c r="R137" s="27"/>
      <c r="S137" s="28" t="str">
        <f t="shared" ref="S137:S167" si="100">IF(R138&lt;&gt;"",R138-R137,"")</f>
        <v/>
      </c>
      <c r="T137" s="29">
        <v>64399</v>
      </c>
      <c r="U137" s="28">
        <f t="shared" ref="U137:U167" si="101">IF(T138&lt;&gt;"",T138-T137,"")</f>
        <v>2</v>
      </c>
      <c r="V137" s="27">
        <v>12085</v>
      </c>
      <c r="W137" s="28">
        <f t="shared" ref="W137:W167" si="102">IF(V138&lt;&gt;"",V138-V137,"")</f>
        <v>7</v>
      </c>
      <c r="X137" s="27"/>
      <c r="Y137" s="28"/>
      <c r="Z137" s="27"/>
      <c r="AA137" s="28"/>
      <c r="AB137" s="27">
        <v>7833</v>
      </c>
      <c r="AC137" s="28">
        <f t="shared" ref="AC137:AC167" si="103">IF(AB138&lt;&gt;"",AB138-AB137,"")</f>
        <v>102</v>
      </c>
      <c r="AD137" s="27">
        <v>7613</v>
      </c>
      <c r="AE137" s="28">
        <f t="shared" ref="AE137:AE167" si="104">IF(AD138&lt;&gt;"",AD138-AD137,"")</f>
        <v>111</v>
      </c>
      <c r="AF137" s="27"/>
      <c r="AG137" s="28" t="str">
        <f t="shared" ref="AG137:AG167" si="105">IF(AF138&lt;&gt;"",AF138-AF137,"")</f>
        <v/>
      </c>
      <c r="AH137" s="27"/>
      <c r="AI137" s="28" t="str">
        <f t="shared" ref="AI137:AI154" si="106">IF(AH138&lt;&gt;"",AH138-AH137,"")</f>
        <v/>
      </c>
      <c r="AJ137" s="27"/>
      <c r="AK137" s="28" t="str">
        <f t="shared" ref="AK137:AK167" si="107">IF(AJ138&lt;&gt;"",AJ138-AJ137,"")</f>
        <v/>
      </c>
      <c r="AL137" s="27"/>
      <c r="AM137" s="28" t="str">
        <f t="shared" ref="AM137:AM167" si="108">IF(AL138&lt;&gt;"",AL138-AL137,"")</f>
        <v/>
      </c>
      <c r="AN137" s="24">
        <f t="shared" ref="AN137:AN167" si="109">SUM(G137,I137,K137,M137,O137,Q137,S137)</f>
        <v>13</v>
      </c>
      <c r="AO137" s="24">
        <f>SUM(W137,Y137,AA137,AE137,AG137,AK137,AM137)</f>
        <v>118</v>
      </c>
      <c r="AP137" s="24">
        <f t="shared" ref="AP137:AP167" si="110">SUM(G137,I137,K137,M137,O137,Q137,S137,W137,Y137,AA137,AC137,AE137,AG137,AI137,AK137,AM137)</f>
        <v>233</v>
      </c>
      <c r="AQ137" s="25">
        <f t="shared" ref="AQ137:AQ167" si="111">E137-AN137</f>
        <v>-9</v>
      </c>
      <c r="AR137" s="25">
        <f t="shared" ref="AR137:AR167" si="112">U137-AO137</f>
        <v>-116</v>
      </c>
      <c r="AS137" s="25">
        <f t="shared" ref="AS137:AS167" si="113">(E137+U137)-AP137</f>
        <v>-227</v>
      </c>
    </row>
    <row r="138" spans="2:45" x14ac:dyDescent="0.3">
      <c r="B138" s="9" t="s">
        <v>72</v>
      </c>
      <c r="C138" s="33">
        <v>45964</v>
      </c>
      <c r="D138" s="27">
        <v>152487</v>
      </c>
      <c r="E138" s="28">
        <f t="shared" si="93"/>
        <v>2010</v>
      </c>
      <c r="F138" s="27"/>
      <c r="G138" s="28" t="str">
        <f t="shared" si="94"/>
        <v/>
      </c>
      <c r="H138" s="27"/>
      <c r="I138" s="28" t="str">
        <f t="shared" si="95"/>
        <v/>
      </c>
      <c r="J138" s="27"/>
      <c r="K138" s="28" t="str">
        <f t="shared" si="96"/>
        <v/>
      </c>
      <c r="L138" s="27"/>
      <c r="M138" s="28" t="str">
        <f t="shared" si="97"/>
        <v/>
      </c>
      <c r="N138" s="27">
        <v>32542</v>
      </c>
      <c r="O138" s="28">
        <f t="shared" si="98"/>
        <v>215</v>
      </c>
      <c r="P138" s="27">
        <v>12673</v>
      </c>
      <c r="Q138" s="28">
        <f t="shared" si="99"/>
        <v>177</v>
      </c>
      <c r="R138" s="27"/>
      <c r="S138" s="28" t="str">
        <f t="shared" si="100"/>
        <v/>
      </c>
      <c r="T138" s="29">
        <v>64401</v>
      </c>
      <c r="U138" s="28">
        <f t="shared" si="101"/>
        <v>571</v>
      </c>
      <c r="V138" s="27">
        <v>12092</v>
      </c>
      <c r="W138" s="28">
        <f t="shared" si="102"/>
        <v>110</v>
      </c>
      <c r="X138" s="27"/>
      <c r="Y138" s="28"/>
      <c r="Z138" s="27"/>
      <c r="AA138" s="28"/>
      <c r="AB138" s="27">
        <v>7935</v>
      </c>
      <c r="AC138" s="28">
        <f t="shared" si="103"/>
        <v>117</v>
      </c>
      <c r="AD138" s="27">
        <v>7724</v>
      </c>
      <c r="AE138" s="28">
        <f t="shared" si="104"/>
        <v>115</v>
      </c>
      <c r="AF138" s="27"/>
      <c r="AG138" s="28" t="str">
        <f t="shared" si="105"/>
        <v/>
      </c>
      <c r="AH138" s="27"/>
      <c r="AI138" s="28" t="str">
        <f t="shared" si="106"/>
        <v/>
      </c>
      <c r="AJ138" s="27"/>
      <c r="AK138" s="28" t="str">
        <f t="shared" si="107"/>
        <v/>
      </c>
      <c r="AL138" s="27"/>
      <c r="AM138" s="28" t="str">
        <f t="shared" si="108"/>
        <v/>
      </c>
      <c r="AN138" s="24">
        <f t="shared" si="109"/>
        <v>392</v>
      </c>
      <c r="AO138" s="24">
        <f t="shared" ref="AO138:AO167" si="114">SUM(W138,Y138,AA138,AE138,AG138,AK138,AM138)</f>
        <v>225</v>
      </c>
      <c r="AP138" s="24">
        <f t="shared" si="110"/>
        <v>734</v>
      </c>
      <c r="AQ138" s="25">
        <f t="shared" si="111"/>
        <v>1618</v>
      </c>
      <c r="AR138" s="25">
        <f t="shared" si="112"/>
        <v>346</v>
      </c>
      <c r="AS138" s="25">
        <f t="shared" si="113"/>
        <v>1847</v>
      </c>
    </row>
    <row r="139" spans="2:45" x14ac:dyDescent="0.3">
      <c r="B139" s="9" t="s">
        <v>66</v>
      </c>
      <c r="C139" s="33">
        <v>45965</v>
      </c>
      <c r="D139" s="27">
        <v>154497</v>
      </c>
      <c r="E139" s="28">
        <f t="shared" si="93"/>
        <v>2054</v>
      </c>
      <c r="F139" s="27"/>
      <c r="G139" s="28" t="str">
        <f t="shared" si="94"/>
        <v/>
      </c>
      <c r="H139" s="27"/>
      <c r="I139" s="28" t="str">
        <f t="shared" si="95"/>
        <v/>
      </c>
      <c r="J139" s="27"/>
      <c r="K139" s="28" t="str">
        <f t="shared" si="96"/>
        <v/>
      </c>
      <c r="L139" s="27"/>
      <c r="M139" s="28" t="str">
        <f t="shared" si="97"/>
        <v/>
      </c>
      <c r="N139" s="27">
        <v>32757</v>
      </c>
      <c r="O139" s="28">
        <f t="shared" si="98"/>
        <v>122</v>
      </c>
      <c r="P139" s="27">
        <v>12850</v>
      </c>
      <c r="Q139" s="28">
        <f t="shared" si="99"/>
        <v>171</v>
      </c>
      <c r="R139" s="27"/>
      <c r="S139" s="28" t="str">
        <f t="shared" si="100"/>
        <v/>
      </c>
      <c r="T139" s="29">
        <v>64972</v>
      </c>
      <c r="U139" s="28">
        <f t="shared" si="101"/>
        <v>493</v>
      </c>
      <c r="V139" s="27">
        <v>12202</v>
      </c>
      <c r="W139" s="28">
        <f t="shared" si="102"/>
        <v>90</v>
      </c>
      <c r="X139" s="27"/>
      <c r="Y139" s="28"/>
      <c r="Z139" s="27"/>
      <c r="AA139" s="28"/>
      <c r="AB139" s="27">
        <v>8052</v>
      </c>
      <c r="AC139" s="28">
        <f t="shared" si="103"/>
        <v>122</v>
      </c>
      <c r="AD139" s="27">
        <v>7839</v>
      </c>
      <c r="AE139" s="28">
        <f t="shared" si="104"/>
        <v>109</v>
      </c>
      <c r="AF139" s="27"/>
      <c r="AG139" s="28" t="str">
        <f t="shared" si="105"/>
        <v/>
      </c>
      <c r="AH139" s="27"/>
      <c r="AI139" s="28" t="str">
        <f t="shared" si="106"/>
        <v/>
      </c>
      <c r="AJ139" s="27"/>
      <c r="AK139" s="28" t="str">
        <f t="shared" si="107"/>
        <v/>
      </c>
      <c r="AL139" s="27"/>
      <c r="AM139" s="28" t="str">
        <f t="shared" si="108"/>
        <v/>
      </c>
      <c r="AN139" s="24">
        <f t="shared" si="109"/>
        <v>293</v>
      </c>
      <c r="AO139" s="24">
        <f t="shared" si="114"/>
        <v>199</v>
      </c>
      <c r="AP139" s="24">
        <f t="shared" si="110"/>
        <v>614</v>
      </c>
      <c r="AQ139" s="25">
        <f t="shared" si="111"/>
        <v>1761</v>
      </c>
      <c r="AR139" s="25">
        <f t="shared" si="112"/>
        <v>294</v>
      </c>
      <c r="AS139" s="25">
        <f t="shared" si="113"/>
        <v>1933</v>
      </c>
    </row>
    <row r="140" spans="2:45" x14ac:dyDescent="0.3">
      <c r="B140" s="9" t="s">
        <v>67</v>
      </c>
      <c r="C140" s="33">
        <v>45966</v>
      </c>
      <c r="D140" s="27">
        <v>156551</v>
      </c>
      <c r="E140" s="28">
        <f t="shared" si="93"/>
        <v>1880</v>
      </c>
      <c r="F140" s="27"/>
      <c r="G140" s="28" t="str">
        <f t="shared" si="94"/>
        <v/>
      </c>
      <c r="H140" s="27"/>
      <c r="I140" s="28" t="str">
        <f t="shared" si="95"/>
        <v/>
      </c>
      <c r="J140" s="27"/>
      <c r="K140" s="28" t="str">
        <f t="shared" si="96"/>
        <v/>
      </c>
      <c r="L140" s="27"/>
      <c r="M140" s="28" t="str">
        <f t="shared" si="97"/>
        <v/>
      </c>
      <c r="N140" s="27">
        <v>32879</v>
      </c>
      <c r="O140" s="28">
        <f t="shared" si="98"/>
        <v>129</v>
      </c>
      <c r="P140" s="27">
        <v>13021</v>
      </c>
      <c r="Q140" s="28">
        <f t="shared" si="99"/>
        <v>150</v>
      </c>
      <c r="R140" s="27"/>
      <c r="S140" s="28" t="str">
        <f t="shared" si="100"/>
        <v/>
      </c>
      <c r="T140" s="29">
        <v>65465</v>
      </c>
      <c r="U140" s="28">
        <f t="shared" si="101"/>
        <v>446</v>
      </c>
      <c r="V140" s="27">
        <v>12292</v>
      </c>
      <c r="W140" s="28">
        <f t="shared" si="102"/>
        <v>119</v>
      </c>
      <c r="X140" s="27"/>
      <c r="Y140" s="28"/>
      <c r="Z140" s="27"/>
      <c r="AA140" s="28"/>
      <c r="AB140" s="27">
        <v>8174</v>
      </c>
      <c r="AC140" s="28">
        <f t="shared" si="103"/>
        <v>81</v>
      </c>
      <c r="AD140" s="27">
        <v>7948</v>
      </c>
      <c r="AE140" s="28">
        <f t="shared" si="104"/>
        <v>86</v>
      </c>
      <c r="AF140" s="27"/>
      <c r="AG140" s="28" t="str">
        <f t="shared" si="105"/>
        <v/>
      </c>
      <c r="AH140" s="27"/>
      <c r="AI140" s="28" t="str">
        <f t="shared" si="106"/>
        <v/>
      </c>
      <c r="AJ140" s="27"/>
      <c r="AK140" s="28" t="str">
        <f t="shared" si="107"/>
        <v/>
      </c>
      <c r="AL140" s="27"/>
      <c r="AM140" s="28" t="str">
        <f t="shared" si="108"/>
        <v/>
      </c>
      <c r="AN140" s="24">
        <f t="shared" si="109"/>
        <v>279</v>
      </c>
      <c r="AO140" s="24">
        <f t="shared" si="114"/>
        <v>205</v>
      </c>
      <c r="AP140" s="24">
        <f t="shared" si="110"/>
        <v>565</v>
      </c>
      <c r="AQ140" s="25">
        <f t="shared" si="111"/>
        <v>1601</v>
      </c>
      <c r="AR140" s="25">
        <f t="shared" si="112"/>
        <v>241</v>
      </c>
      <c r="AS140" s="25">
        <f t="shared" si="113"/>
        <v>1761</v>
      </c>
    </row>
    <row r="141" spans="2:45" x14ac:dyDescent="0.3">
      <c r="B141" s="9" t="s">
        <v>68</v>
      </c>
      <c r="C141" s="33">
        <v>45967</v>
      </c>
      <c r="D141" s="27">
        <v>158431</v>
      </c>
      <c r="E141" s="28">
        <f t="shared" si="93"/>
        <v>1936</v>
      </c>
      <c r="F141" s="27"/>
      <c r="G141" s="28" t="str">
        <f t="shared" si="94"/>
        <v/>
      </c>
      <c r="H141" s="27"/>
      <c r="I141" s="28" t="str">
        <f t="shared" si="95"/>
        <v/>
      </c>
      <c r="J141" s="27"/>
      <c r="K141" s="28" t="str">
        <f t="shared" si="96"/>
        <v/>
      </c>
      <c r="L141" s="27"/>
      <c r="M141" s="28" t="str">
        <f t="shared" si="97"/>
        <v/>
      </c>
      <c r="N141" s="27">
        <v>33008</v>
      </c>
      <c r="O141" s="28">
        <f t="shared" si="98"/>
        <v>129</v>
      </c>
      <c r="P141" s="27">
        <v>13171</v>
      </c>
      <c r="Q141" s="28">
        <f t="shared" si="99"/>
        <v>147</v>
      </c>
      <c r="R141" s="27"/>
      <c r="S141" s="28" t="str">
        <f t="shared" si="100"/>
        <v/>
      </c>
      <c r="T141" s="29">
        <v>65911</v>
      </c>
      <c r="U141" s="28">
        <f t="shared" si="101"/>
        <v>410</v>
      </c>
      <c r="V141" s="27">
        <v>12411</v>
      </c>
      <c r="W141" s="28">
        <f t="shared" si="102"/>
        <v>108</v>
      </c>
      <c r="X141" s="27"/>
      <c r="Y141" s="28"/>
      <c r="Z141" s="27"/>
      <c r="AA141" s="28"/>
      <c r="AB141" s="27">
        <v>8255</v>
      </c>
      <c r="AC141" s="28">
        <f t="shared" si="103"/>
        <v>70</v>
      </c>
      <c r="AD141" s="27">
        <v>8034</v>
      </c>
      <c r="AE141" s="28">
        <f t="shared" si="104"/>
        <v>80</v>
      </c>
      <c r="AF141" s="27"/>
      <c r="AG141" s="28" t="str">
        <f t="shared" si="105"/>
        <v/>
      </c>
      <c r="AH141" s="27"/>
      <c r="AI141" s="28" t="str">
        <f t="shared" si="106"/>
        <v/>
      </c>
      <c r="AJ141" s="27"/>
      <c r="AK141" s="28" t="str">
        <f t="shared" si="107"/>
        <v/>
      </c>
      <c r="AL141" s="27"/>
      <c r="AM141" s="28" t="str">
        <f t="shared" si="108"/>
        <v/>
      </c>
      <c r="AN141" s="24">
        <f t="shared" si="109"/>
        <v>276</v>
      </c>
      <c r="AO141" s="24">
        <f t="shared" si="114"/>
        <v>188</v>
      </c>
      <c r="AP141" s="24">
        <f t="shared" si="110"/>
        <v>534</v>
      </c>
      <c r="AQ141" s="25">
        <f t="shared" si="111"/>
        <v>1660</v>
      </c>
      <c r="AR141" s="25">
        <f t="shared" si="112"/>
        <v>222</v>
      </c>
      <c r="AS141" s="25">
        <f t="shared" si="113"/>
        <v>1812</v>
      </c>
    </row>
    <row r="142" spans="2:45" x14ac:dyDescent="0.3">
      <c r="B142" s="9" t="s">
        <v>69</v>
      </c>
      <c r="C142" s="33">
        <v>45968</v>
      </c>
      <c r="D142" s="27">
        <v>160367</v>
      </c>
      <c r="E142" s="28">
        <f t="shared" si="93"/>
        <v>2252</v>
      </c>
      <c r="F142" s="27"/>
      <c r="G142" s="28" t="str">
        <f t="shared" si="94"/>
        <v/>
      </c>
      <c r="H142" s="27"/>
      <c r="I142" s="28" t="str">
        <f t="shared" si="95"/>
        <v/>
      </c>
      <c r="J142" s="27"/>
      <c r="K142" s="28" t="str">
        <f t="shared" si="96"/>
        <v/>
      </c>
      <c r="L142" s="27"/>
      <c r="M142" s="28" t="str">
        <f t="shared" si="97"/>
        <v/>
      </c>
      <c r="N142" s="27">
        <v>33137</v>
      </c>
      <c r="O142" s="28">
        <f t="shared" si="98"/>
        <v>99</v>
      </c>
      <c r="P142" s="27">
        <v>13318</v>
      </c>
      <c r="Q142" s="28">
        <f t="shared" si="99"/>
        <v>180</v>
      </c>
      <c r="R142" s="27"/>
      <c r="S142" s="28" t="str">
        <f t="shared" si="100"/>
        <v/>
      </c>
      <c r="T142" s="29">
        <v>66321</v>
      </c>
      <c r="U142" s="28">
        <f t="shared" si="101"/>
        <v>496</v>
      </c>
      <c r="V142" s="27">
        <v>12519</v>
      </c>
      <c r="W142" s="28">
        <f t="shared" si="102"/>
        <v>109</v>
      </c>
      <c r="X142" s="27"/>
      <c r="Y142" s="28"/>
      <c r="Z142" s="27"/>
      <c r="AA142" s="28"/>
      <c r="AB142" s="27">
        <v>8325</v>
      </c>
      <c r="AC142" s="28">
        <f t="shared" si="103"/>
        <v>84</v>
      </c>
      <c r="AD142" s="27">
        <v>8114</v>
      </c>
      <c r="AE142" s="28">
        <f t="shared" si="104"/>
        <v>87</v>
      </c>
      <c r="AF142" s="27"/>
      <c r="AG142" s="28" t="str">
        <f t="shared" si="105"/>
        <v/>
      </c>
      <c r="AH142" s="27"/>
      <c r="AI142" s="28" t="str">
        <f t="shared" si="106"/>
        <v/>
      </c>
      <c r="AJ142" s="27"/>
      <c r="AK142" s="28" t="str">
        <f t="shared" si="107"/>
        <v/>
      </c>
      <c r="AL142" s="27"/>
      <c r="AM142" s="28" t="str">
        <f t="shared" si="108"/>
        <v/>
      </c>
      <c r="AN142" s="24">
        <f t="shared" si="109"/>
        <v>279</v>
      </c>
      <c r="AO142" s="24">
        <f t="shared" si="114"/>
        <v>196</v>
      </c>
      <c r="AP142" s="24">
        <f t="shared" si="110"/>
        <v>559</v>
      </c>
      <c r="AQ142" s="25">
        <f t="shared" si="111"/>
        <v>1973</v>
      </c>
      <c r="AR142" s="25">
        <f t="shared" si="112"/>
        <v>300</v>
      </c>
      <c r="AS142" s="25">
        <f t="shared" si="113"/>
        <v>2189</v>
      </c>
    </row>
    <row r="143" spans="2:45" x14ac:dyDescent="0.3">
      <c r="B143" s="9" t="s">
        <v>70</v>
      </c>
      <c r="C143" s="33">
        <v>45969</v>
      </c>
      <c r="D143" s="27">
        <v>162619</v>
      </c>
      <c r="E143" s="28">
        <f t="shared" si="93"/>
        <v>2143</v>
      </c>
      <c r="F143" s="27"/>
      <c r="G143" s="28" t="str">
        <f t="shared" si="94"/>
        <v/>
      </c>
      <c r="H143" s="27"/>
      <c r="I143" s="28" t="str">
        <f t="shared" si="95"/>
        <v/>
      </c>
      <c r="J143" s="27"/>
      <c r="K143" s="28" t="str">
        <f t="shared" si="96"/>
        <v/>
      </c>
      <c r="L143" s="27"/>
      <c r="M143" s="28" t="str">
        <f t="shared" si="97"/>
        <v/>
      </c>
      <c r="N143" s="27">
        <v>33236</v>
      </c>
      <c r="O143" s="28">
        <f t="shared" si="98"/>
        <v>144</v>
      </c>
      <c r="P143" s="27">
        <v>13498</v>
      </c>
      <c r="Q143" s="28">
        <f t="shared" si="99"/>
        <v>192</v>
      </c>
      <c r="R143" s="27"/>
      <c r="S143" s="28" t="str">
        <f t="shared" si="100"/>
        <v/>
      </c>
      <c r="T143" s="29">
        <v>66817</v>
      </c>
      <c r="U143" s="28">
        <f t="shared" si="101"/>
        <v>477</v>
      </c>
      <c r="V143" s="27">
        <v>12628</v>
      </c>
      <c r="W143" s="28">
        <f t="shared" si="102"/>
        <v>92</v>
      </c>
      <c r="X143" s="27"/>
      <c r="Y143" s="28"/>
      <c r="Z143" s="27"/>
      <c r="AA143" s="28"/>
      <c r="AB143" s="27">
        <v>8409</v>
      </c>
      <c r="AC143" s="28">
        <f t="shared" si="103"/>
        <v>105</v>
      </c>
      <c r="AD143" s="27">
        <v>8201</v>
      </c>
      <c r="AE143" s="28">
        <f t="shared" si="104"/>
        <v>105</v>
      </c>
      <c r="AF143" s="27"/>
      <c r="AG143" s="28" t="str">
        <f t="shared" si="105"/>
        <v/>
      </c>
      <c r="AH143" s="27"/>
      <c r="AI143" s="28" t="str">
        <f t="shared" si="106"/>
        <v/>
      </c>
      <c r="AJ143" s="27"/>
      <c r="AK143" s="28" t="str">
        <f t="shared" si="107"/>
        <v/>
      </c>
      <c r="AL143" s="27"/>
      <c r="AM143" s="28" t="str">
        <f t="shared" si="108"/>
        <v/>
      </c>
      <c r="AN143" s="24">
        <f t="shared" si="109"/>
        <v>336</v>
      </c>
      <c r="AO143" s="24">
        <f t="shared" si="114"/>
        <v>197</v>
      </c>
      <c r="AP143" s="24">
        <f t="shared" si="110"/>
        <v>638</v>
      </c>
      <c r="AQ143" s="25">
        <f t="shared" si="111"/>
        <v>1807</v>
      </c>
      <c r="AR143" s="25">
        <f t="shared" si="112"/>
        <v>280</v>
      </c>
      <c r="AS143" s="25">
        <f t="shared" si="113"/>
        <v>1982</v>
      </c>
    </row>
    <row r="144" spans="2:45" x14ac:dyDescent="0.3">
      <c r="B144" s="9" t="s">
        <v>71</v>
      </c>
      <c r="C144" s="33">
        <v>45970</v>
      </c>
      <c r="D144" s="27">
        <v>164762</v>
      </c>
      <c r="E144" s="28">
        <f t="shared" si="93"/>
        <v>1443</v>
      </c>
      <c r="F144" s="27"/>
      <c r="G144" s="28" t="str">
        <f t="shared" si="94"/>
        <v/>
      </c>
      <c r="H144" s="27"/>
      <c r="I144" s="28" t="str">
        <f t="shared" si="95"/>
        <v/>
      </c>
      <c r="J144" s="27"/>
      <c r="K144" s="28" t="str">
        <f t="shared" si="96"/>
        <v/>
      </c>
      <c r="L144" s="27"/>
      <c r="M144" s="28" t="str">
        <f t="shared" si="97"/>
        <v/>
      </c>
      <c r="N144" s="27">
        <v>33380</v>
      </c>
      <c r="O144" s="28">
        <f t="shared" si="98"/>
        <v>113</v>
      </c>
      <c r="P144" s="27">
        <v>13690</v>
      </c>
      <c r="Q144" s="28">
        <f t="shared" si="99"/>
        <v>150</v>
      </c>
      <c r="R144" s="27"/>
      <c r="S144" s="28" t="str">
        <f t="shared" si="100"/>
        <v/>
      </c>
      <c r="T144" s="29">
        <v>67294</v>
      </c>
      <c r="U144" s="28">
        <f t="shared" si="101"/>
        <v>200</v>
      </c>
      <c r="V144" s="27">
        <v>12720</v>
      </c>
      <c r="W144" s="28">
        <f t="shared" si="102"/>
        <v>36</v>
      </c>
      <c r="X144" s="27"/>
      <c r="Y144" s="28"/>
      <c r="Z144" s="27"/>
      <c r="AA144" s="28"/>
      <c r="AB144" s="27">
        <v>8514</v>
      </c>
      <c r="AC144" s="28">
        <f t="shared" si="103"/>
        <v>63</v>
      </c>
      <c r="AD144" s="27">
        <v>8306</v>
      </c>
      <c r="AE144" s="28">
        <f t="shared" si="104"/>
        <v>72</v>
      </c>
      <c r="AF144" s="27"/>
      <c r="AG144" s="28" t="str">
        <f t="shared" si="105"/>
        <v/>
      </c>
      <c r="AH144" s="27"/>
      <c r="AI144" s="28" t="str">
        <f t="shared" si="106"/>
        <v/>
      </c>
      <c r="AJ144" s="27"/>
      <c r="AK144" s="28" t="str">
        <f t="shared" si="107"/>
        <v/>
      </c>
      <c r="AL144" s="27"/>
      <c r="AM144" s="28" t="str">
        <f t="shared" si="108"/>
        <v/>
      </c>
      <c r="AN144" s="24">
        <f t="shared" si="109"/>
        <v>263</v>
      </c>
      <c r="AO144" s="24">
        <f t="shared" si="114"/>
        <v>108</v>
      </c>
      <c r="AP144" s="24">
        <f t="shared" si="110"/>
        <v>434</v>
      </c>
      <c r="AQ144" s="25">
        <f t="shared" si="111"/>
        <v>1180</v>
      </c>
      <c r="AR144" s="25">
        <f t="shared" si="112"/>
        <v>92</v>
      </c>
      <c r="AS144" s="25">
        <f t="shared" si="113"/>
        <v>1209</v>
      </c>
    </row>
    <row r="145" spans="2:45" x14ac:dyDescent="0.3">
      <c r="B145" s="9" t="s">
        <v>72</v>
      </c>
      <c r="C145" s="33">
        <v>45971</v>
      </c>
      <c r="D145" s="27">
        <v>166205</v>
      </c>
      <c r="E145" s="28">
        <f t="shared" si="93"/>
        <v>2131</v>
      </c>
      <c r="F145" s="27"/>
      <c r="G145" s="28" t="str">
        <f t="shared" si="94"/>
        <v/>
      </c>
      <c r="H145" s="27"/>
      <c r="I145" s="28" t="str">
        <f t="shared" si="95"/>
        <v/>
      </c>
      <c r="J145" s="27"/>
      <c r="K145" s="28" t="str">
        <f t="shared" si="96"/>
        <v/>
      </c>
      <c r="L145" s="27"/>
      <c r="M145" s="28" t="str">
        <f t="shared" si="97"/>
        <v/>
      </c>
      <c r="N145" s="27">
        <v>33493</v>
      </c>
      <c r="O145" s="28">
        <f t="shared" si="98"/>
        <v>146</v>
      </c>
      <c r="P145" s="27">
        <v>13840</v>
      </c>
      <c r="Q145" s="28">
        <f t="shared" si="99"/>
        <v>195</v>
      </c>
      <c r="R145" s="27"/>
      <c r="S145" s="28" t="str">
        <f t="shared" si="100"/>
        <v/>
      </c>
      <c r="T145" s="29">
        <v>67494</v>
      </c>
      <c r="U145" s="28">
        <f t="shared" si="101"/>
        <v>416</v>
      </c>
      <c r="V145" s="27">
        <v>12756</v>
      </c>
      <c r="W145" s="28">
        <f t="shared" si="102"/>
        <v>74</v>
      </c>
      <c r="X145" s="27"/>
      <c r="Y145" s="28"/>
      <c r="Z145" s="27"/>
      <c r="AA145" s="28"/>
      <c r="AB145" s="27">
        <v>8577</v>
      </c>
      <c r="AC145" s="28">
        <f t="shared" si="103"/>
        <v>77</v>
      </c>
      <c r="AD145" s="27">
        <v>8378</v>
      </c>
      <c r="AE145" s="28">
        <f t="shared" si="104"/>
        <v>84</v>
      </c>
      <c r="AF145" s="27"/>
      <c r="AG145" s="28" t="str">
        <f t="shared" si="105"/>
        <v/>
      </c>
      <c r="AH145" s="27"/>
      <c r="AI145" s="28" t="str">
        <f t="shared" si="106"/>
        <v/>
      </c>
      <c r="AJ145" s="27"/>
      <c r="AK145" s="28" t="str">
        <f t="shared" si="107"/>
        <v/>
      </c>
      <c r="AL145" s="27"/>
      <c r="AM145" s="28" t="str">
        <f t="shared" si="108"/>
        <v/>
      </c>
      <c r="AN145" s="24">
        <f t="shared" si="109"/>
        <v>341</v>
      </c>
      <c r="AO145" s="24">
        <f t="shared" si="114"/>
        <v>158</v>
      </c>
      <c r="AP145" s="24">
        <f t="shared" si="110"/>
        <v>576</v>
      </c>
      <c r="AQ145" s="25">
        <f t="shared" si="111"/>
        <v>1790</v>
      </c>
      <c r="AR145" s="25">
        <f t="shared" si="112"/>
        <v>258</v>
      </c>
      <c r="AS145" s="25">
        <f t="shared" si="113"/>
        <v>1971</v>
      </c>
    </row>
    <row r="146" spans="2:45" x14ac:dyDescent="0.3">
      <c r="B146" s="9" t="s">
        <v>66</v>
      </c>
      <c r="C146" s="33">
        <v>45972</v>
      </c>
      <c r="D146" s="27">
        <v>168336</v>
      </c>
      <c r="E146" s="28">
        <f t="shared" si="93"/>
        <v>1683</v>
      </c>
      <c r="F146" s="27"/>
      <c r="G146" s="28" t="str">
        <f t="shared" si="94"/>
        <v/>
      </c>
      <c r="H146" s="27"/>
      <c r="I146" s="28" t="str">
        <f t="shared" si="95"/>
        <v/>
      </c>
      <c r="J146" s="27"/>
      <c r="K146" s="28" t="str">
        <f t="shared" si="96"/>
        <v/>
      </c>
      <c r="L146" s="27"/>
      <c r="M146" s="28" t="str">
        <f t="shared" si="97"/>
        <v/>
      </c>
      <c r="N146" s="27">
        <v>33639</v>
      </c>
      <c r="O146" s="28">
        <f t="shared" si="98"/>
        <v>124</v>
      </c>
      <c r="P146" s="27">
        <v>14035</v>
      </c>
      <c r="Q146" s="28">
        <f t="shared" si="99"/>
        <v>146</v>
      </c>
      <c r="R146" s="27"/>
      <c r="S146" s="28" t="str">
        <f t="shared" si="100"/>
        <v/>
      </c>
      <c r="T146" s="29">
        <v>67910</v>
      </c>
      <c r="U146" s="28">
        <f t="shared" si="101"/>
        <v>415</v>
      </c>
      <c r="V146" s="27">
        <v>12830</v>
      </c>
      <c r="W146" s="28">
        <f t="shared" si="102"/>
        <v>84</v>
      </c>
      <c r="X146" s="27"/>
      <c r="Y146" s="28"/>
      <c r="Z146" s="27"/>
      <c r="AA146" s="28"/>
      <c r="AB146" s="27">
        <v>8654</v>
      </c>
      <c r="AC146" s="28">
        <f t="shared" si="103"/>
        <v>68</v>
      </c>
      <c r="AD146" s="27">
        <v>8462</v>
      </c>
      <c r="AE146" s="28">
        <f t="shared" si="104"/>
        <v>89</v>
      </c>
      <c r="AF146" s="27"/>
      <c r="AG146" s="28" t="str">
        <f t="shared" si="105"/>
        <v/>
      </c>
      <c r="AH146" s="27"/>
      <c r="AI146" s="28" t="str">
        <f t="shared" si="106"/>
        <v/>
      </c>
      <c r="AJ146" s="27"/>
      <c r="AK146" s="28" t="str">
        <f t="shared" si="107"/>
        <v/>
      </c>
      <c r="AL146" s="27"/>
      <c r="AM146" s="28" t="str">
        <f t="shared" si="108"/>
        <v/>
      </c>
      <c r="AN146" s="24">
        <f t="shared" si="109"/>
        <v>270</v>
      </c>
      <c r="AO146" s="24">
        <f t="shared" si="114"/>
        <v>173</v>
      </c>
      <c r="AP146" s="24">
        <f t="shared" si="110"/>
        <v>511</v>
      </c>
      <c r="AQ146" s="25">
        <f t="shared" si="111"/>
        <v>1413</v>
      </c>
      <c r="AR146" s="25">
        <f t="shared" si="112"/>
        <v>242</v>
      </c>
      <c r="AS146" s="25">
        <f t="shared" si="113"/>
        <v>1587</v>
      </c>
    </row>
    <row r="147" spans="2:45" x14ac:dyDescent="0.3">
      <c r="B147" s="9" t="s">
        <v>67</v>
      </c>
      <c r="C147" s="33">
        <v>45973</v>
      </c>
      <c r="D147" s="27">
        <v>170019</v>
      </c>
      <c r="E147" s="28">
        <f t="shared" si="93"/>
        <v>1504</v>
      </c>
      <c r="F147" s="27"/>
      <c r="G147" s="28" t="str">
        <f t="shared" si="94"/>
        <v/>
      </c>
      <c r="H147" s="27"/>
      <c r="I147" s="28" t="str">
        <f t="shared" si="95"/>
        <v/>
      </c>
      <c r="J147" s="27"/>
      <c r="K147" s="28" t="str">
        <f t="shared" si="96"/>
        <v/>
      </c>
      <c r="L147" s="27"/>
      <c r="M147" s="28" t="str">
        <f t="shared" si="97"/>
        <v/>
      </c>
      <c r="N147" s="27">
        <v>33763</v>
      </c>
      <c r="O147" s="28">
        <f t="shared" si="98"/>
        <v>129</v>
      </c>
      <c r="P147" s="27">
        <v>14181</v>
      </c>
      <c r="Q147" s="28">
        <f t="shared" si="99"/>
        <v>157</v>
      </c>
      <c r="R147" s="27"/>
      <c r="S147" s="28" t="str">
        <f t="shared" si="100"/>
        <v/>
      </c>
      <c r="T147" s="29">
        <v>68325</v>
      </c>
      <c r="U147" s="28">
        <f t="shared" si="101"/>
        <v>408</v>
      </c>
      <c r="V147" s="27">
        <v>12914</v>
      </c>
      <c r="W147" s="28">
        <f t="shared" si="102"/>
        <v>90</v>
      </c>
      <c r="X147" s="27"/>
      <c r="Y147" s="28"/>
      <c r="Z147" s="27"/>
      <c r="AA147" s="28"/>
      <c r="AB147" s="27">
        <v>8722</v>
      </c>
      <c r="AC147" s="28">
        <f t="shared" si="103"/>
        <v>58</v>
      </c>
      <c r="AD147" s="27">
        <v>8551</v>
      </c>
      <c r="AE147" s="28">
        <f t="shared" si="104"/>
        <v>87</v>
      </c>
      <c r="AF147" s="27"/>
      <c r="AG147" s="28" t="str">
        <f t="shared" si="105"/>
        <v/>
      </c>
      <c r="AH147" s="27"/>
      <c r="AI147" s="28" t="str">
        <f t="shared" si="106"/>
        <v/>
      </c>
      <c r="AJ147" s="27"/>
      <c r="AK147" s="28" t="str">
        <f t="shared" si="107"/>
        <v/>
      </c>
      <c r="AL147" s="27"/>
      <c r="AM147" s="28" t="str">
        <f t="shared" si="108"/>
        <v/>
      </c>
      <c r="AN147" s="24">
        <f t="shared" si="109"/>
        <v>286</v>
      </c>
      <c r="AO147" s="24">
        <f t="shared" si="114"/>
        <v>177</v>
      </c>
      <c r="AP147" s="24">
        <f t="shared" si="110"/>
        <v>521</v>
      </c>
      <c r="AQ147" s="25">
        <f t="shared" si="111"/>
        <v>1218</v>
      </c>
      <c r="AR147" s="25">
        <f t="shared" si="112"/>
        <v>231</v>
      </c>
      <c r="AS147" s="25">
        <f t="shared" si="113"/>
        <v>1391</v>
      </c>
    </row>
    <row r="148" spans="2:45" x14ac:dyDescent="0.3">
      <c r="B148" s="9" t="s">
        <v>68</v>
      </c>
      <c r="C148" s="33">
        <v>45974</v>
      </c>
      <c r="D148" s="27">
        <v>171523</v>
      </c>
      <c r="E148" s="28">
        <f t="shared" si="93"/>
        <v>1746</v>
      </c>
      <c r="F148" s="27"/>
      <c r="G148" s="28" t="str">
        <f t="shared" si="94"/>
        <v/>
      </c>
      <c r="H148" s="27"/>
      <c r="I148" s="28" t="str">
        <f t="shared" si="95"/>
        <v/>
      </c>
      <c r="J148" s="27"/>
      <c r="K148" s="28" t="str">
        <f t="shared" si="96"/>
        <v/>
      </c>
      <c r="L148" s="27"/>
      <c r="M148" s="28" t="str">
        <f t="shared" si="97"/>
        <v/>
      </c>
      <c r="N148" s="27">
        <v>33892</v>
      </c>
      <c r="O148" s="28">
        <f t="shared" si="98"/>
        <v>151</v>
      </c>
      <c r="P148" s="27">
        <v>14338</v>
      </c>
      <c r="Q148" s="28">
        <f t="shared" si="99"/>
        <v>128</v>
      </c>
      <c r="R148" s="27"/>
      <c r="S148" s="28" t="str">
        <f t="shared" si="100"/>
        <v/>
      </c>
      <c r="T148" s="29">
        <v>68733</v>
      </c>
      <c r="U148" s="28">
        <f t="shared" si="101"/>
        <v>394</v>
      </c>
      <c r="V148" s="27">
        <v>13004</v>
      </c>
      <c r="W148" s="28">
        <f t="shared" si="102"/>
        <v>85</v>
      </c>
      <c r="X148" s="27"/>
      <c r="Y148" s="28"/>
      <c r="Z148" s="27"/>
      <c r="AA148" s="28"/>
      <c r="AB148" s="27">
        <v>8780</v>
      </c>
      <c r="AC148" s="28">
        <f t="shared" si="103"/>
        <v>61</v>
      </c>
      <c r="AD148" s="27">
        <v>8638</v>
      </c>
      <c r="AE148" s="28">
        <f t="shared" si="104"/>
        <v>89</v>
      </c>
      <c r="AF148" s="27"/>
      <c r="AG148" s="28" t="str">
        <f t="shared" si="105"/>
        <v/>
      </c>
      <c r="AH148" s="27"/>
      <c r="AI148" s="28" t="str">
        <f t="shared" si="106"/>
        <v/>
      </c>
      <c r="AJ148" s="27"/>
      <c r="AK148" s="28" t="str">
        <f t="shared" si="107"/>
        <v/>
      </c>
      <c r="AL148" s="27"/>
      <c r="AM148" s="28" t="str">
        <f t="shared" si="108"/>
        <v/>
      </c>
      <c r="AN148" s="24">
        <f t="shared" si="109"/>
        <v>279</v>
      </c>
      <c r="AO148" s="24">
        <f t="shared" si="114"/>
        <v>174</v>
      </c>
      <c r="AP148" s="24">
        <f t="shared" si="110"/>
        <v>514</v>
      </c>
      <c r="AQ148" s="25">
        <f t="shared" si="111"/>
        <v>1467</v>
      </c>
      <c r="AR148" s="25">
        <f t="shared" si="112"/>
        <v>220</v>
      </c>
      <c r="AS148" s="25">
        <f t="shared" si="113"/>
        <v>1626</v>
      </c>
    </row>
    <row r="149" spans="2:45" x14ac:dyDescent="0.3">
      <c r="B149" s="9" t="s">
        <v>69</v>
      </c>
      <c r="C149" s="33">
        <v>45975</v>
      </c>
      <c r="D149" s="27">
        <v>173269</v>
      </c>
      <c r="E149" s="28">
        <f t="shared" si="93"/>
        <v>1864</v>
      </c>
      <c r="F149" s="27"/>
      <c r="G149" s="28" t="str">
        <f t="shared" si="94"/>
        <v/>
      </c>
      <c r="H149" s="27"/>
      <c r="I149" s="28" t="str">
        <f t="shared" si="95"/>
        <v/>
      </c>
      <c r="J149" s="27"/>
      <c r="K149" s="28" t="str">
        <f t="shared" si="96"/>
        <v/>
      </c>
      <c r="L149" s="27"/>
      <c r="M149" s="28" t="str">
        <f t="shared" si="97"/>
        <v/>
      </c>
      <c r="N149" s="27">
        <v>34043</v>
      </c>
      <c r="O149" s="28">
        <f t="shared" si="98"/>
        <v>55</v>
      </c>
      <c r="P149" s="27">
        <v>14466</v>
      </c>
      <c r="Q149" s="28">
        <f t="shared" si="99"/>
        <v>140</v>
      </c>
      <c r="R149" s="27"/>
      <c r="S149" s="28" t="str">
        <f t="shared" si="100"/>
        <v/>
      </c>
      <c r="T149" s="29">
        <v>69127</v>
      </c>
      <c r="U149" s="28">
        <f t="shared" si="101"/>
        <v>366</v>
      </c>
      <c r="V149" s="27">
        <v>13089</v>
      </c>
      <c r="W149" s="28">
        <f t="shared" si="102"/>
        <v>85</v>
      </c>
      <c r="X149" s="27"/>
      <c r="Y149" s="28"/>
      <c r="Z149" s="27"/>
      <c r="AA149" s="28"/>
      <c r="AB149" s="27">
        <v>8841</v>
      </c>
      <c r="AC149" s="28">
        <f t="shared" si="103"/>
        <v>42</v>
      </c>
      <c r="AD149" s="27">
        <v>8727</v>
      </c>
      <c r="AE149" s="28">
        <f t="shared" si="104"/>
        <v>52</v>
      </c>
      <c r="AF149" s="27"/>
      <c r="AG149" s="28" t="str">
        <f t="shared" si="105"/>
        <v/>
      </c>
      <c r="AH149" s="27"/>
      <c r="AI149" s="28" t="str">
        <f t="shared" si="106"/>
        <v/>
      </c>
      <c r="AJ149" s="27"/>
      <c r="AK149" s="28" t="str">
        <f t="shared" si="107"/>
        <v/>
      </c>
      <c r="AL149" s="27"/>
      <c r="AM149" s="28" t="str">
        <f t="shared" si="108"/>
        <v/>
      </c>
      <c r="AN149" s="24">
        <f t="shared" si="109"/>
        <v>195</v>
      </c>
      <c r="AO149" s="24">
        <f t="shared" si="114"/>
        <v>137</v>
      </c>
      <c r="AP149" s="24">
        <f t="shared" si="110"/>
        <v>374</v>
      </c>
      <c r="AQ149" s="25">
        <f t="shared" si="111"/>
        <v>1669</v>
      </c>
      <c r="AR149" s="25">
        <f t="shared" si="112"/>
        <v>229</v>
      </c>
      <c r="AS149" s="25">
        <f t="shared" si="113"/>
        <v>1856</v>
      </c>
    </row>
    <row r="150" spans="2:45" x14ac:dyDescent="0.3">
      <c r="B150" s="9" t="s">
        <v>70</v>
      </c>
      <c r="C150" s="33">
        <v>45976</v>
      </c>
      <c r="D150" s="27">
        <v>175133</v>
      </c>
      <c r="E150" s="28">
        <f t="shared" si="93"/>
        <v>1787</v>
      </c>
      <c r="F150" s="27"/>
      <c r="G150" s="28" t="str">
        <f t="shared" si="94"/>
        <v/>
      </c>
      <c r="H150" s="27"/>
      <c r="I150" s="28" t="str">
        <f t="shared" si="95"/>
        <v/>
      </c>
      <c r="J150" s="27"/>
      <c r="K150" s="28" t="str">
        <f t="shared" si="96"/>
        <v/>
      </c>
      <c r="L150" s="27"/>
      <c r="M150" s="28" t="str">
        <f t="shared" si="97"/>
        <v/>
      </c>
      <c r="N150" s="27">
        <v>34098</v>
      </c>
      <c r="O150" s="28">
        <f t="shared" si="98"/>
        <v>13</v>
      </c>
      <c r="P150" s="27">
        <v>14606</v>
      </c>
      <c r="Q150" s="28">
        <f t="shared" si="99"/>
        <v>154</v>
      </c>
      <c r="R150" s="27"/>
      <c r="S150" s="28" t="str">
        <f t="shared" si="100"/>
        <v/>
      </c>
      <c r="T150" s="29">
        <v>69493</v>
      </c>
      <c r="U150" s="28">
        <f t="shared" si="101"/>
        <v>319</v>
      </c>
      <c r="V150" s="27">
        <v>13174</v>
      </c>
      <c r="W150" s="28">
        <f t="shared" si="102"/>
        <v>87</v>
      </c>
      <c r="X150" s="27"/>
      <c r="Y150" s="28"/>
      <c r="Z150" s="27"/>
      <c r="AA150" s="28"/>
      <c r="AB150" s="27">
        <v>8883</v>
      </c>
      <c r="AC150" s="28">
        <f t="shared" si="103"/>
        <v>35</v>
      </c>
      <c r="AD150" s="27">
        <v>8779</v>
      </c>
      <c r="AE150" s="28">
        <f t="shared" si="104"/>
        <v>36</v>
      </c>
      <c r="AF150" s="27"/>
      <c r="AG150" s="28" t="str">
        <f t="shared" si="105"/>
        <v/>
      </c>
      <c r="AH150" s="27"/>
      <c r="AI150" s="28" t="str">
        <f t="shared" si="106"/>
        <v/>
      </c>
      <c r="AJ150" s="27"/>
      <c r="AK150" s="28" t="str">
        <f t="shared" si="107"/>
        <v/>
      </c>
      <c r="AL150" s="27"/>
      <c r="AM150" s="28" t="str">
        <f t="shared" si="108"/>
        <v/>
      </c>
      <c r="AN150" s="24">
        <f t="shared" si="109"/>
        <v>167</v>
      </c>
      <c r="AO150" s="24">
        <f t="shared" si="114"/>
        <v>123</v>
      </c>
      <c r="AP150" s="24">
        <f t="shared" si="110"/>
        <v>325</v>
      </c>
      <c r="AQ150" s="25">
        <f t="shared" si="111"/>
        <v>1620</v>
      </c>
      <c r="AR150" s="25">
        <f t="shared" si="112"/>
        <v>196</v>
      </c>
      <c r="AS150" s="25">
        <f t="shared" si="113"/>
        <v>1781</v>
      </c>
    </row>
    <row r="151" spans="2:45" x14ac:dyDescent="0.3">
      <c r="B151" s="9" t="s">
        <v>71</v>
      </c>
      <c r="C151" s="33">
        <v>45977</v>
      </c>
      <c r="D151" s="27">
        <v>176920</v>
      </c>
      <c r="E151" s="28">
        <f t="shared" si="93"/>
        <v>21</v>
      </c>
      <c r="F151" s="27"/>
      <c r="G151" s="28" t="str">
        <f t="shared" si="94"/>
        <v/>
      </c>
      <c r="H151" s="27"/>
      <c r="I151" s="28" t="str">
        <f t="shared" si="95"/>
        <v/>
      </c>
      <c r="J151" s="27"/>
      <c r="K151" s="28" t="str">
        <f t="shared" si="96"/>
        <v/>
      </c>
      <c r="L151" s="27"/>
      <c r="M151" s="28" t="str">
        <f t="shared" si="97"/>
        <v/>
      </c>
      <c r="N151" s="27">
        <v>34111</v>
      </c>
      <c r="O151" s="28">
        <f t="shared" si="98"/>
        <v>3</v>
      </c>
      <c r="P151" s="27">
        <v>14760</v>
      </c>
      <c r="Q151" s="28">
        <f t="shared" si="99"/>
        <v>10</v>
      </c>
      <c r="R151" s="27"/>
      <c r="S151" s="28" t="str">
        <f t="shared" si="100"/>
        <v/>
      </c>
      <c r="T151" s="29">
        <v>69812</v>
      </c>
      <c r="U151" s="28">
        <f t="shared" si="101"/>
        <v>39</v>
      </c>
      <c r="V151" s="27">
        <v>13261</v>
      </c>
      <c r="W151" s="28">
        <f t="shared" si="102"/>
        <v>18</v>
      </c>
      <c r="X151" s="27"/>
      <c r="Y151" s="28"/>
      <c r="Z151" s="27"/>
      <c r="AA151" s="28"/>
      <c r="AB151" s="27">
        <v>8918</v>
      </c>
      <c r="AC151" s="28">
        <f t="shared" si="103"/>
        <v>7</v>
      </c>
      <c r="AD151" s="27">
        <v>8815</v>
      </c>
      <c r="AE151" s="28">
        <f t="shared" si="104"/>
        <v>4</v>
      </c>
      <c r="AF151" s="27"/>
      <c r="AG151" s="28" t="str">
        <f t="shared" si="105"/>
        <v/>
      </c>
      <c r="AH151" s="27"/>
      <c r="AI151" s="28" t="str">
        <f t="shared" si="106"/>
        <v/>
      </c>
      <c r="AJ151" s="27"/>
      <c r="AK151" s="28" t="str">
        <f t="shared" si="107"/>
        <v/>
      </c>
      <c r="AL151" s="27"/>
      <c r="AM151" s="28" t="str">
        <f t="shared" si="108"/>
        <v/>
      </c>
      <c r="AN151" s="24">
        <f t="shared" si="109"/>
        <v>13</v>
      </c>
      <c r="AO151" s="24">
        <f t="shared" si="114"/>
        <v>22</v>
      </c>
      <c r="AP151" s="24">
        <f t="shared" si="110"/>
        <v>42</v>
      </c>
      <c r="AQ151" s="25">
        <f t="shared" si="111"/>
        <v>8</v>
      </c>
      <c r="AR151" s="25">
        <f t="shared" si="112"/>
        <v>17</v>
      </c>
      <c r="AS151" s="25">
        <f t="shared" si="113"/>
        <v>18</v>
      </c>
    </row>
    <row r="152" spans="2:45" x14ac:dyDescent="0.3">
      <c r="B152" s="9" t="s">
        <v>72</v>
      </c>
      <c r="C152" s="33">
        <v>45978</v>
      </c>
      <c r="D152" s="27">
        <v>176941</v>
      </c>
      <c r="E152" s="28">
        <f t="shared" si="93"/>
        <v>1713</v>
      </c>
      <c r="F152" s="27"/>
      <c r="G152" s="28" t="str">
        <f t="shared" si="94"/>
        <v/>
      </c>
      <c r="H152" s="27"/>
      <c r="I152" s="28" t="str">
        <f t="shared" si="95"/>
        <v/>
      </c>
      <c r="J152" s="27"/>
      <c r="K152" s="28" t="str">
        <f t="shared" si="96"/>
        <v/>
      </c>
      <c r="L152" s="27"/>
      <c r="M152" s="28" t="str">
        <f t="shared" si="97"/>
        <v/>
      </c>
      <c r="N152" s="27">
        <v>34114</v>
      </c>
      <c r="O152" s="28">
        <f t="shared" si="98"/>
        <v>8</v>
      </c>
      <c r="P152" s="27">
        <v>14770</v>
      </c>
      <c r="Q152" s="28">
        <f t="shared" si="99"/>
        <v>157</v>
      </c>
      <c r="R152" s="27"/>
      <c r="S152" s="28" t="str">
        <f t="shared" si="100"/>
        <v/>
      </c>
      <c r="T152" s="29">
        <v>69851</v>
      </c>
      <c r="U152" s="28">
        <f t="shared" si="101"/>
        <v>287</v>
      </c>
      <c r="V152" s="27">
        <v>13279</v>
      </c>
      <c r="W152" s="28">
        <f t="shared" si="102"/>
        <v>84</v>
      </c>
      <c r="X152" s="27"/>
      <c r="Y152" s="28"/>
      <c r="Z152" s="27"/>
      <c r="AA152" s="28"/>
      <c r="AB152" s="27">
        <v>8925</v>
      </c>
      <c r="AC152" s="28">
        <f t="shared" si="103"/>
        <v>34</v>
      </c>
      <c r="AD152" s="27">
        <v>8819</v>
      </c>
      <c r="AE152" s="28">
        <f t="shared" si="104"/>
        <v>41</v>
      </c>
      <c r="AF152" s="27"/>
      <c r="AG152" s="28" t="str">
        <f t="shared" si="105"/>
        <v/>
      </c>
      <c r="AH152" s="27"/>
      <c r="AI152" s="28" t="str">
        <f t="shared" si="106"/>
        <v/>
      </c>
      <c r="AJ152" s="27"/>
      <c r="AK152" s="28" t="str">
        <f t="shared" si="107"/>
        <v/>
      </c>
      <c r="AL152" s="27"/>
      <c r="AM152" s="28" t="str">
        <f t="shared" si="108"/>
        <v/>
      </c>
      <c r="AN152" s="24">
        <f t="shared" si="109"/>
        <v>165</v>
      </c>
      <c r="AO152" s="24">
        <f t="shared" si="114"/>
        <v>125</v>
      </c>
      <c r="AP152" s="24">
        <f t="shared" si="110"/>
        <v>324</v>
      </c>
      <c r="AQ152" s="25">
        <f t="shared" si="111"/>
        <v>1548</v>
      </c>
      <c r="AR152" s="25">
        <f t="shared" si="112"/>
        <v>162</v>
      </c>
      <c r="AS152" s="25">
        <f t="shared" si="113"/>
        <v>1676</v>
      </c>
    </row>
    <row r="153" spans="2:45" x14ac:dyDescent="0.3">
      <c r="B153" s="9" t="s">
        <v>66</v>
      </c>
      <c r="C153" s="33">
        <v>45979</v>
      </c>
      <c r="D153" s="27">
        <v>178654</v>
      </c>
      <c r="E153" s="28">
        <f t="shared" si="93"/>
        <v>1902</v>
      </c>
      <c r="F153" s="27"/>
      <c r="G153" s="28" t="str">
        <f t="shared" si="94"/>
        <v/>
      </c>
      <c r="H153" s="27"/>
      <c r="I153" s="28" t="str">
        <f t="shared" si="95"/>
        <v/>
      </c>
      <c r="J153" s="27"/>
      <c r="K153" s="28" t="str">
        <f t="shared" si="96"/>
        <v/>
      </c>
      <c r="L153" s="27"/>
      <c r="M153" s="28" t="str">
        <f t="shared" si="97"/>
        <v/>
      </c>
      <c r="N153" s="27">
        <v>34122</v>
      </c>
      <c r="O153" s="28">
        <f t="shared" si="98"/>
        <v>93</v>
      </c>
      <c r="P153" s="27">
        <v>14927</v>
      </c>
      <c r="Q153" s="28">
        <f t="shared" si="99"/>
        <v>155</v>
      </c>
      <c r="R153" s="27"/>
      <c r="S153" s="28" t="str">
        <f t="shared" si="100"/>
        <v/>
      </c>
      <c r="T153" s="29">
        <v>70138</v>
      </c>
      <c r="U153" s="28">
        <f t="shared" si="101"/>
        <v>291</v>
      </c>
      <c r="V153" s="27">
        <v>13363</v>
      </c>
      <c r="W153" s="28">
        <f t="shared" si="102"/>
        <v>81</v>
      </c>
      <c r="X153" s="27"/>
      <c r="Y153" s="28"/>
      <c r="Z153" s="27"/>
      <c r="AA153" s="28"/>
      <c r="AB153" s="27">
        <v>8959</v>
      </c>
      <c r="AC153" s="28">
        <f t="shared" si="103"/>
        <v>37</v>
      </c>
      <c r="AD153" s="27">
        <v>8860</v>
      </c>
      <c r="AE153" s="28">
        <f t="shared" si="104"/>
        <v>40</v>
      </c>
      <c r="AF153" s="27"/>
      <c r="AG153" s="28" t="str">
        <f t="shared" si="105"/>
        <v/>
      </c>
      <c r="AH153" s="27"/>
      <c r="AI153" s="28" t="str">
        <f t="shared" si="106"/>
        <v/>
      </c>
      <c r="AJ153" s="27"/>
      <c r="AK153" s="28" t="str">
        <f t="shared" si="107"/>
        <v/>
      </c>
      <c r="AL153" s="27"/>
      <c r="AM153" s="28" t="str">
        <f t="shared" si="108"/>
        <v/>
      </c>
      <c r="AN153" s="24">
        <f t="shared" si="109"/>
        <v>248</v>
      </c>
      <c r="AO153" s="24">
        <f t="shared" si="114"/>
        <v>121</v>
      </c>
      <c r="AP153" s="24">
        <f t="shared" si="110"/>
        <v>406</v>
      </c>
      <c r="AQ153" s="25">
        <f t="shared" si="111"/>
        <v>1654</v>
      </c>
      <c r="AR153" s="25">
        <f t="shared" si="112"/>
        <v>170</v>
      </c>
      <c r="AS153" s="25">
        <f t="shared" si="113"/>
        <v>1787</v>
      </c>
    </row>
    <row r="154" spans="2:45" x14ac:dyDescent="0.3">
      <c r="B154" s="9" t="s">
        <v>67</v>
      </c>
      <c r="C154" s="33">
        <v>45980</v>
      </c>
      <c r="D154" s="27">
        <v>180556</v>
      </c>
      <c r="E154" s="28">
        <f t="shared" si="93"/>
        <v>1642</v>
      </c>
      <c r="F154" s="27"/>
      <c r="G154" s="28" t="str">
        <f t="shared" si="94"/>
        <v/>
      </c>
      <c r="H154" s="27"/>
      <c r="I154" s="28" t="str">
        <f t="shared" si="95"/>
        <v/>
      </c>
      <c r="J154" s="27"/>
      <c r="K154" s="28" t="str">
        <f t="shared" si="96"/>
        <v/>
      </c>
      <c r="L154" s="27"/>
      <c r="M154" s="28" t="str">
        <f t="shared" si="97"/>
        <v/>
      </c>
      <c r="N154" s="27">
        <v>34215</v>
      </c>
      <c r="O154" s="28">
        <f t="shared" si="98"/>
        <v>95</v>
      </c>
      <c r="P154" s="27">
        <v>15082</v>
      </c>
      <c r="Q154" s="28">
        <f t="shared" si="99"/>
        <v>149</v>
      </c>
      <c r="R154" s="27"/>
      <c r="S154" s="28" t="str">
        <f t="shared" si="100"/>
        <v/>
      </c>
      <c r="T154" s="29">
        <v>70429</v>
      </c>
      <c r="U154" s="28">
        <f t="shared" si="101"/>
        <v>311</v>
      </c>
      <c r="V154" s="27">
        <v>13444</v>
      </c>
      <c r="W154" s="28">
        <f t="shared" si="102"/>
        <v>88</v>
      </c>
      <c r="X154" s="27"/>
      <c r="Y154" s="28"/>
      <c r="Z154" s="27"/>
      <c r="AA154" s="28"/>
      <c r="AB154" s="27">
        <v>8996</v>
      </c>
      <c r="AC154" s="28">
        <f t="shared" si="103"/>
        <v>38</v>
      </c>
      <c r="AD154" s="27">
        <v>8900</v>
      </c>
      <c r="AE154" s="28">
        <f t="shared" si="104"/>
        <v>54</v>
      </c>
      <c r="AF154" s="27"/>
      <c r="AG154" s="28" t="str">
        <f t="shared" si="105"/>
        <v/>
      </c>
      <c r="AH154" s="27"/>
      <c r="AI154" s="28" t="str">
        <f t="shared" si="106"/>
        <v/>
      </c>
      <c r="AJ154" s="27"/>
      <c r="AK154" s="28" t="str">
        <f t="shared" si="107"/>
        <v/>
      </c>
      <c r="AL154" s="27"/>
      <c r="AM154" s="28" t="str">
        <f t="shared" si="108"/>
        <v/>
      </c>
      <c r="AN154" s="24">
        <f t="shared" si="109"/>
        <v>244</v>
      </c>
      <c r="AO154" s="24">
        <f t="shared" si="114"/>
        <v>142</v>
      </c>
      <c r="AP154" s="24">
        <f t="shared" si="110"/>
        <v>424</v>
      </c>
      <c r="AQ154" s="25">
        <f t="shared" si="111"/>
        <v>1398</v>
      </c>
      <c r="AR154" s="25">
        <f t="shared" si="112"/>
        <v>169</v>
      </c>
      <c r="AS154" s="25">
        <f t="shared" si="113"/>
        <v>1529</v>
      </c>
    </row>
    <row r="155" spans="2:45" x14ac:dyDescent="0.3">
      <c r="B155" s="9" t="s">
        <v>68</v>
      </c>
      <c r="C155" s="33">
        <v>45981</v>
      </c>
      <c r="D155" s="27">
        <v>182198</v>
      </c>
      <c r="E155" s="28">
        <f t="shared" si="93"/>
        <v>1490</v>
      </c>
      <c r="F155" s="27"/>
      <c r="G155" s="28" t="str">
        <f t="shared" si="94"/>
        <v/>
      </c>
      <c r="H155" s="27"/>
      <c r="I155" s="28" t="str">
        <f t="shared" si="95"/>
        <v/>
      </c>
      <c r="J155" s="27"/>
      <c r="K155" s="28" t="str">
        <f t="shared" si="96"/>
        <v/>
      </c>
      <c r="L155" s="27"/>
      <c r="M155" s="28" t="str">
        <f t="shared" si="97"/>
        <v/>
      </c>
      <c r="N155" s="27">
        <v>34310</v>
      </c>
      <c r="O155" s="28">
        <f t="shared" si="98"/>
        <v>81</v>
      </c>
      <c r="P155" s="27">
        <v>15231</v>
      </c>
      <c r="Q155" s="28">
        <f t="shared" si="99"/>
        <v>151</v>
      </c>
      <c r="R155" s="27"/>
      <c r="S155" s="28" t="str">
        <f t="shared" si="100"/>
        <v/>
      </c>
      <c r="T155" s="29">
        <v>70740</v>
      </c>
      <c r="U155" s="28">
        <f t="shared" si="101"/>
        <v>303</v>
      </c>
      <c r="V155" s="27">
        <v>13532</v>
      </c>
      <c r="W155" s="28">
        <f t="shared" si="102"/>
        <v>89</v>
      </c>
      <c r="X155" s="27"/>
      <c r="Y155" s="28"/>
      <c r="Z155" s="27"/>
      <c r="AA155" s="28"/>
      <c r="AB155" s="27">
        <v>9034</v>
      </c>
      <c r="AC155" s="28">
        <f t="shared" si="103"/>
        <v>46</v>
      </c>
      <c r="AD155" s="27">
        <v>8954</v>
      </c>
      <c r="AE155" s="28">
        <f t="shared" si="104"/>
        <v>41</v>
      </c>
      <c r="AF155" s="27"/>
      <c r="AG155" s="28" t="str">
        <f t="shared" si="105"/>
        <v/>
      </c>
      <c r="AH155" s="27"/>
      <c r="AI155" s="28" t="s">
        <v>189</v>
      </c>
      <c r="AJ155" s="27"/>
      <c r="AK155" s="28" t="str">
        <f t="shared" si="107"/>
        <v/>
      </c>
      <c r="AL155" s="27"/>
      <c r="AM155" s="28" t="str">
        <f t="shared" si="108"/>
        <v/>
      </c>
      <c r="AN155" s="24">
        <f t="shared" si="109"/>
        <v>232</v>
      </c>
      <c r="AO155" s="24">
        <f t="shared" si="114"/>
        <v>130</v>
      </c>
      <c r="AP155" s="24">
        <f t="shared" si="110"/>
        <v>408</v>
      </c>
      <c r="AQ155" s="25">
        <f t="shared" si="111"/>
        <v>1258</v>
      </c>
      <c r="AR155" s="25">
        <f t="shared" si="112"/>
        <v>173</v>
      </c>
      <c r="AS155" s="25">
        <f t="shared" si="113"/>
        <v>1385</v>
      </c>
    </row>
    <row r="156" spans="2:45" x14ac:dyDescent="0.3">
      <c r="B156" s="9" t="s">
        <v>69</v>
      </c>
      <c r="C156" s="33">
        <v>45982</v>
      </c>
      <c r="D156" s="27">
        <v>183688</v>
      </c>
      <c r="E156" s="28">
        <f t="shared" si="93"/>
        <v>1242</v>
      </c>
      <c r="F156" s="27"/>
      <c r="G156" s="28" t="str">
        <f t="shared" si="94"/>
        <v/>
      </c>
      <c r="H156" s="27"/>
      <c r="I156" s="28" t="str">
        <f t="shared" si="95"/>
        <v/>
      </c>
      <c r="J156" s="27"/>
      <c r="K156" s="28" t="str">
        <f t="shared" si="96"/>
        <v/>
      </c>
      <c r="L156" s="27"/>
      <c r="M156" s="28" t="str">
        <f t="shared" si="97"/>
        <v/>
      </c>
      <c r="N156" s="27">
        <v>34391</v>
      </c>
      <c r="O156" s="28">
        <f t="shared" si="98"/>
        <v>16</v>
      </c>
      <c r="P156" s="27">
        <v>15382</v>
      </c>
      <c r="Q156" s="28">
        <f t="shared" si="99"/>
        <v>151</v>
      </c>
      <c r="R156" s="27"/>
      <c r="S156" s="28" t="str">
        <f t="shared" si="100"/>
        <v/>
      </c>
      <c r="T156" s="29">
        <v>71043</v>
      </c>
      <c r="U156" s="28">
        <f t="shared" si="101"/>
        <v>366</v>
      </c>
      <c r="V156" s="27">
        <v>13621</v>
      </c>
      <c r="W156" s="28">
        <f t="shared" si="102"/>
        <v>85</v>
      </c>
      <c r="X156" s="27"/>
      <c r="Y156" s="28"/>
      <c r="Z156" s="27"/>
      <c r="AA156" s="28"/>
      <c r="AB156" s="27">
        <v>9080</v>
      </c>
      <c r="AC156" s="28">
        <f t="shared" si="103"/>
        <v>73</v>
      </c>
      <c r="AD156" s="27">
        <v>8995</v>
      </c>
      <c r="AE156" s="28">
        <f t="shared" si="104"/>
        <v>71</v>
      </c>
      <c r="AF156" s="27"/>
      <c r="AG156" s="28" t="str">
        <f t="shared" si="105"/>
        <v/>
      </c>
      <c r="AH156" s="27"/>
      <c r="AI156" s="28" t="str">
        <f t="shared" ref="AI156:AI167" si="115">IF(AH157&lt;&gt;"",AH157-AH156,"")</f>
        <v/>
      </c>
      <c r="AJ156" s="27"/>
      <c r="AK156" s="28" t="str">
        <f t="shared" si="107"/>
        <v/>
      </c>
      <c r="AL156" s="27"/>
      <c r="AM156" s="28" t="str">
        <f t="shared" si="108"/>
        <v/>
      </c>
      <c r="AN156" s="24">
        <f t="shared" si="109"/>
        <v>167</v>
      </c>
      <c r="AO156" s="24">
        <f t="shared" si="114"/>
        <v>156</v>
      </c>
      <c r="AP156" s="24">
        <f t="shared" si="110"/>
        <v>396</v>
      </c>
      <c r="AQ156" s="25">
        <f t="shared" si="111"/>
        <v>1075</v>
      </c>
      <c r="AR156" s="25">
        <f t="shared" si="112"/>
        <v>210</v>
      </c>
      <c r="AS156" s="25">
        <f t="shared" si="113"/>
        <v>1212</v>
      </c>
    </row>
    <row r="157" spans="2:45" x14ac:dyDescent="0.3">
      <c r="B157" s="9" t="s">
        <v>70</v>
      </c>
      <c r="C157" s="33">
        <v>45983</v>
      </c>
      <c r="D157" s="27">
        <v>184930</v>
      </c>
      <c r="E157" s="28">
        <f t="shared" si="93"/>
        <v>1345</v>
      </c>
      <c r="F157" s="27"/>
      <c r="G157" s="28" t="str">
        <f t="shared" si="94"/>
        <v/>
      </c>
      <c r="H157" s="27"/>
      <c r="I157" s="28" t="str">
        <f t="shared" si="95"/>
        <v/>
      </c>
      <c r="J157" s="27"/>
      <c r="K157" s="28" t="str">
        <f t="shared" si="96"/>
        <v/>
      </c>
      <c r="L157" s="27"/>
      <c r="M157" s="28" t="str">
        <f t="shared" si="97"/>
        <v/>
      </c>
      <c r="N157" s="27">
        <v>34407</v>
      </c>
      <c r="O157" s="28">
        <f t="shared" si="98"/>
        <v>37</v>
      </c>
      <c r="P157" s="27">
        <v>15533</v>
      </c>
      <c r="Q157" s="28">
        <f t="shared" si="99"/>
        <v>160</v>
      </c>
      <c r="R157" s="27"/>
      <c r="S157" s="28" t="str">
        <f t="shared" si="100"/>
        <v/>
      </c>
      <c r="T157" s="29">
        <v>71409</v>
      </c>
      <c r="U157" s="28">
        <f t="shared" si="101"/>
        <v>398</v>
      </c>
      <c r="V157" s="27">
        <v>13706</v>
      </c>
      <c r="W157" s="28">
        <f t="shared" si="102"/>
        <v>85</v>
      </c>
      <c r="X157" s="27"/>
      <c r="Y157" s="28"/>
      <c r="Z157" s="27"/>
      <c r="AA157" s="28"/>
      <c r="AB157" s="27">
        <v>9153</v>
      </c>
      <c r="AC157" s="28">
        <f t="shared" si="103"/>
        <v>79</v>
      </c>
      <c r="AD157" s="27">
        <v>9066</v>
      </c>
      <c r="AE157" s="28">
        <f t="shared" si="104"/>
        <v>101</v>
      </c>
      <c r="AF157" s="27"/>
      <c r="AG157" s="28" t="str">
        <f t="shared" si="105"/>
        <v/>
      </c>
      <c r="AH157" s="27"/>
      <c r="AI157" s="28" t="str">
        <f t="shared" si="115"/>
        <v/>
      </c>
      <c r="AJ157" s="27"/>
      <c r="AK157" s="28" t="str">
        <f t="shared" si="107"/>
        <v/>
      </c>
      <c r="AL157" s="27"/>
      <c r="AM157" s="28" t="str">
        <f t="shared" si="108"/>
        <v/>
      </c>
      <c r="AN157" s="24">
        <f t="shared" si="109"/>
        <v>197</v>
      </c>
      <c r="AO157" s="24">
        <f t="shared" si="114"/>
        <v>186</v>
      </c>
      <c r="AP157" s="24">
        <f t="shared" si="110"/>
        <v>462</v>
      </c>
      <c r="AQ157" s="25">
        <f t="shared" si="111"/>
        <v>1148</v>
      </c>
      <c r="AR157" s="25">
        <f t="shared" si="112"/>
        <v>212</v>
      </c>
      <c r="AS157" s="25">
        <f t="shared" si="113"/>
        <v>1281</v>
      </c>
    </row>
    <row r="158" spans="2:45" x14ac:dyDescent="0.3">
      <c r="B158" s="9" t="s">
        <v>71</v>
      </c>
      <c r="C158" s="33">
        <v>45984</v>
      </c>
      <c r="D158" s="27">
        <v>186275</v>
      </c>
      <c r="E158" s="28">
        <f t="shared" si="93"/>
        <v>60</v>
      </c>
      <c r="F158" s="27"/>
      <c r="G158" s="28" t="str">
        <f t="shared" si="94"/>
        <v/>
      </c>
      <c r="H158" s="27"/>
      <c r="I158" s="28" t="str">
        <f t="shared" si="95"/>
        <v/>
      </c>
      <c r="J158" s="27"/>
      <c r="K158" s="28" t="str">
        <f t="shared" si="96"/>
        <v/>
      </c>
      <c r="L158" s="27"/>
      <c r="M158" s="28" t="str">
        <f t="shared" si="97"/>
        <v/>
      </c>
      <c r="N158" s="27">
        <v>34444</v>
      </c>
      <c r="O158" s="28">
        <f t="shared" si="98"/>
        <v>0</v>
      </c>
      <c r="P158" s="27">
        <v>15693</v>
      </c>
      <c r="Q158" s="28">
        <f t="shared" si="99"/>
        <v>4</v>
      </c>
      <c r="R158" s="27"/>
      <c r="S158" s="28" t="str">
        <f t="shared" si="100"/>
        <v/>
      </c>
      <c r="T158" s="29">
        <v>71807</v>
      </c>
      <c r="U158" s="28">
        <f t="shared" si="101"/>
        <v>32</v>
      </c>
      <c r="V158" s="27">
        <v>13791</v>
      </c>
      <c r="W158" s="28">
        <f t="shared" si="102"/>
        <v>12</v>
      </c>
      <c r="X158" s="27"/>
      <c r="Y158" s="28"/>
      <c r="Z158" s="27"/>
      <c r="AA158" s="28"/>
      <c r="AB158" s="27">
        <v>9232</v>
      </c>
      <c r="AC158" s="28">
        <f t="shared" si="103"/>
        <v>8</v>
      </c>
      <c r="AD158" s="27">
        <v>9167</v>
      </c>
      <c r="AE158" s="28">
        <f t="shared" si="104"/>
        <v>4</v>
      </c>
      <c r="AF158" s="27"/>
      <c r="AG158" s="28" t="str">
        <f t="shared" si="105"/>
        <v/>
      </c>
      <c r="AH158" s="27"/>
      <c r="AI158" s="28" t="str">
        <f t="shared" si="115"/>
        <v/>
      </c>
      <c r="AJ158" s="27"/>
      <c r="AK158" s="28" t="str">
        <f t="shared" si="107"/>
        <v/>
      </c>
      <c r="AL158" s="27"/>
      <c r="AM158" s="28" t="str">
        <f t="shared" si="108"/>
        <v/>
      </c>
      <c r="AN158" s="24">
        <f t="shared" si="109"/>
        <v>4</v>
      </c>
      <c r="AO158" s="24">
        <f t="shared" si="114"/>
        <v>16</v>
      </c>
      <c r="AP158" s="24">
        <f t="shared" si="110"/>
        <v>28</v>
      </c>
      <c r="AQ158" s="25">
        <f t="shared" si="111"/>
        <v>56</v>
      </c>
      <c r="AR158" s="25">
        <f t="shared" si="112"/>
        <v>16</v>
      </c>
      <c r="AS158" s="25">
        <f t="shared" si="113"/>
        <v>64</v>
      </c>
    </row>
    <row r="159" spans="2:45" x14ac:dyDescent="0.3">
      <c r="B159" s="9" t="s">
        <v>72</v>
      </c>
      <c r="C159" s="33">
        <v>45985</v>
      </c>
      <c r="D159" s="27">
        <v>186335</v>
      </c>
      <c r="E159" s="28">
        <f t="shared" si="93"/>
        <v>1629</v>
      </c>
      <c r="F159" s="27"/>
      <c r="G159" s="28" t="str">
        <f t="shared" si="94"/>
        <v/>
      </c>
      <c r="H159" s="27"/>
      <c r="I159" s="28" t="str">
        <f t="shared" si="95"/>
        <v/>
      </c>
      <c r="J159" s="27"/>
      <c r="K159" s="28" t="str">
        <f t="shared" si="96"/>
        <v/>
      </c>
      <c r="L159" s="27"/>
      <c r="M159" s="28" t="str">
        <f t="shared" si="97"/>
        <v/>
      </c>
      <c r="N159" s="27">
        <v>34444</v>
      </c>
      <c r="O159" s="28">
        <f t="shared" si="98"/>
        <v>68</v>
      </c>
      <c r="P159" s="27">
        <v>15697</v>
      </c>
      <c r="Q159" s="28">
        <f t="shared" si="99"/>
        <v>156</v>
      </c>
      <c r="R159" s="27"/>
      <c r="S159" s="28" t="str">
        <f t="shared" si="100"/>
        <v/>
      </c>
      <c r="T159" s="29">
        <v>71839</v>
      </c>
      <c r="U159" s="28">
        <f t="shared" si="101"/>
        <v>316</v>
      </c>
      <c r="V159" s="27">
        <v>13803</v>
      </c>
      <c r="W159" s="28">
        <f t="shared" si="102"/>
        <v>85</v>
      </c>
      <c r="X159" s="27"/>
      <c r="Y159" s="28"/>
      <c r="Z159" s="27"/>
      <c r="AA159" s="28"/>
      <c r="AB159" s="27">
        <v>9240</v>
      </c>
      <c r="AC159" s="28">
        <f t="shared" si="103"/>
        <v>55</v>
      </c>
      <c r="AD159" s="27">
        <v>9171</v>
      </c>
      <c r="AE159" s="28">
        <f t="shared" si="104"/>
        <v>54</v>
      </c>
      <c r="AF159" s="27"/>
      <c r="AG159" s="28" t="str">
        <f t="shared" si="105"/>
        <v/>
      </c>
      <c r="AH159" s="27"/>
      <c r="AI159" s="28" t="str">
        <f t="shared" si="115"/>
        <v/>
      </c>
      <c r="AJ159" s="27"/>
      <c r="AK159" s="28" t="str">
        <f t="shared" si="107"/>
        <v/>
      </c>
      <c r="AL159" s="27"/>
      <c r="AM159" s="28" t="str">
        <f t="shared" si="108"/>
        <v/>
      </c>
      <c r="AN159" s="24">
        <f t="shared" si="109"/>
        <v>224</v>
      </c>
      <c r="AO159" s="24">
        <f t="shared" si="114"/>
        <v>139</v>
      </c>
      <c r="AP159" s="24">
        <f t="shared" si="110"/>
        <v>418</v>
      </c>
      <c r="AQ159" s="25">
        <f t="shared" si="111"/>
        <v>1405</v>
      </c>
      <c r="AR159" s="25">
        <f t="shared" si="112"/>
        <v>177</v>
      </c>
      <c r="AS159" s="25">
        <f t="shared" si="113"/>
        <v>1527</v>
      </c>
    </row>
    <row r="160" spans="2:45" x14ac:dyDescent="0.3">
      <c r="B160" s="9" t="s">
        <v>66</v>
      </c>
      <c r="C160" s="33">
        <v>45986</v>
      </c>
      <c r="D160" s="27">
        <v>187964</v>
      </c>
      <c r="E160" s="28">
        <f t="shared" si="93"/>
        <v>1312</v>
      </c>
      <c r="F160" s="27"/>
      <c r="G160" s="28" t="str">
        <f t="shared" si="94"/>
        <v/>
      </c>
      <c r="H160" s="27"/>
      <c r="I160" s="28" t="str">
        <f t="shared" si="95"/>
        <v/>
      </c>
      <c r="J160" s="27"/>
      <c r="K160" s="28" t="str">
        <f t="shared" si="96"/>
        <v/>
      </c>
      <c r="L160" s="27"/>
      <c r="M160" s="28" t="str">
        <f t="shared" si="97"/>
        <v/>
      </c>
      <c r="N160" s="27">
        <v>34512</v>
      </c>
      <c r="O160" s="28">
        <f t="shared" si="98"/>
        <v>9</v>
      </c>
      <c r="P160" s="27">
        <v>15853</v>
      </c>
      <c r="Q160" s="28">
        <f t="shared" si="99"/>
        <v>148</v>
      </c>
      <c r="R160" s="27"/>
      <c r="S160" s="28" t="str">
        <f t="shared" si="100"/>
        <v/>
      </c>
      <c r="T160" s="29">
        <v>72155</v>
      </c>
      <c r="U160" s="28">
        <f t="shared" si="101"/>
        <v>384</v>
      </c>
      <c r="V160" s="27">
        <v>13888</v>
      </c>
      <c r="W160" s="28">
        <f t="shared" si="102"/>
        <v>82</v>
      </c>
      <c r="X160" s="27"/>
      <c r="Y160" s="28"/>
      <c r="Z160" s="27"/>
      <c r="AA160" s="28"/>
      <c r="AB160" s="27">
        <v>9295</v>
      </c>
      <c r="AC160" s="28">
        <f t="shared" si="103"/>
        <v>107</v>
      </c>
      <c r="AD160" s="27">
        <v>9225</v>
      </c>
      <c r="AE160" s="28">
        <f t="shared" si="104"/>
        <v>58</v>
      </c>
      <c r="AF160" s="27"/>
      <c r="AG160" s="28" t="str">
        <f t="shared" si="105"/>
        <v/>
      </c>
      <c r="AH160" s="27"/>
      <c r="AI160" s="28" t="str">
        <f t="shared" si="115"/>
        <v/>
      </c>
      <c r="AJ160" s="27"/>
      <c r="AK160" s="28" t="str">
        <f t="shared" si="107"/>
        <v/>
      </c>
      <c r="AL160" s="27"/>
      <c r="AM160" s="28" t="str">
        <f t="shared" si="108"/>
        <v/>
      </c>
      <c r="AN160" s="24">
        <f t="shared" si="109"/>
        <v>157</v>
      </c>
      <c r="AO160" s="24">
        <f t="shared" si="114"/>
        <v>140</v>
      </c>
      <c r="AP160" s="24">
        <f t="shared" si="110"/>
        <v>404</v>
      </c>
      <c r="AQ160" s="25">
        <f t="shared" si="111"/>
        <v>1155</v>
      </c>
      <c r="AR160" s="25">
        <f t="shared" si="112"/>
        <v>244</v>
      </c>
      <c r="AS160" s="25">
        <f t="shared" si="113"/>
        <v>1292</v>
      </c>
    </row>
    <row r="161" spans="2:45" x14ac:dyDescent="0.3">
      <c r="B161" s="9" t="s">
        <v>67</v>
      </c>
      <c r="C161" s="33">
        <v>45987</v>
      </c>
      <c r="D161" s="27">
        <v>189276</v>
      </c>
      <c r="E161" s="28">
        <f t="shared" si="93"/>
        <v>1285</v>
      </c>
      <c r="F161" s="27"/>
      <c r="G161" s="28" t="str">
        <f t="shared" si="94"/>
        <v/>
      </c>
      <c r="H161" s="27"/>
      <c r="I161" s="28" t="str">
        <f t="shared" si="95"/>
        <v/>
      </c>
      <c r="J161" s="27"/>
      <c r="K161" s="28" t="str">
        <f t="shared" si="96"/>
        <v/>
      </c>
      <c r="L161" s="27"/>
      <c r="M161" s="28" t="str">
        <f t="shared" si="97"/>
        <v/>
      </c>
      <c r="N161" s="27">
        <v>34521</v>
      </c>
      <c r="O161" s="28">
        <f t="shared" si="98"/>
        <v>13</v>
      </c>
      <c r="P161" s="27">
        <v>16001</v>
      </c>
      <c r="Q161" s="28">
        <f t="shared" si="99"/>
        <v>147</v>
      </c>
      <c r="R161" s="27"/>
      <c r="S161" s="28" t="str">
        <f t="shared" si="100"/>
        <v/>
      </c>
      <c r="T161" s="29">
        <v>72539</v>
      </c>
      <c r="U161" s="28">
        <f t="shared" si="101"/>
        <v>339</v>
      </c>
      <c r="V161" s="27">
        <v>13970</v>
      </c>
      <c r="W161" s="28">
        <f t="shared" si="102"/>
        <v>83</v>
      </c>
      <c r="X161" s="27"/>
      <c r="Y161" s="28"/>
      <c r="Z161" s="27"/>
      <c r="AA161" s="28"/>
      <c r="AB161" s="27">
        <v>9402</v>
      </c>
      <c r="AC161" s="28">
        <f t="shared" si="103"/>
        <v>58</v>
      </c>
      <c r="AD161" s="27">
        <v>9283</v>
      </c>
      <c r="AE161" s="28">
        <f t="shared" si="104"/>
        <v>38</v>
      </c>
      <c r="AF161" s="27"/>
      <c r="AG161" s="28" t="str">
        <f t="shared" si="105"/>
        <v/>
      </c>
      <c r="AH161" s="27"/>
      <c r="AI161" s="28" t="str">
        <f t="shared" si="115"/>
        <v/>
      </c>
      <c r="AJ161" s="27"/>
      <c r="AK161" s="28" t="str">
        <f t="shared" si="107"/>
        <v/>
      </c>
      <c r="AL161" s="27"/>
      <c r="AM161" s="28" t="str">
        <f t="shared" si="108"/>
        <v/>
      </c>
      <c r="AN161" s="24">
        <f t="shared" si="109"/>
        <v>160</v>
      </c>
      <c r="AO161" s="24">
        <f t="shared" si="114"/>
        <v>121</v>
      </c>
      <c r="AP161" s="24">
        <f t="shared" si="110"/>
        <v>339</v>
      </c>
      <c r="AQ161" s="25">
        <f t="shared" si="111"/>
        <v>1125</v>
      </c>
      <c r="AR161" s="25">
        <f t="shared" si="112"/>
        <v>218</v>
      </c>
      <c r="AS161" s="25">
        <f t="shared" si="113"/>
        <v>1285</v>
      </c>
    </row>
    <row r="162" spans="2:45" x14ac:dyDescent="0.3">
      <c r="B162" s="9" t="s">
        <v>68</v>
      </c>
      <c r="C162" s="33">
        <v>45988</v>
      </c>
      <c r="D162" s="27">
        <v>190561</v>
      </c>
      <c r="E162" s="28">
        <f t="shared" si="93"/>
        <v>1205</v>
      </c>
      <c r="F162" s="27"/>
      <c r="G162" s="28" t="str">
        <f t="shared" si="94"/>
        <v/>
      </c>
      <c r="H162" s="27"/>
      <c r="I162" s="28" t="str">
        <f t="shared" si="95"/>
        <v/>
      </c>
      <c r="J162" s="27"/>
      <c r="K162" s="28" t="str">
        <f t="shared" si="96"/>
        <v/>
      </c>
      <c r="L162" s="27"/>
      <c r="M162" s="28" t="str">
        <f t="shared" si="97"/>
        <v/>
      </c>
      <c r="N162" s="27">
        <v>34534</v>
      </c>
      <c r="O162" s="28">
        <f t="shared" si="98"/>
        <v>9</v>
      </c>
      <c r="P162" s="27">
        <v>16148</v>
      </c>
      <c r="Q162" s="28">
        <f t="shared" si="99"/>
        <v>145</v>
      </c>
      <c r="R162" s="27"/>
      <c r="S162" s="28" t="str">
        <f t="shared" si="100"/>
        <v/>
      </c>
      <c r="T162" s="29">
        <v>72878</v>
      </c>
      <c r="U162" s="28">
        <f t="shared" si="101"/>
        <v>314</v>
      </c>
      <c r="V162" s="27">
        <v>14053</v>
      </c>
      <c r="W162" s="28">
        <f t="shared" si="102"/>
        <v>86</v>
      </c>
      <c r="X162" s="27"/>
      <c r="Y162" s="28"/>
      <c r="Z162" s="27"/>
      <c r="AA162" s="28"/>
      <c r="AB162" s="27">
        <v>9460</v>
      </c>
      <c r="AC162" s="28">
        <f t="shared" si="103"/>
        <v>51</v>
      </c>
      <c r="AD162" s="27">
        <v>9321</v>
      </c>
      <c r="AE162" s="28">
        <f t="shared" si="104"/>
        <v>28</v>
      </c>
      <c r="AF162" s="27"/>
      <c r="AG162" s="28" t="str">
        <f t="shared" si="105"/>
        <v/>
      </c>
      <c r="AH162" s="27"/>
      <c r="AI162" s="28" t="str">
        <f t="shared" si="115"/>
        <v/>
      </c>
      <c r="AJ162" s="27"/>
      <c r="AK162" s="28" t="str">
        <f t="shared" si="107"/>
        <v/>
      </c>
      <c r="AL162" s="27"/>
      <c r="AM162" s="28" t="str">
        <f t="shared" si="108"/>
        <v/>
      </c>
      <c r="AN162" s="24">
        <f t="shared" si="109"/>
        <v>154</v>
      </c>
      <c r="AO162" s="24">
        <f t="shared" si="114"/>
        <v>114</v>
      </c>
      <c r="AP162" s="24">
        <f t="shared" si="110"/>
        <v>319</v>
      </c>
      <c r="AQ162" s="25">
        <f t="shared" si="111"/>
        <v>1051</v>
      </c>
      <c r="AR162" s="25">
        <f t="shared" si="112"/>
        <v>200</v>
      </c>
      <c r="AS162" s="25">
        <f t="shared" si="113"/>
        <v>1200</v>
      </c>
    </row>
    <row r="163" spans="2:45" x14ac:dyDescent="0.3">
      <c r="B163" s="9" t="s">
        <v>69</v>
      </c>
      <c r="C163" s="33">
        <v>45989</v>
      </c>
      <c r="D163" s="27">
        <v>191766</v>
      </c>
      <c r="E163" s="28">
        <f t="shared" si="93"/>
        <v>988</v>
      </c>
      <c r="F163" s="27"/>
      <c r="G163" s="28" t="str">
        <f t="shared" si="94"/>
        <v/>
      </c>
      <c r="H163" s="27"/>
      <c r="I163" s="28" t="str">
        <f t="shared" si="95"/>
        <v/>
      </c>
      <c r="J163" s="27"/>
      <c r="K163" s="28" t="str">
        <f t="shared" si="96"/>
        <v/>
      </c>
      <c r="L163" s="27"/>
      <c r="M163" s="28" t="str">
        <f t="shared" si="97"/>
        <v/>
      </c>
      <c r="N163" s="27">
        <v>34543</v>
      </c>
      <c r="O163" s="28">
        <f t="shared" si="98"/>
        <v>17</v>
      </c>
      <c r="P163" s="27">
        <v>16293</v>
      </c>
      <c r="Q163" s="28">
        <f t="shared" si="99"/>
        <v>147</v>
      </c>
      <c r="R163" s="27"/>
      <c r="S163" s="28" t="str">
        <f t="shared" si="100"/>
        <v/>
      </c>
      <c r="T163" s="29">
        <v>73192</v>
      </c>
      <c r="U163" s="28">
        <f t="shared" si="101"/>
        <v>296</v>
      </c>
      <c r="V163" s="27">
        <v>14139</v>
      </c>
      <c r="W163" s="28">
        <f t="shared" si="102"/>
        <v>79</v>
      </c>
      <c r="X163" s="27"/>
      <c r="Y163" s="28"/>
      <c r="Z163" s="27"/>
      <c r="AA163" s="28"/>
      <c r="AB163" s="27">
        <v>9511</v>
      </c>
      <c r="AC163" s="28">
        <f t="shared" si="103"/>
        <v>41</v>
      </c>
      <c r="AD163" s="27">
        <v>9349</v>
      </c>
      <c r="AE163" s="28">
        <f t="shared" si="104"/>
        <v>29</v>
      </c>
      <c r="AF163" s="27"/>
      <c r="AG163" s="28" t="str">
        <f t="shared" si="105"/>
        <v/>
      </c>
      <c r="AH163" s="27"/>
      <c r="AI163" s="28" t="str">
        <f t="shared" si="115"/>
        <v/>
      </c>
      <c r="AJ163" s="27"/>
      <c r="AK163" s="28" t="str">
        <f t="shared" si="107"/>
        <v/>
      </c>
      <c r="AL163" s="27"/>
      <c r="AM163" s="28" t="str">
        <f t="shared" si="108"/>
        <v/>
      </c>
      <c r="AN163" s="24">
        <f t="shared" si="109"/>
        <v>164</v>
      </c>
      <c r="AO163" s="24">
        <f t="shared" si="114"/>
        <v>108</v>
      </c>
      <c r="AP163" s="24">
        <f t="shared" si="110"/>
        <v>313</v>
      </c>
      <c r="AQ163" s="25">
        <f t="shared" si="111"/>
        <v>824</v>
      </c>
      <c r="AR163" s="25">
        <f t="shared" si="112"/>
        <v>188</v>
      </c>
      <c r="AS163" s="25">
        <f t="shared" si="113"/>
        <v>971</v>
      </c>
    </row>
    <row r="164" spans="2:45" x14ac:dyDescent="0.3">
      <c r="B164" s="9" t="s">
        <v>70</v>
      </c>
      <c r="C164" s="33">
        <v>45990</v>
      </c>
      <c r="D164" s="27">
        <v>192754</v>
      </c>
      <c r="E164" s="28">
        <f t="shared" si="93"/>
        <v>1159</v>
      </c>
      <c r="F164" s="27"/>
      <c r="G164" s="28" t="str">
        <f t="shared" si="94"/>
        <v/>
      </c>
      <c r="H164" s="27"/>
      <c r="I164" s="28" t="str">
        <f t="shared" si="95"/>
        <v/>
      </c>
      <c r="J164" s="27"/>
      <c r="K164" s="28" t="str">
        <f t="shared" si="96"/>
        <v/>
      </c>
      <c r="L164" s="27"/>
      <c r="M164" s="28" t="str">
        <f t="shared" si="97"/>
        <v/>
      </c>
      <c r="N164" s="27">
        <v>34560</v>
      </c>
      <c r="O164" s="28">
        <f t="shared" si="98"/>
        <v>9</v>
      </c>
      <c r="P164" s="27">
        <v>16440</v>
      </c>
      <c r="Q164" s="28">
        <f t="shared" si="99"/>
        <v>143</v>
      </c>
      <c r="R164" s="27"/>
      <c r="S164" s="28" t="str">
        <f t="shared" si="100"/>
        <v/>
      </c>
      <c r="T164" s="29">
        <v>73488</v>
      </c>
      <c r="U164" s="28">
        <f t="shared" si="101"/>
        <v>275</v>
      </c>
      <c r="V164" s="27">
        <v>14218</v>
      </c>
      <c r="W164" s="28">
        <f t="shared" si="102"/>
        <v>87</v>
      </c>
      <c r="X164" s="27"/>
      <c r="Y164" s="28"/>
      <c r="Z164" s="27"/>
      <c r="AA164" s="28"/>
      <c r="AB164" s="27">
        <v>9552</v>
      </c>
      <c r="AC164" s="28">
        <f t="shared" si="103"/>
        <v>17</v>
      </c>
      <c r="AD164" s="27">
        <v>9378</v>
      </c>
      <c r="AE164" s="28">
        <f t="shared" si="104"/>
        <v>27</v>
      </c>
      <c r="AF164" s="27"/>
      <c r="AG164" s="28" t="str">
        <f t="shared" si="105"/>
        <v/>
      </c>
      <c r="AH164" s="27"/>
      <c r="AI164" s="28" t="str">
        <f t="shared" si="115"/>
        <v/>
      </c>
      <c r="AJ164" s="27"/>
      <c r="AK164" s="28" t="str">
        <f t="shared" si="107"/>
        <v/>
      </c>
      <c r="AL164" s="27"/>
      <c r="AM164" s="28" t="str">
        <f t="shared" si="108"/>
        <v/>
      </c>
      <c r="AN164" s="24">
        <f t="shared" si="109"/>
        <v>152</v>
      </c>
      <c r="AO164" s="24">
        <f t="shared" si="114"/>
        <v>114</v>
      </c>
      <c r="AP164" s="24">
        <f t="shared" si="110"/>
        <v>283</v>
      </c>
      <c r="AQ164" s="25">
        <f t="shared" si="111"/>
        <v>1007</v>
      </c>
      <c r="AR164" s="25">
        <f t="shared" si="112"/>
        <v>161</v>
      </c>
      <c r="AS164" s="25">
        <f t="shared" si="113"/>
        <v>1151</v>
      </c>
    </row>
    <row r="165" spans="2:45" x14ac:dyDescent="0.3">
      <c r="B165" s="9" t="s">
        <v>71</v>
      </c>
      <c r="C165" s="33">
        <v>45991</v>
      </c>
      <c r="D165" s="27">
        <v>193913</v>
      </c>
      <c r="E165" s="28">
        <f t="shared" si="93"/>
        <v>165</v>
      </c>
      <c r="F165" s="27"/>
      <c r="G165" s="28" t="str">
        <f t="shared" si="94"/>
        <v/>
      </c>
      <c r="H165" s="27"/>
      <c r="I165" s="28" t="str">
        <f t="shared" si="95"/>
        <v/>
      </c>
      <c r="J165" s="27"/>
      <c r="K165" s="28" t="str">
        <f t="shared" si="96"/>
        <v/>
      </c>
      <c r="L165" s="27"/>
      <c r="M165" s="28" t="str">
        <f t="shared" si="97"/>
        <v/>
      </c>
      <c r="N165" s="27">
        <v>34569</v>
      </c>
      <c r="O165" s="28">
        <f t="shared" si="98"/>
        <v>0</v>
      </c>
      <c r="P165" s="27">
        <v>16583</v>
      </c>
      <c r="Q165" s="28">
        <f t="shared" si="99"/>
        <v>3</v>
      </c>
      <c r="R165" s="27"/>
      <c r="S165" s="28" t="str">
        <f t="shared" si="100"/>
        <v/>
      </c>
      <c r="T165" s="29">
        <v>73763</v>
      </c>
      <c r="U165" s="28">
        <f t="shared" si="101"/>
        <v>0</v>
      </c>
      <c r="V165" s="27">
        <v>14305</v>
      </c>
      <c r="W165" s="28">
        <f t="shared" si="102"/>
        <v>0</v>
      </c>
      <c r="X165" s="27"/>
      <c r="Y165" s="28"/>
      <c r="Z165" s="27"/>
      <c r="AA165" s="28"/>
      <c r="AB165" s="27">
        <v>9569</v>
      </c>
      <c r="AC165" s="28">
        <f t="shared" si="103"/>
        <v>0</v>
      </c>
      <c r="AD165" s="27">
        <v>9405</v>
      </c>
      <c r="AE165" s="28">
        <f t="shared" si="104"/>
        <v>0</v>
      </c>
      <c r="AF165" s="27"/>
      <c r="AG165" s="28" t="str">
        <f t="shared" si="105"/>
        <v/>
      </c>
      <c r="AH165" s="27"/>
      <c r="AI165" s="28" t="str">
        <f t="shared" si="115"/>
        <v/>
      </c>
      <c r="AJ165" s="27"/>
      <c r="AK165" s="28" t="str">
        <f t="shared" si="107"/>
        <v/>
      </c>
      <c r="AL165" s="27"/>
      <c r="AM165" s="28" t="str">
        <f t="shared" si="108"/>
        <v/>
      </c>
      <c r="AN165" s="24">
        <f t="shared" si="109"/>
        <v>3</v>
      </c>
      <c r="AO165" s="24">
        <f t="shared" si="114"/>
        <v>0</v>
      </c>
      <c r="AP165" s="24">
        <f t="shared" si="110"/>
        <v>3</v>
      </c>
      <c r="AQ165" s="25">
        <f t="shared" si="111"/>
        <v>162</v>
      </c>
      <c r="AR165" s="25">
        <f t="shared" si="112"/>
        <v>0</v>
      </c>
      <c r="AS165" s="25">
        <f t="shared" si="113"/>
        <v>162</v>
      </c>
    </row>
    <row r="166" spans="2:45" x14ac:dyDescent="0.3">
      <c r="B166" s="9" t="s">
        <v>72</v>
      </c>
      <c r="C166" s="33">
        <v>45992</v>
      </c>
      <c r="D166" s="27">
        <v>194078</v>
      </c>
      <c r="E166" s="28" t="str">
        <f t="shared" si="93"/>
        <v/>
      </c>
      <c r="F166" s="27"/>
      <c r="G166" s="28" t="str">
        <f t="shared" si="94"/>
        <v/>
      </c>
      <c r="H166" s="27"/>
      <c r="I166" s="28" t="str">
        <f t="shared" si="95"/>
        <v/>
      </c>
      <c r="J166" s="27"/>
      <c r="K166" s="28" t="str">
        <f t="shared" si="96"/>
        <v/>
      </c>
      <c r="L166" s="27"/>
      <c r="M166" s="28" t="str">
        <f t="shared" si="97"/>
        <v/>
      </c>
      <c r="N166" s="27">
        <v>34569</v>
      </c>
      <c r="O166" s="28" t="str">
        <f t="shared" si="98"/>
        <v/>
      </c>
      <c r="P166" s="27">
        <v>16586</v>
      </c>
      <c r="Q166" s="28" t="str">
        <f t="shared" si="99"/>
        <v/>
      </c>
      <c r="R166" s="27"/>
      <c r="S166" s="28" t="str">
        <f t="shared" si="100"/>
        <v/>
      </c>
      <c r="T166" s="29">
        <v>73763</v>
      </c>
      <c r="U166" s="28" t="str">
        <f t="shared" si="101"/>
        <v/>
      </c>
      <c r="V166" s="27">
        <v>14305</v>
      </c>
      <c r="W166" s="28" t="str">
        <f t="shared" si="102"/>
        <v/>
      </c>
      <c r="X166" s="27"/>
      <c r="Y166" s="28"/>
      <c r="Z166" s="27"/>
      <c r="AA166" s="28"/>
      <c r="AB166" s="27">
        <v>9569</v>
      </c>
      <c r="AC166" s="28" t="str">
        <f t="shared" si="103"/>
        <v/>
      </c>
      <c r="AD166" s="27">
        <v>9405</v>
      </c>
      <c r="AE166" s="28" t="str">
        <f t="shared" si="104"/>
        <v/>
      </c>
      <c r="AF166" s="27"/>
      <c r="AG166" s="28" t="str">
        <f t="shared" si="105"/>
        <v/>
      </c>
      <c r="AH166" s="27"/>
      <c r="AI166" s="28" t="str">
        <f t="shared" si="115"/>
        <v/>
      </c>
      <c r="AJ166" s="27"/>
      <c r="AK166" s="28" t="str">
        <f t="shared" si="107"/>
        <v/>
      </c>
      <c r="AL166" s="27"/>
      <c r="AM166" s="28" t="str">
        <f t="shared" si="108"/>
        <v/>
      </c>
      <c r="AN166" s="24">
        <f t="shared" si="109"/>
        <v>0</v>
      </c>
      <c r="AO166" s="24">
        <f t="shared" si="114"/>
        <v>0</v>
      </c>
      <c r="AP166" s="24">
        <f t="shared" si="110"/>
        <v>0</v>
      </c>
      <c r="AQ166" s="25" t="e">
        <f t="shared" si="111"/>
        <v>#VALUE!</v>
      </c>
      <c r="AR166" s="25" t="e">
        <f t="shared" si="112"/>
        <v>#VALUE!</v>
      </c>
      <c r="AS166" s="25" t="e">
        <f t="shared" si="113"/>
        <v>#VALUE!</v>
      </c>
    </row>
    <row r="167" spans="2:45" x14ac:dyDescent="0.3">
      <c r="B167" s="9" t="s">
        <v>66</v>
      </c>
      <c r="C167" s="33">
        <v>45993</v>
      </c>
      <c r="D167" s="27"/>
      <c r="E167" s="28" t="str">
        <f t="shared" si="93"/>
        <v/>
      </c>
      <c r="F167" s="27"/>
      <c r="G167" s="28" t="str">
        <f t="shared" si="94"/>
        <v/>
      </c>
      <c r="H167" s="27"/>
      <c r="I167" s="28" t="str">
        <f t="shared" si="95"/>
        <v/>
      </c>
      <c r="J167" s="27"/>
      <c r="K167" s="28" t="str">
        <f t="shared" si="96"/>
        <v/>
      </c>
      <c r="L167" s="27"/>
      <c r="M167" s="28" t="str">
        <f t="shared" si="97"/>
        <v/>
      </c>
      <c r="N167" s="27"/>
      <c r="O167" s="28" t="str">
        <f t="shared" si="98"/>
        <v/>
      </c>
      <c r="P167" s="27"/>
      <c r="Q167" s="28" t="str">
        <f t="shared" si="99"/>
        <v/>
      </c>
      <c r="R167" s="27"/>
      <c r="S167" s="28" t="str">
        <f t="shared" si="100"/>
        <v/>
      </c>
      <c r="T167" s="29"/>
      <c r="U167" s="28" t="str">
        <f t="shared" si="101"/>
        <v/>
      </c>
      <c r="V167" s="27"/>
      <c r="W167" s="28" t="str">
        <f t="shared" si="102"/>
        <v/>
      </c>
      <c r="X167" s="27"/>
      <c r="Y167" s="28"/>
      <c r="Z167" s="27"/>
      <c r="AA167" s="28"/>
      <c r="AB167" s="27"/>
      <c r="AC167" s="28" t="str">
        <f t="shared" si="103"/>
        <v/>
      </c>
      <c r="AD167" s="27"/>
      <c r="AE167" s="28" t="str">
        <f t="shared" si="104"/>
        <v/>
      </c>
      <c r="AF167" s="27"/>
      <c r="AG167" s="28" t="str">
        <f t="shared" si="105"/>
        <v/>
      </c>
      <c r="AH167" s="27"/>
      <c r="AI167" s="28" t="str">
        <f t="shared" si="115"/>
        <v/>
      </c>
      <c r="AJ167" s="27"/>
      <c r="AK167" s="28" t="str">
        <f t="shared" si="107"/>
        <v/>
      </c>
      <c r="AL167" s="27"/>
      <c r="AM167" s="28" t="str">
        <f t="shared" si="108"/>
        <v/>
      </c>
      <c r="AN167" s="24">
        <f t="shared" si="109"/>
        <v>0</v>
      </c>
      <c r="AO167" s="24">
        <f t="shared" si="114"/>
        <v>0</v>
      </c>
      <c r="AP167" s="24">
        <f t="shared" si="110"/>
        <v>0</v>
      </c>
      <c r="AQ167" s="25" t="e">
        <f t="shared" si="111"/>
        <v>#VALUE!</v>
      </c>
      <c r="AR167" s="25" t="e">
        <f t="shared" si="112"/>
        <v>#VALUE!</v>
      </c>
      <c r="AS167" s="25" t="e">
        <f t="shared" si="113"/>
        <v>#VALUE!</v>
      </c>
    </row>
    <row r="168" spans="2:45" s="26" customFormat="1" ht="45" customHeight="1" x14ac:dyDescent="0.3">
      <c r="B168" s="190" t="s">
        <v>73</v>
      </c>
      <c r="C168" s="191"/>
      <c r="D168" s="21"/>
      <c r="E168" s="22">
        <f>SUM(E136:E166)</f>
        <v>43492</v>
      </c>
      <c r="F168" s="21"/>
      <c r="G168" s="22">
        <f>SUM(G136:G166)</f>
        <v>0</v>
      </c>
      <c r="H168" s="21"/>
      <c r="I168" s="22">
        <f>SUM(I136:I166)</f>
        <v>0</v>
      </c>
      <c r="J168" s="21"/>
      <c r="K168" s="22">
        <f>SUM(K136:K166)</f>
        <v>0</v>
      </c>
      <c r="L168" s="21"/>
      <c r="M168" s="22">
        <f>SUM(M136:M166)</f>
        <v>0</v>
      </c>
      <c r="N168" s="21"/>
      <c r="O168" s="22">
        <f>SUM(O136:O166)</f>
        <v>2249</v>
      </c>
      <c r="P168" s="21"/>
      <c r="Q168" s="22">
        <f>SUM(Q136:Q166)</f>
        <v>4046</v>
      </c>
      <c r="R168" s="21"/>
      <c r="S168" s="22">
        <f>SUM(S136:S166)</f>
        <v>0</v>
      </c>
      <c r="T168" s="23"/>
      <c r="U168" s="22">
        <f>SUM(U136:U166)</f>
        <v>9903</v>
      </c>
      <c r="V168" s="21"/>
      <c r="W168" s="22">
        <f>SUM(W136:W166)</f>
        <v>2315</v>
      </c>
      <c r="X168" s="21"/>
      <c r="Y168" s="22">
        <f>SUM(Y136:Y166)</f>
        <v>0</v>
      </c>
      <c r="Z168" s="21"/>
      <c r="AA168" s="22">
        <f>SUM(AA136:AA166)</f>
        <v>0</v>
      </c>
      <c r="AB168" s="21"/>
      <c r="AC168" s="22">
        <f>SUM(AC136:AC166)</f>
        <v>1736</v>
      </c>
      <c r="AD168" s="21"/>
      <c r="AE168" s="22">
        <f>SUM(AE136:AE166)</f>
        <v>1792</v>
      </c>
      <c r="AF168" s="21"/>
      <c r="AG168" s="22">
        <f>SUM(AG136:AG166)</f>
        <v>0</v>
      </c>
      <c r="AH168" s="21"/>
      <c r="AI168" s="22">
        <f>SUM(AI136:AI166)</f>
        <v>0</v>
      </c>
      <c r="AJ168" s="21"/>
      <c r="AK168" s="22">
        <f>SUM(AK136:AK166)</f>
        <v>0</v>
      </c>
      <c r="AL168" s="21"/>
      <c r="AM168" s="22">
        <f>SUM(AM136:AM166)</f>
        <v>0</v>
      </c>
      <c r="AN168" s="24">
        <f>SUM(G168,I168,K168,M168,O168,Q168,S168)</f>
        <v>6295</v>
      </c>
      <c r="AO168" s="24">
        <f>SUM(W168,Y168,AA168,AE168,AG168,AK168,AM168,AC168,AI168)</f>
        <v>5843</v>
      </c>
      <c r="AP168" s="24">
        <f>SUM(G168,I168,K168,M168,O168,Q168,S168,W168,Y168,AA168,AC168,AE168,AG168,AI168,AK168,AM168)</f>
        <v>12138</v>
      </c>
      <c r="AQ168" s="25">
        <f>E168-AN168</f>
        <v>37197</v>
      </c>
      <c r="AR168" s="25">
        <f>U168-AO168</f>
        <v>4060</v>
      </c>
      <c r="AS168" s="25">
        <f>(E168+U168)-AP168</f>
        <v>41257</v>
      </c>
    </row>
  </sheetData>
  <mergeCells count="54">
    <mergeCell ref="B168:C168"/>
    <mergeCell ref="B1:AP1"/>
    <mergeCell ref="B2:B5"/>
    <mergeCell ref="C2:C5"/>
    <mergeCell ref="D2:E2"/>
    <mergeCell ref="F2:S2"/>
    <mergeCell ref="AN2:AN5"/>
    <mergeCell ref="AO2:AO5"/>
    <mergeCell ref="AP2:AP5"/>
    <mergeCell ref="D3:E3"/>
    <mergeCell ref="T2:U2"/>
    <mergeCell ref="H3:I3"/>
    <mergeCell ref="H4:I4"/>
    <mergeCell ref="J3:K3"/>
    <mergeCell ref="L3:M3"/>
    <mergeCell ref="L4:M4"/>
    <mergeCell ref="B70:C70"/>
    <mergeCell ref="AB3:AC3"/>
    <mergeCell ref="AD3:AE3"/>
    <mergeCell ref="Z4:AA4"/>
    <mergeCell ref="Z3:AA3"/>
    <mergeCell ref="D4:E4"/>
    <mergeCell ref="F4:G4"/>
    <mergeCell ref="N4:O4"/>
    <mergeCell ref="P4:Q4"/>
    <mergeCell ref="R4:S4"/>
    <mergeCell ref="F3:G3"/>
    <mergeCell ref="N3:O3"/>
    <mergeCell ref="P3:Q3"/>
    <mergeCell ref="B37:C37"/>
    <mergeCell ref="X3:Y3"/>
    <mergeCell ref="X4:Y4"/>
    <mergeCell ref="AQ2:AQ5"/>
    <mergeCell ref="AR2:AR5"/>
    <mergeCell ref="J4:K4"/>
    <mergeCell ref="AL3:AM3"/>
    <mergeCell ref="AL4:AM4"/>
    <mergeCell ref="R3:S3"/>
    <mergeCell ref="B135:C135"/>
    <mergeCell ref="B102:C102"/>
    <mergeCell ref="AS2:AS5"/>
    <mergeCell ref="T4:U4"/>
    <mergeCell ref="AB4:AC4"/>
    <mergeCell ref="AD4:AE4"/>
    <mergeCell ref="AF4:AG4"/>
    <mergeCell ref="AH4:AI4"/>
    <mergeCell ref="T3:U3"/>
    <mergeCell ref="V3:W3"/>
    <mergeCell ref="V4:W4"/>
    <mergeCell ref="V2:AM2"/>
    <mergeCell ref="AJ3:AK3"/>
    <mergeCell ref="AJ4:AK4"/>
    <mergeCell ref="AF3:AG3"/>
    <mergeCell ref="AH3:AI3"/>
  </mergeCells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BBDB-5DA7-4D29-B7D7-AA7A6B30EAB8}">
  <dimension ref="B2:R32"/>
  <sheetViews>
    <sheetView showGridLines="0" workbookViewId="0">
      <selection activeCell="V17" sqref="V17"/>
    </sheetView>
  </sheetViews>
  <sheetFormatPr defaultRowHeight="14.4" x14ac:dyDescent="0.3"/>
  <cols>
    <col min="3" max="3" width="5.33203125" bestFit="1" customWidth="1"/>
    <col min="5" max="5" width="4.33203125" bestFit="1" customWidth="1"/>
    <col min="7" max="7" width="4.33203125" bestFit="1" customWidth="1"/>
    <col min="9" max="9" width="5.33203125" bestFit="1" customWidth="1"/>
    <col min="10" max="11" width="7.33203125" bestFit="1" customWidth="1"/>
    <col min="12" max="12" width="10.109375" bestFit="1" customWidth="1"/>
    <col min="13" max="13" width="7.6640625" bestFit="1" customWidth="1"/>
    <col min="14" max="14" width="11.88671875" customWidth="1"/>
    <col min="15" max="15" width="4.33203125" bestFit="1" customWidth="1"/>
    <col min="18" max="18" width="7.88671875" bestFit="1" customWidth="1"/>
  </cols>
  <sheetData>
    <row r="2" spans="2:18" x14ac:dyDescent="0.3">
      <c r="B2" s="199" t="s">
        <v>129</v>
      </c>
      <c r="C2" s="200"/>
      <c r="D2" s="200"/>
      <c r="E2" s="200"/>
      <c r="F2" s="200"/>
      <c r="G2" s="200"/>
      <c r="H2" s="200"/>
      <c r="I2" s="200"/>
      <c r="J2" s="200"/>
      <c r="K2" s="200"/>
      <c r="M2" s="195" t="s">
        <v>130</v>
      </c>
      <c r="N2" s="195"/>
      <c r="O2" s="195"/>
      <c r="P2" s="195"/>
      <c r="Q2" s="195"/>
      <c r="R2" s="196"/>
    </row>
    <row r="3" spans="2:18" ht="27.6" x14ac:dyDescent="0.3">
      <c r="B3" s="128" t="s">
        <v>131</v>
      </c>
      <c r="C3" s="128"/>
      <c r="D3" s="128"/>
      <c r="E3" s="128"/>
      <c r="F3" s="128" t="s">
        <v>132</v>
      </c>
      <c r="G3" s="128"/>
      <c r="H3" s="197" t="s">
        <v>133</v>
      </c>
      <c r="I3" s="198"/>
      <c r="J3" s="198"/>
      <c r="K3" s="198"/>
      <c r="M3" s="65" t="s">
        <v>134</v>
      </c>
      <c r="N3" s="65" t="s">
        <v>135</v>
      </c>
      <c r="O3" s="65" t="s">
        <v>136</v>
      </c>
      <c r="P3" s="65" t="s">
        <v>137</v>
      </c>
      <c r="Q3" s="65" t="s">
        <v>138</v>
      </c>
      <c r="R3" s="66" t="s">
        <v>139</v>
      </c>
    </row>
    <row r="4" spans="2:18" ht="27.6" x14ac:dyDescent="0.3">
      <c r="B4" s="128" t="s">
        <v>140</v>
      </c>
      <c r="C4" s="128"/>
      <c r="D4" s="128" t="s">
        <v>141</v>
      </c>
      <c r="E4" s="128"/>
      <c r="F4" s="128" t="s">
        <v>142</v>
      </c>
      <c r="G4" s="128"/>
      <c r="H4" s="128" t="s">
        <v>143</v>
      </c>
      <c r="I4" s="128"/>
      <c r="J4" s="45" t="s">
        <v>144</v>
      </c>
      <c r="K4" s="45" t="s">
        <v>145</v>
      </c>
      <c r="M4" s="65" t="s">
        <v>109</v>
      </c>
      <c r="N4" s="67">
        <v>1.8</v>
      </c>
      <c r="O4" s="68">
        <v>12</v>
      </c>
      <c r="P4" s="68">
        <f>O4*N4</f>
        <v>21.6</v>
      </c>
      <c r="Q4" s="68">
        <f>P4*8</f>
        <v>172.8</v>
      </c>
      <c r="R4" s="69">
        <f>Q4*26</f>
        <v>4492.8</v>
      </c>
    </row>
    <row r="5" spans="2:18" x14ac:dyDescent="0.3">
      <c r="B5" s="45" t="s">
        <v>146</v>
      </c>
      <c r="C5" s="45" t="s">
        <v>136</v>
      </c>
      <c r="D5" s="45" t="s">
        <v>146</v>
      </c>
      <c r="E5" s="45" t="s">
        <v>136</v>
      </c>
      <c r="F5" s="45" t="s">
        <v>146</v>
      </c>
      <c r="G5" s="45" t="s">
        <v>136</v>
      </c>
      <c r="H5" s="45" t="s">
        <v>146</v>
      </c>
      <c r="I5" s="45" t="s">
        <v>147</v>
      </c>
      <c r="J5" s="45" t="s">
        <v>147</v>
      </c>
      <c r="K5" s="45" t="s">
        <v>147</v>
      </c>
      <c r="M5" s="65" t="s">
        <v>110</v>
      </c>
      <c r="N5" s="67">
        <v>1.8</v>
      </c>
      <c r="O5" s="68">
        <v>17</v>
      </c>
      <c r="P5" s="68">
        <f>O5*N5</f>
        <v>30.6</v>
      </c>
      <c r="Q5" s="68">
        <f>P5*8</f>
        <v>244.8</v>
      </c>
      <c r="R5" s="69">
        <f>Q5*26</f>
        <v>6364.8</v>
      </c>
    </row>
    <row r="6" spans="2:18" x14ac:dyDescent="0.3">
      <c r="B6" s="45" t="s">
        <v>148</v>
      </c>
      <c r="C6" s="38">
        <v>38</v>
      </c>
      <c r="D6" s="45" t="s">
        <v>149</v>
      </c>
      <c r="E6" s="38">
        <v>7</v>
      </c>
      <c r="F6" s="45" t="s">
        <v>149</v>
      </c>
      <c r="G6" s="38">
        <v>17</v>
      </c>
      <c r="H6" s="45" t="s">
        <v>149</v>
      </c>
      <c r="I6" s="38">
        <v>39</v>
      </c>
      <c r="J6" s="38"/>
      <c r="K6" s="38"/>
      <c r="M6" s="65" t="s">
        <v>112</v>
      </c>
      <c r="N6" s="67">
        <v>1.8</v>
      </c>
      <c r="O6" s="68">
        <v>17</v>
      </c>
      <c r="P6" s="68">
        <f>O6*N6</f>
        <v>30.6</v>
      </c>
      <c r="Q6" s="68">
        <f>P6*8</f>
        <v>244.8</v>
      </c>
      <c r="R6" s="69">
        <f>Q6*26</f>
        <v>6364.8</v>
      </c>
    </row>
    <row r="7" spans="2:18" ht="27.6" x14ac:dyDescent="0.3">
      <c r="B7" s="45" t="s">
        <v>150</v>
      </c>
      <c r="C7" s="38">
        <v>32</v>
      </c>
      <c r="D7" s="45" t="s">
        <v>151</v>
      </c>
      <c r="E7" s="38">
        <v>7</v>
      </c>
      <c r="F7" s="45" t="s">
        <v>151</v>
      </c>
      <c r="G7" s="38">
        <v>17</v>
      </c>
      <c r="H7" s="45" t="s">
        <v>151</v>
      </c>
      <c r="I7" s="38">
        <v>39</v>
      </c>
      <c r="J7" s="38"/>
      <c r="K7" s="38"/>
      <c r="M7" s="65" t="s">
        <v>93</v>
      </c>
      <c r="N7" s="67">
        <v>1.8</v>
      </c>
      <c r="O7" s="68">
        <v>11</v>
      </c>
      <c r="P7" s="68">
        <f>O7*N7</f>
        <v>19.8</v>
      </c>
      <c r="Q7" s="68">
        <f>P7*8</f>
        <v>158.4</v>
      </c>
      <c r="R7" s="69">
        <f>Q7*26</f>
        <v>4118.4000000000005</v>
      </c>
    </row>
    <row r="8" spans="2:18" x14ac:dyDescent="0.3">
      <c r="B8" s="45" t="s">
        <v>151</v>
      </c>
      <c r="C8" s="38">
        <v>32</v>
      </c>
      <c r="D8" s="45" t="s">
        <v>152</v>
      </c>
      <c r="E8" s="38">
        <v>7</v>
      </c>
      <c r="F8" s="45" t="s">
        <v>152</v>
      </c>
      <c r="G8" s="38">
        <v>17</v>
      </c>
      <c r="H8" s="45" t="s">
        <v>152</v>
      </c>
      <c r="I8" s="38">
        <v>39</v>
      </c>
      <c r="J8" s="38"/>
      <c r="K8" s="38"/>
      <c r="M8" s="70" t="s">
        <v>153</v>
      </c>
      <c r="N8" s="67">
        <f>SUM(N4:N7)</f>
        <v>7.2</v>
      </c>
      <c r="O8" s="68">
        <f>SUM(O4:O7)</f>
        <v>57</v>
      </c>
      <c r="P8" s="71">
        <f>SUM(P4:P7)</f>
        <v>102.60000000000001</v>
      </c>
      <c r="Q8" s="71">
        <f>SUM(Q4:Q7)</f>
        <v>820.80000000000007</v>
      </c>
      <c r="R8" s="72">
        <f>SUM(R4:R7)</f>
        <v>21340.800000000003</v>
      </c>
    </row>
    <row r="9" spans="2:18" x14ac:dyDescent="0.3">
      <c r="B9" s="45" t="s">
        <v>152</v>
      </c>
      <c r="C9" s="38">
        <v>32</v>
      </c>
      <c r="D9" s="45" t="s">
        <v>154</v>
      </c>
      <c r="E9" s="38">
        <v>7</v>
      </c>
      <c r="F9" s="45" t="s">
        <v>154</v>
      </c>
      <c r="G9" s="38">
        <v>17</v>
      </c>
      <c r="H9" s="45" t="s">
        <v>154</v>
      </c>
      <c r="I9" s="38">
        <v>39</v>
      </c>
      <c r="J9" s="38"/>
      <c r="K9" s="38"/>
    </row>
    <row r="10" spans="2:18" x14ac:dyDescent="0.3">
      <c r="B10" s="45" t="s">
        <v>154</v>
      </c>
      <c r="C10" s="38">
        <v>32</v>
      </c>
      <c r="D10" s="45" t="s">
        <v>155</v>
      </c>
      <c r="E10" s="38">
        <v>7</v>
      </c>
      <c r="F10" s="45" t="s">
        <v>155</v>
      </c>
      <c r="G10" s="38">
        <v>17</v>
      </c>
      <c r="H10" s="45" t="s">
        <v>155</v>
      </c>
      <c r="I10" s="38">
        <v>39</v>
      </c>
      <c r="J10" s="38"/>
      <c r="K10" s="38"/>
      <c r="M10" s="35"/>
      <c r="N10" s="35"/>
      <c r="O10" s="35"/>
      <c r="P10" s="35"/>
      <c r="Q10" s="35"/>
      <c r="R10" s="44"/>
    </row>
    <row r="11" spans="2:18" x14ac:dyDescent="0.3">
      <c r="B11" s="45" t="s">
        <v>155</v>
      </c>
      <c r="C11" s="38">
        <v>38</v>
      </c>
      <c r="D11" s="45" t="s">
        <v>156</v>
      </c>
      <c r="E11" s="38">
        <v>7</v>
      </c>
      <c r="F11" s="45" t="s">
        <v>156</v>
      </c>
      <c r="G11" s="38">
        <v>17</v>
      </c>
      <c r="H11" s="45" t="s">
        <v>156</v>
      </c>
      <c r="I11" s="38">
        <v>39</v>
      </c>
      <c r="J11" s="38"/>
      <c r="K11" s="38"/>
    </row>
    <row r="12" spans="2:18" x14ac:dyDescent="0.3">
      <c r="B12" s="45" t="s">
        <v>156</v>
      </c>
      <c r="C12" s="38">
        <v>38</v>
      </c>
      <c r="D12" s="45" t="s">
        <v>157</v>
      </c>
      <c r="E12" s="38">
        <v>7</v>
      </c>
      <c r="F12" s="45" t="s">
        <v>157</v>
      </c>
      <c r="G12" s="38">
        <v>17</v>
      </c>
      <c r="H12" s="45" t="s">
        <v>157</v>
      </c>
      <c r="I12" s="38">
        <v>39</v>
      </c>
      <c r="J12" s="38"/>
      <c r="K12" s="38"/>
    </row>
    <row r="13" spans="2:18" x14ac:dyDescent="0.3">
      <c r="B13" s="45" t="s">
        <v>157</v>
      </c>
      <c r="C13" s="38">
        <v>38</v>
      </c>
      <c r="D13" s="45" t="s">
        <v>158</v>
      </c>
      <c r="E13" s="38">
        <v>7</v>
      </c>
      <c r="F13" s="45" t="s">
        <v>158</v>
      </c>
      <c r="G13" s="38">
        <v>17</v>
      </c>
      <c r="H13" s="45" t="s">
        <v>158</v>
      </c>
      <c r="I13" s="38">
        <v>39</v>
      </c>
      <c r="J13" s="38"/>
      <c r="K13" s="38"/>
    </row>
    <row r="14" spans="2:18" x14ac:dyDescent="0.3">
      <c r="B14" s="45" t="s">
        <v>158</v>
      </c>
      <c r="C14" s="38">
        <v>38</v>
      </c>
      <c r="D14" s="45" t="s">
        <v>159</v>
      </c>
      <c r="E14" s="38">
        <v>7</v>
      </c>
      <c r="F14" s="45" t="s">
        <v>159</v>
      </c>
      <c r="G14" s="38">
        <v>17</v>
      </c>
      <c r="H14" s="45" t="s">
        <v>159</v>
      </c>
      <c r="I14" s="38">
        <v>39</v>
      </c>
      <c r="J14" s="38"/>
      <c r="K14" s="38"/>
    </row>
    <row r="15" spans="2:18" x14ac:dyDescent="0.3">
      <c r="B15" s="45" t="s">
        <v>159</v>
      </c>
      <c r="C15" s="38">
        <v>38</v>
      </c>
      <c r="D15" s="45" t="s">
        <v>160</v>
      </c>
      <c r="E15" s="38">
        <v>7</v>
      </c>
      <c r="F15" s="45" t="s">
        <v>160</v>
      </c>
      <c r="G15" s="38">
        <v>17</v>
      </c>
      <c r="H15" s="45" t="s">
        <v>160</v>
      </c>
      <c r="I15" s="38">
        <v>39</v>
      </c>
      <c r="J15" s="38"/>
      <c r="K15" s="38"/>
    </row>
    <row r="16" spans="2:18" x14ac:dyDescent="0.3">
      <c r="B16" s="45" t="s">
        <v>160</v>
      </c>
      <c r="C16" s="38">
        <v>38</v>
      </c>
      <c r="D16" s="45" t="s">
        <v>161</v>
      </c>
      <c r="E16" s="38">
        <v>7</v>
      </c>
      <c r="F16" s="45" t="s">
        <v>161</v>
      </c>
      <c r="G16" s="38">
        <v>17</v>
      </c>
      <c r="H16" s="45" t="s">
        <v>161</v>
      </c>
      <c r="I16" s="38">
        <v>39</v>
      </c>
      <c r="J16" s="38"/>
      <c r="K16" s="38"/>
    </row>
    <row r="17" spans="2:12" x14ac:dyDescent="0.3">
      <c r="B17" s="45" t="s">
        <v>161</v>
      </c>
      <c r="C17" s="38">
        <v>38</v>
      </c>
      <c r="D17" s="45" t="s">
        <v>162</v>
      </c>
      <c r="E17" s="38">
        <v>7</v>
      </c>
      <c r="F17" s="45" t="s">
        <v>162</v>
      </c>
      <c r="G17" s="38">
        <v>17</v>
      </c>
      <c r="H17" s="45" t="s">
        <v>162</v>
      </c>
      <c r="I17" s="38">
        <v>39</v>
      </c>
      <c r="J17" s="38"/>
      <c r="K17" s="38"/>
    </row>
    <row r="18" spans="2:12" x14ac:dyDescent="0.3">
      <c r="B18" s="45" t="s">
        <v>162</v>
      </c>
      <c r="C18" s="38">
        <v>38</v>
      </c>
      <c r="D18" s="45" t="s">
        <v>163</v>
      </c>
      <c r="E18" s="38">
        <v>7</v>
      </c>
      <c r="F18" s="45" t="s">
        <v>163</v>
      </c>
      <c r="G18" s="38">
        <v>17</v>
      </c>
      <c r="H18" s="45" t="s">
        <v>163</v>
      </c>
      <c r="I18" s="38">
        <v>39</v>
      </c>
      <c r="J18" s="38"/>
      <c r="K18" s="38"/>
    </row>
    <row r="19" spans="2:12" x14ac:dyDescent="0.3">
      <c r="B19" s="45" t="s">
        <v>163</v>
      </c>
      <c r="C19" s="38">
        <v>38</v>
      </c>
      <c r="D19" s="45" t="s">
        <v>164</v>
      </c>
      <c r="E19" s="38">
        <v>7</v>
      </c>
      <c r="F19" s="45" t="s">
        <v>164</v>
      </c>
      <c r="G19" s="38">
        <v>17</v>
      </c>
      <c r="H19" s="45" t="s">
        <v>164</v>
      </c>
      <c r="I19" s="38">
        <v>39</v>
      </c>
      <c r="J19" s="38"/>
      <c r="K19" s="38"/>
    </row>
    <row r="20" spans="2:12" ht="27.6" x14ac:dyDescent="0.3">
      <c r="B20" s="45" t="s">
        <v>164</v>
      </c>
      <c r="C20" s="38">
        <v>38</v>
      </c>
      <c r="D20" s="45" t="s">
        <v>165</v>
      </c>
      <c r="E20" s="38">
        <v>7</v>
      </c>
      <c r="F20" s="45" t="s">
        <v>165</v>
      </c>
      <c r="G20" s="38">
        <v>17</v>
      </c>
      <c r="H20" s="45" t="s">
        <v>180</v>
      </c>
      <c r="I20" s="38"/>
      <c r="J20" s="38">
        <v>199</v>
      </c>
      <c r="K20" s="38">
        <v>40</v>
      </c>
    </row>
    <row r="21" spans="2:12" x14ac:dyDescent="0.3">
      <c r="B21" s="45" t="s">
        <v>165</v>
      </c>
      <c r="C21" s="38">
        <v>38</v>
      </c>
      <c r="D21" s="45" t="s">
        <v>166</v>
      </c>
      <c r="E21" s="38">
        <v>7</v>
      </c>
      <c r="F21" s="45" t="s">
        <v>166</v>
      </c>
      <c r="G21" s="38">
        <v>17</v>
      </c>
      <c r="H21" s="45"/>
      <c r="I21" s="38"/>
      <c r="J21" s="38"/>
      <c r="K21" s="38"/>
    </row>
    <row r="22" spans="2:12" x14ac:dyDescent="0.3">
      <c r="B22" s="45"/>
      <c r="C22" s="38"/>
      <c r="D22" s="45" t="s">
        <v>167</v>
      </c>
      <c r="E22" s="38">
        <v>7</v>
      </c>
      <c r="F22" s="45" t="s">
        <v>167</v>
      </c>
      <c r="G22" s="38">
        <v>17</v>
      </c>
      <c r="H22" s="45"/>
      <c r="I22" s="38"/>
      <c r="J22" s="38"/>
      <c r="K22" s="38"/>
    </row>
    <row r="23" spans="2:12" x14ac:dyDescent="0.3">
      <c r="B23" s="45"/>
      <c r="C23" s="38"/>
      <c r="D23" s="45" t="s">
        <v>168</v>
      </c>
      <c r="E23" s="38">
        <v>7</v>
      </c>
      <c r="F23" s="45" t="s">
        <v>168</v>
      </c>
      <c r="G23" s="38">
        <v>17</v>
      </c>
      <c r="H23" s="45"/>
      <c r="I23" s="38"/>
      <c r="J23" s="38"/>
      <c r="K23" s="38"/>
    </row>
    <row r="24" spans="2:12" x14ac:dyDescent="0.3">
      <c r="B24" s="45"/>
      <c r="C24" s="38"/>
      <c r="D24" s="45"/>
      <c r="E24" s="38"/>
      <c r="F24" s="45" t="s">
        <v>169</v>
      </c>
      <c r="G24" s="38">
        <v>17</v>
      </c>
      <c r="H24" s="45"/>
      <c r="I24" s="38"/>
      <c r="J24" s="38"/>
      <c r="K24" s="38"/>
    </row>
    <row r="25" spans="2:12" x14ac:dyDescent="0.3">
      <c r="B25" s="45"/>
      <c r="C25" s="38"/>
      <c r="D25" s="45"/>
      <c r="E25" s="38"/>
      <c r="F25" s="45" t="s">
        <v>170</v>
      </c>
      <c r="G25" s="38">
        <v>17</v>
      </c>
      <c r="H25" s="45"/>
      <c r="I25" s="38"/>
      <c r="J25" s="38"/>
      <c r="K25" s="38"/>
    </row>
    <row r="26" spans="2:12" x14ac:dyDescent="0.3">
      <c r="B26" s="45"/>
      <c r="C26" s="38"/>
      <c r="D26" s="45"/>
      <c r="E26" s="38"/>
      <c r="F26" s="45" t="s">
        <v>171</v>
      </c>
      <c r="G26" s="38">
        <v>17</v>
      </c>
      <c r="H26" s="45"/>
      <c r="I26" s="38"/>
      <c r="J26" s="38"/>
      <c r="K26" s="38"/>
    </row>
    <row r="27" spans="2:12" x14ac:dyDescent="0.3">
      <c r="B27" s="45"/>
      <c r="C27" s="38"/>
      <c r="D27" s="45"/>
      <c r="E27" s="38"/>
      <c r="F27" s="45" t="s">
        <v>172</v>
      </c>
      <c r="G27" s="38">
        <v>17</v>
      </c>
      <c r="H27" s="45"/>
      <c r="I27" s="38"/>
      <c r="J27" s="38"/>
      <c r="K27" s="38"/>
    </row>
    <row r="28" spans="2:12" x14ac:dyDescent="0.3">
      <c r="B28" s="45" t="s">
        <v>111</v>
      </c>
      <c r="C28" s="38">
        <f>SUM(C6:C27)</f>
        <v>584</v>
      </c>
      <c r="D28" s="45" t="s">
        <v>111</v>
      </c>
      <c r="E28" s="38">
        <f>SUM(E6:E27)</f>
        <v>126</v>
      </c>
      <c r="F28" s="45" t="s">
        <v>111</v>
      </c>
      <c r="G28" s="38">
        <f>SUM(G6:G27)</f>
        <v>374</v>
      </c>
      <c r="H28" s="45" t="s">
        <v>111</v>
      </c>
      <c r="I28" s="38">
        <v>546</v>
      </c>
      <c r="J28" s="38">
        <v>199</v>
      </c>
      <c r="K28" s="38">
        <v>40</v>
      </c>
    </row>
    <row r="29" spans="2:12" x14ac:dyDescent="0.3">
      <c r="B29" s="45" t="s">
        <v>173</v>
      </c>
      <c r="C29" s="38">
        <f>SUM(C6:C15)</f>
        <v>356</v>
      </c>
      <c r="D29" s="45" t="s">
        <v>173</v>
      </c>
      <c r="E29" s="38">
        <f>SUM(E6:E11)</f>
        <v>42</v>
      </c>
      <c r="F29" s="45" t="s">
        <v>173</v>
      </c>
      <c r="G29" s="38">
        <f>SUM(G6:G17)</f>
        <v>204</v>
      </c>
      <c r="H29" s="45" t="s">
        <v>173</v>
      </c>
      <c r="I29" s="38">
        <f>SUM(I6:I19)</f>
        <v>546</v>
      </c>
      <c r="J29" s="38">
        <v>199</v>
      </c>
      <c r="K29" s="38">
        <v>40</v>
      </c>
    </row>
    <row r="30" spans="2:12" x14ac:dyDescent="0.3">
      <c r="B30" s="45" t="s">
        <v>174</v>
      </c>
      <c r="C30" s="38">
        <f>C29*40/1000</f>
        <v>14.24</v>
      </c>
      <c r="D30" s="45" t="s">
        <v>174</v>
      </c>
      <c r="E30" s="73">
        <f>E29*40/1000</f>
        <v>1.68</v>
      </c>
      <c r="F30" s="45" t="s">
        <v>174</v>
      </c>
      <c r="G30" s="73">
        <f>G29*40/1000</f>
        <v>8.16</v>
      </c>
      <c r="H30" s="45" t="s">
        <v>174</v>
      </c>
      <c r="I30" s="74">
        <f>I29*40/1000</f>
        <v>21.84</v>
      </c>
      <c r="J30" s="38">
        <f>J29*100/1000</f>
        <v>19.899999999999999</v>
      </c>
      <c r="K30" s="38">
        <f>K29*100/1000</f>
        <v>4</v>
      </c>
    </row>
    <row r="31" spans="2:12" x14ac:dyDescent="0.3">
      <c r="B31" s="45" t="s">
        <v>175</v>
      </c>
      <c r="C31" s="75">
        <f>C30*8</f>
        <v>113.92</v>
      </c>
      <c r="D31" s="45" t="s">
        <v>175</v>
      </c>
      <c r="E31" s="75">
        <f>E30*8</f>
        <v>13.44</v>
      </c>
      <c r="F31" s="45" t="s">
        <v>175</v>
      </c>
      <c r="G31" s="75">
        <f>G30*8</f>
        <v>65.28</v>
      </c>
      <c r="H31" s="45" t="s">
        <v>175</v>
      </c>
      <c r="I31" s="75">
        <f>I30*8</f>
        <v>174.72</v>
      </c>
      <c r="J31" s="75">
        <f>J30*8</f>
        <v>159.19999999999999</v>
      </c>
      <c r="K31" s="76">
        <f>J31+I31+G31+E31+C31+K30</f>
        <v>530.55999999999995</v>
      </c>
    </row>
    <row r="32" spans="2:12" x14ac:dyDescent="0.3">
      <c r="B32" s="96" t="s">
        <v>194</v>
      </c>
      <c r="C32" s="193">
        <f>C31+E31+G31+I31+J31+K31</f>
        <v>1057.1199999999999</v>
      </c>
      <c r="D32" s="194"/>
      <c r="E32" s="194"/>
      <c r="F32" s="194"/>
      <c r="G32" s="194"/>
      <c r="H32" s="194"/>
      <c r="I32" s="194"/>
      <c r="J32" s="194"/>
      <c r="K32" s="194"/>
      <c r="L32" s="107"/>
    </row>
  </sheetData>
  <mergeCells count="10">
    <mergeCell ref="C32:K32"/>
    <mergeCell ref="M2:R2"/>
    <mergeCell ref="B3:E3"/>
    <mergeCell ref="F3:G3"/>
    <mergeCell ref="H3:K3"/>
    <mergeCell ref="B4:C4"/>
    <mergeCell ref="D4:E4"/>
    <mergeCell ref="F4:G4"/>
    <mergeCell ref="H4:I4"/>
    <mergeCell ref="B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318F7-FA09-4807-A581-0A379FC7163D}">
  <dimension ref="A2:BH101"/>
  <sheetViews>
    <sheetView showGridLines="0" topLeftCell="A36" workbookViewId="0">
      <selection activeCell="BQ77" sqref="BQ77"/>
    </sheetView>
  </sheetViews>
  <sheetFormatPr defaultRowHeight="14.4" x14ac:dyDescent="0.3"/>
  <cols>
    <col min="1" max="1" width="5.109375" customWidth="1"/>
    <col min="2" max="2" width="10.33203125" customWidth="1"/>
    <col min="4" max="4" width="8.44140625" bestFit="1" customWidth="1"/>
    <col min="5" max="5" width="7.5546875" customWidth="1"/>
    <col min="6" max="6" width="7.6640625" customWidth="1"/>
    <col min="7" max="7" width="6.33203125" customWidth="1"/>
    <col min="8" max="8" width="7.6640625" customWidth="1"/>
    <col min="9" max="9" width="7.88671875" customWidth="1"/>
    <col min="10" max="10" width="8.109375" customWidth="1"/>
    <col min="11" max="11" width="6.88671875" customWidth="1"/>
    <col min="12" max="12" width="6.109375" customWidth="1"/>
    <col min="13" max="13" width="7.44140625" customWidth="1"/>
    <col min="14" max="15" width="7.33203125" customWidth="1"/>
    <col min="16" max="16" width="7" customWidth="1"/>
    <col min="17" max="17" width="7.44140625" customWidth="1"/>
    <col min="18" max="18" width="6.109375" customWidth="1"/>
    <col min="19" max="19" width="7.88671875" customWidth="1"/>
    <col min="20" max="20" width="6.33203125" customWidth="1"/>
    <col min="21" max="21" width="7" customWidth="1"/>
    <col min="22" max="22" width="5.88671875" customWidth="1"/>
    <col min="23" max="23" width="7.5546875" customWidth="1"/>
    <col min="24" max="24" width="6.109375" customWidth="1"/>
    <col min="25" max="25" width="7.109375" customWidth="1"/>
    <col min="26" max="26" width="5.6640625" customWidth="1"/>
    <col min="27" max="27" width="7.33203125" customWidth="1"/>
    <col min="28" max="28" width="6" customWidth="1"/>
    <col min="29" max="29" width="8.6640625" customWidth="1"/>
    <col min="30" max="30" width="7.109375" customWidth="1"/>
    <col min="31" max="31" width="8.44140625" customWidth="1"/>
    <col min="32" max="32" width="7.109375" customWidth="1"/>
    <col min="33" max="33" width="8.109375" customWidth="1"/>
    <col min="34" max="34" width="7.88671875" customWidth="1"/>
    <col min="35" max="37" width="7.6640625" customWidth="1"/>
    <col min="38" max="38" width="7.5546875" customWidth="1"/>
    <col min="40" max="40" width="8" customWidth="1"/>
    <col min="42" max="42" width="5.5546875" customWidth="1"/>
    <col min="44" max="44" width="9.6640625" customWidth="1"/>
    <col min="47" max="47" width="8" customWidth="1"/>
    <col min="48" max="48" width="8.44140625" customWidth="1"/>
    <col min="50" max="50" width="8" customWidth="1"/>
    <col min="51" max="51" width="6" customWidth="1"/>
    <col min="52" max="52" width="4.44140625" customWidth="1"/>
    <col min="53" max="53" width="7.6640625" customWidth="1"/>
    <col min="54" max="54" width="8.88671875" customWidth="1"/>
    <col min="56" max="56" width="7.5546875" customWidth="1"/>
    <col min="58" max="58" width="6.5546875" customWidth="1"/>
    <col min="59" max="59" width="7.44140625" customWidth="1"/>
    <col min="60" max="60" width="6.5546875" customWidth="1"/>
  </cols>
  <sheetData>
    <row r="2" spans="1:60" s="87" customFormat="1" ht="24" customHeight="1" x14ac:dyDescent="0.5">
      <c r="A2" s="204"/>
      <c r="B2" s="205"/>
      <c r="C2" s="201" t="s">
        <v>182</v>
      </c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 t="s">
        <v>183</v>
      </c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 t="s">
        <v>184</v>
      </c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6" t="s">
        <v>188</v>
      </c>
      <c r="AR2" s="207"/>
      <c r="AS2" s="207"/>
      <c r="AT2" s="207"/>
      <c r="AU2" s="207"/>
      <c r="AV2" s="207"/>
      <c r="AW2" s="207"/>
      <c r="AX2" s="207"/>
      <c r="AY2" s="207"/>
      <c r="AZ2" s="207"/>
      <c r="BA2" s="207"/>
      <c r="BB2" s="207"/>
      <c r="BC2" s="207"/>
      <c r="BD2" s="207"/>
      <c r="BE2" s="207"/>
      <c r="BF2" s="207"/>
      <c r="BG2" s="207"/>
      <c r="BH2" s="208"/>
    </row>
    <row r="3" spans="1:60" ht="15.75" customHeight="1" x14ac:dyDescent="0.3">
      <c r="A3" s="154" t="s">
        <v>74</v>
      </c>
      <c r="B3" s="160" t="s">
        <v>0</v>
      </c>
      <c r="C3" s="136" t="s">
        <v>2</v>
      </c>
      <c r="D3" s="136"/>
      <c r="E3" s="136" t="s">
        <v>3</v>
      </c>
      <c r="F3" s="136"/>
      <c r="G3" s="136" t="s">
        <v>5</v>
      </c>
      <c r="H3" s="136"/>
      <c r="I3" s="136" t="s">
        <v>7</v>
      </c>
      <c r="J3" s="136"/>
      <c r="K3" s="136" t="s">
        <v>8</v>
      </c>
      <c r="L3" s="136"/>
      <c r="M3" s="136" t="s">
        <v>10</v>
      </c>
      <c r="N3" s="136"/>
      <c r="O3" s="138" t="s">
        <v>105</v>
      </c>
      <c r="P3" s="171"/>
      <c r="Q3" s="136" t="s">
        <v>12</v>
      </c>
      <c r="R3" s="136"/>
      <c r="S3" s="136" t="s">
        <v>13</v>
      </c>
      <c r="T3" s="136"/>
      <c r="U3" s="136" t="s">
        <v>14</v>
      </c>
      <c r="V3" s="136"/>
      <c r="W3" s="136" t="s">
        <v>124</v>
      </c>
      <c r="X3" s="136"/>
      <c r="Y3" s="136" t="s">
        <v>17</v>
      </c>
      <c r="Z3" s="136"/>
      <c r="AA3" s="136" t="s">
        <v>19</v>
      </c>
      <c r="AB3" s="136"/>
      <c r="AC3" s="183" t="s">
        <v>22</v>
      </c>
      <c r="AD3" s="179"/>
      <c r="AE3" s="179" t="s">
        <v>23</v>
      </c>
      <c r="AF3" s="179"/>
      <c r="AG3" s="179" t="s">
        <v>24</v>
      </c>
      <c r="AH3" s="179"/>
      <c r="AI3" s="179" t="s">
        <v>26</v>
      </c>
      <c r="AJ3" s="179"/>
      <c r="AK3" s="179" t="s">
        <v>28</v>
      </c>
      <c r="AL3" s="180"/>
      <c r="AM3" s="179" t="s">
        <v>29</v>
      </c>
      <c r="AN3" s="179"/>
      <c r="AO3" s="179" t="s">
        <v>31</v>
      </c>
      <c r="AP3" s="179"/>
      <c r="AQ3" s="139" t="s">
        <v>55</v>
      </c>
      <c r="AR3" s="136"/>
      <c r="AS3" s="138" t="s">
        <v>87</v>
      </c>
      <c r="AT3" s="171"/>
      <c r="AU3" s="136" t="s">
        <v>3</v>
      </c>
      <c r="AV3" s="136"/>
      <c r="AW3" s="138" t="s">
        <v>33</v>
      </c>
      <c r="AX3" s="171"/>
      <c r="AY3" s="136" t="s">
        <v>34</v>
      </c>
      <c r="AZ3" s="136"/>
      <c r="BA3" s="136" t="s">
        <v>83</v>
      </c>
      <c r="BB3" s="136"/>
      <c r="BC3" s="136" t="s">
        <v>82</v>
      </c>
      <c r="BD3" s="136"/>
      <c r="BE3" s="136" t="s">
        <v>62</v>
      </c>
      <c r="BF3" s="136"/>
      <c r="BG3" s="138" t="s">
        <v>63</v>
      </c>
      <c r="BH3" s="168"/>
    </row>
    <row r="4" spans="1:60" ht="86.4" x14ac:dyDescent="0.3">
      <c r="A4" s="155"/>
      <c r="B4" s="161"/>
      <c r="C4" s="5" t="s">
        <v>37</v>
      </c>
      <c r="D4" s="6" t="s">
        <v>38</v>
      </c>
      <c r="E4" s="5" t="s">
        <v>37</v>
      </c>
      <c r="F4" s="6" t="s">
        <v>38</v>
      </c>
      <c r="G4" s="5" t="s">
        <v>37</v>
      </c>
      <c r="H4" s="6" t="s">
        <v>38</v>
      </c>
      <c r="I4" s="13" t="s">
        <v>37</v>
      </c>
      <c r="J4" s="6" t="s">
        <v>38</v>
      </c>
      <c r="K4" s="5" t="s">
        <v>37</v>
      </c>
      <c r="L4" s="6" t="s">
        <v>38</v>
      </c>
      <c r="M4" s="5" t="s">
        <v>37</v>
      </c>
      <c r="N4" s="6" t="s">
        <v>38</v>
      </c>
      <c r="O4" s="13" t="s">
        <v>37</v>
      </c>
      <c r="P4" s="6" t="s">
        <v>38</v>
      </c>
      <c r="Q4" s="13" t="s">
        <v>37</v>
      </c>
      <c r="R4" s="6" t="s">
        <v>38</v>
      </c>
      <c r="S4" s="13" t="s">
        <v>37</v>
      </c>
      <c r="T4" s="6" t="s">
        <v>38</v>
      </c>
      <c r="U4" s="13" t="s">
        <v>37</v>
      </c>
      <c r="V4" s="6" t="s">
        <v>38</v>
      </c>
      <c r="W4" s="13" t="s">
        <v>37</v>
      </c>
      <c r="X4" s="6" t="s">
        <v>38</v>
      </c>
      <c r="Y4" s="13" t="s">
        <v>37</v>
      </c>
      <c r="Z4" s="6" t="s">
        <v>38</v>
      </c>
      <c r="AA4" s="13" t="s">
        <v>37</v>
      </c>
      <c r="AB4" s="6" t="s">
        <v>38</v>
      </c>
      <c r="AC4" s="13" t="s">
        <v>37</v>
      </c>
      <c r="AD4" s="6" t="s">
        <v>38</v>
      </c>
      <c r="AE4" s="13" t="s">
        <v>37</v>
      </c>
      <c r="AF4" s="6" t="s">
        <v>38</v>
      </c>
      <c r="AG4" s="13" t="s">
        <v>37</v>
      </c>
      <c r="AH4" s="6" t="s">
        <v>38</v>
      </c>
      <c r="AI4" s="13" t="s">
        <v>37</v>
      </c>
      <c r="AJ4" s="6" t="s">
        <v>38</v>
      </c>
      <c r="AK4" s="13" t="s">
        <v>37</v>
      </c>
      <c r="AL4" s="6" t="s">
        <v>38</v>
      </c>
      <c r="AM4" s="13" t="s">
        <v>37</v>
      </c>
      <c r="AN4" s="6" t="s">
        <v>38</v>
      </c>
      <c r="AO4" s="13" t="s">
        <v>37</v>
      </c>
      <c r="AP4" s="6" t="s">
        <v>38</v>
      </c>
      <c r="AQ4" s="5" t="s">
        <v>37</v>
      </c>
      <c r="AR4" s="6" t="s">
        <v>38</v>
      </c>
      <c r="AS4" s="5" t="s">
        <v>37</v>
      </c>
      <c r="AT4" s="6" t="s">
        <v>38</v>
      </c>
      <c r="AU4" s="5" t="s">
        <v>37</v>
      </c>
      <c r="AV4" s="6" t="s">
        <v>38</v>
      </c>
      <c r="AW4" s="5" t="s">
        <v>37</v>
      </c>
      <c r="AX4" s="6" t="s">
        <v>38</v>
      </c>
      <c r="AY4" s="5" t="s">
        <v>37</v>
      </c>
      <c r="AZ4" s="6" t="s">
        <v>38</v>
      </c>
      <c r="BA4" s="13" t="s">
        <v>37</v>
      </c>
      <c r="BB4" s="6" t="s">
        <v>38</v>
      </c>
      <c r="BC4" s="5" t="s">
        <v>37</v>
      </c>
      <c r="BD4" s="6" t="s">
        <v>38</v>
      </c>
      <c r="BE4" s="5" t="s">
        <v>37</v>
      </c>
      <c r="BF4" s="6" t="s">
        <v>38</v>
      </c>
      <c r="BG4" s="5" t="s">
        <v>37</v>
      </c>
      <c r="BH4" s="6" t="s">
        <v>38</v>
      </c>
    </row>
    <row r="5" spans="1:60" ht="15" customHeight="1" x14ac:dyDescent="0.3">
      <c r="A5" s="84"/>
      <c r="B5" s="85"/>
      <c r="C5" s="163" t="s">
        <v>185</v>
      </c>
      <c r="D5" s="165"/>
      <c r="E5" s="165" t="s">
        <v>186</v>
      </c>
      <c r="F5" s="165"/>
      <c r="G5" s="165"/>
      <c r="H5" s="165"/>
      <c r="I5" s="165"/>
      <c r="J5" s="165"/>
      <c r="K5" s="165"/>
      <c r="L5" s="165"/>
      <c r="M5" s="165"/>
      <c r="N5" s="164"/>
      <c r="O5" s="163" t="s">
        <v>41</v>
      </c>
      <c r="P5" s="164"/>
      <c r="Q5" s="163" t="s">
        <v>48</v>
      </c>
      <c r="R5" s="165"/>
      <c r="S5" s="165"/>
      <c r="T5" s="165"/>
      <c r="U5" s="165"/>
      <c r="V5" s="165"/>
      <c r="W5" s="163" t="s">
        <v>41</v>
      </c>
      <c r="X5" s="164"/>
      <c r="Y5" s="163" t="s">
        <v>49</v>
      </c>
      <c r="Z5" s="165"/>
      <c r="AA5" s="165"/>
      <c r="AB5" s="165"/>
      <c r="AC5" s="185" t="s">
        <v>41</v>
      </c>
      <c r="AD5" s="186"/>
      <c r="AE5" s="185" t="s">
        <v>53</v>
      </c>
      <c r="AF5" s="187"/>
      <c r="AG5" s="187"/>
      <c r="AH5" s="187"/>
      <c r="AI5" s="187"/>
      <c r="AJ5" s="187"/>
      <c r="AK5" s="185" t="s">
        <v>41</v>
      </c>
      <c r="AL5" s="186"/>
      <c r="AM5" s="185" t="s">
        <v>54</v>
      </c>
      <c r="AN5" s="187"/>
      <c r="AO5" s="187"/>
      <c r="AP5" s="187"/>
      <c r="AQ5" s="139" t="s">
        <v>185</v>
      </c>
      <c r="AR5" s="136"/>
      <c r="AS5" s="138" t="s">
        <v>93</v>
      </c>
      <c r="AT5" s="168"/>
      <c r="AU5" s="168"/>
      <c r="AV5" s="168"/>
      <c r="AW5" s="168"/>
      <c r="AX5" s="168"/>
      <c r="AY5" s="168"/>
      <c r="AZ5" s="171"/>
      <c r="BA5" s="136" t="s">
        <v>185</v>
      </c>
      <c r="BB5" s="136"/>
      <c r="BC5" s="138" t="s">
        <v>187</v>
      </c>
      <c r="BD5" s="168"/>
      <c r="BE5" s="168"/>
      <c r="BF5" s="168"/>
      <c r="BG5" s="168"/>
      <c r="BH5" s="168"/>
    </row>
    <row r="6" spans="1:60" ht="15" customHeight="1" x14ac:dyDescent="0.3">
      <c r="A6" s="9" t="s">
        <v>67</v>
      </c>
      <c r="B6" s="33">
        <v>45931</v>
      </c>
      <c r="C6" s="5">
        <v>48386</v>
      </c>
      <c r="D6" s="28">
        <f>'LT GF'!C104-Overtime!C6</f>
        <v>16</v>
      </c>
      <c r="E6" s="5">
        <v>16587</v>
      </c>
      <c r="F6" s="28">
        <f>'LT GF'!G104-Overtime!E6</f>
        <v>2</v>
      </c>
      <c r="G6" s="5">
        <v>8192</v>
      </c>
      <c r="H6" s="28">
        <f>'LT GF'!K104-Overtime!G6</f>
        <v>13</v>
      </c>
      <c r="I6" s="13">
        <v>16934</v>
      </c>
      <c r="J6" s="28">
        <f>'LT GF'!O104-Overtime!I6</f>
        <v>26</v>
      </c>
      <c r="K6" s="5">
        <v>2103</v>
      </c>
      <c r="L6" s="28">
        <f>'LT GF'!Q104-Overtime!K6</f>
        <v>0</v>
      </c>
      <c r="M6" s="5">
        <v>6969</v>
      </c>
      <c r="N6" s="28">
        <f>'LT GF'!U104-Overtime!M6</f>
        <v>5</v>
      </c>
      <c r="O6" s="5">
        <v>42589</v>
      </c>
      <c r="P6" s="6">
        <f>'LT FF'!C104-Overtime!O6</f>
        <v>6</v>
      </c>
      <c r="Q6" s="5">
        <v>4945</v>
      </c>
      <c r="R6" s="6">
        <f>'LT FF'!E104-Overtime!Q6</f>
        <v>0</v>
      </c>
      <c r="S6" s="5">
        <v>20793</v>
      </c>
      <c r="T6" s="6">
        <f>'LT FF'!G104-Overtime!S6</f>
        <v>0</v>
      </c>
      <c r="U6" s="5">
        <v>873</v>
      </c>
      <c r="V6" s="6">
        <f>'LT FF'!K104-Overtime!U6</f>
        <v>6</v>
      </c>
      <c r="W6" s="13">
        <v>20318</v>
      </c>
      <c r="X6" s="6">
        <f>'LT FF'!O104-Overtime!W6</f>
        <v>0</v>
      </c>
      <c r="Y6" s="5">
        <v>3862</v>
      </c>
      <c r="Z6" s="6">
        <f>'LT FF'!Q104-Overtime!Y6</f>
        <v>0</v>
      </c>
      <c r="AA6" s="5">
        <v>6589</v>
      </c>
      <c r="AB6" s="6">
        <f>'LT FF'!U104-Overtime!AA6</f>
        <v>1</v>
      </c>
      <c r="AC6" s="27">
        <v>68356</v>
      </c>
      <c r="AD6" s="28">
        <f>'LT 2F'!C104-Overtime!AC6</f>
        <v>52</v>
      </c>
      <c r="AE6" s="27">
        <v>9199</v>
      </c>
      <c r="AF6" s="28">
        <f>'LT 2F'!E104-Overtime!AE6</f>
        <v>5</v>
      </c>
      <c r="AG6" s="27">
        <v>25805</v>
      </c>
      <c r="AH6" s="28">
        <f>'LT 2F'!G104-Overtime!AG6</f>
        <v>11</v>
      </c>
      <c r="AI6" s="27">
        <v>20355</v>
      </c>
      <c r="AJ6" s="28">
        <f>'LT 2F'!K104-Overtime!AI6</f>
        <v>13</v>
      </c>
      <c r="AK6" s="27">
        <v>29226</v>
      </c>
      <c r="AL6" s="28">
        <f>'LT 2F'!O104-Overtime!AK6</f>
        <v>44</v>
      </c>
      <c r="AM6" s="27">
        <v>4043</v>
      </c>
      <c r="AN6" s="28">
        <f>'LT 2F'!Q104-Overtime!AM6</f>
        <v>17</v>
      </c>
      <c r="AO6" s="27"/>
      <c r="AP6" s="28">
        <v>0</v>
      </c>
      <c r="AQ6" s="27">
        <v>84204</v>
      </c>
      <c r="AR6" s="28">
        <f>'LT-Wshng'!D104-Overtime!AQ6</f>
        <v>0</v>
      </c>
      <c r="AS6" s="27"/>
      <c r="AT6" s="28" t="str">
        <f t="shared" ref="AT6:AT36" si="0">IF(AS7&lt;&gt;"",AS7-AS6,"")</f>
        <v/>
      </c>
      <c r="AU6" s="27">
        <v>25556</v>
      </c>
      <c r="AV6" s="28">
        <f>'LT-Wshng'!N104-Overtime!AU6</f>
        <v>0</v>
      </c>
      <c r="AW6" s="27">
        <v>8179</v>
      </c>
      <c r="AX6" s="28">
        <f>'LT-Wshng'!P104-Overtime!AW6</f>
        <v>0</v>
      </c>
      <c r="AY6" s="27"/>
      <c r="AZ6" s="28" t="str">
        <f t="shared" ref="AZ6:AZ36" si="1">IF(AY7&lt;&gt;"",AY7-AY6,"")</f>
        <v/>
      </c>
      <c r="BA6" s="29">
        <v>47411</v>
      </c>
      <c r="BB6" s="28">
        <f>'LT-Wshng'!T104-Overtime!BA6</f>
        <v>0</v>
      </c>
      <c r="BC6" s="27">
        <v>8953</v>
      </c>
      <c r="BD6" s="28">
        <f>'LT-Wshng'!V104-Overtime!BC6</f>
        <v>0</v>
      </c>
      <c r="BE6" s="27">
        <v>4935</v>
      </c>
      <c r="BF6" s="28">
        <f>'LT-Wshng'!AB104-Overtime!BE6</f>
        <v>0</v>
      </c>
      <c r="BG6" s="27">
        <v>4778</v>
      </c>
      <c r="BH6" s="28">
        <f>'LT-Wshng'!AD104-Overtime!BG6</f>
        <v>0</v>
      </c>
    </row>
    <row r="7" spans="1:60" x14ac:dyDescent="0.3">
      <c r="A7" s="9" t="s">
        <v>68</v>
      </c>
      <c r="B7" s="33">
        <v>45932</v>
      </c>
      <c r="C7" s="5">
        <v>49051</v>
      </c>
      <c r="D7" s="28">
        <f>'LT GF'!C105-Overtime!C7</f>
        <v>0</v>
      </c>
      <c r="E7" s="5">
        <v>16810</v>
      </c>
      <c r="F7" s="28">
        <f>'LT GF'!G105-Overtime!E7</f>
        <v>0</v>
      </c>
      <c r="G7" s="5">
        <v>8328</v>
      </c>
      <c r="H7" s="28">
        <f>'LT GF'!K105-Overtime!G7</f>
        <v>0</v>
      </c>
      <c r="I7" s="13">
        <v>17277</v>
      </c>
      <c r="J7" s="28">
        <f>'LT GF'!O105-Overtime!I7</f>
        <v>0</v>
      </c>
      <c r="K7" s="5">
        <v>2203</v>
      </c>
      <c r="L7" s="28">
        <f>'LT GF'!Q105-Overtime!K7</f>
        <v>0</v>
      </c>
      <c r="M7" s="5">
        <v>7072</v>
      </c>
      <c r="N7" s="28">
        <f>'LT GF'!U105-Overtime!M7</f>
        <v>0</v>
      </c>
      <c r="O7" s="5">
        <v>43097</v>
      </c>
      <c r="P7" s="6">
        <f>'LT FF'!C105-Overtime!O7</f>
        <v>0</v>
      </c>
      <c r="Q7" s="5">
        <v>5026</v>
      </c>
      <c r="R7" s="6">
        <f>'LT FF'!E105-Overtime!Q7</f>
        <v>0</v>
      </c>
      <c r="S7" s="5">
        <v>21090</v>
      </c>
      <c r="T7" s="6">
        <f>'LT FF'!G105-Overtime!S7</f>
        <v>0</v>
      </c>
      <c r="U7" s="5">
        <v>892</v>
      </c>
      <c r="V7" s="6">
        <f>'LT FF'!K105-Overtime!U7</f>
        <v>0</v>
      </c>
      <c r="W7" s="13">
        <v>20630</v>
      </c>
      <c r="X7" s="6">
        <f>'LT FF'!O105-Overtime!W7</f>
        <v>0</v>
      </c>
      <c r="Y7" s="5">
        <v>3946</v>
      </c>
      <c r="Z7" s="6">
        <f>'LT FF'!Q105-Overtime!Y7</f>
        <v>0</v>
      </c>
      <c r="AA7" s="5">
        <v>6670</v>
      </c>
      <c r="AB7" s="6">
        <f>'LT FF'!U105-Overtime!AA7</f>
        <v>0</v>
      </c>
      <c r="AC7" s="27">
        <v>69193</v>
      </c>
      <c r="AD7" s="28">
        <f>'LT 2F'!C105-Overtime!AC7</f>
        <v>0</v>
      </c>
      <c r="AE7" s="27">
        <v>9337</v>
      </c>
      <c r="AF7" s="28">
        <f>'LT 2F'!E105-Overtime!AE7</f>
        <v>0</v>
      </c>
      <c r="AG7" s="27">
        <v>26091</v>
      </c>
      <c r="AH7" s="28">
        <f>'LT 2F'!G105-Overtime!AG7</f>
        <v>0</v>
      </c>
      <c r="AI7" s="27">
        <v>20591</v>
      </c>
      <c r="AJ7" s="28">
        <f>'LT 2F'!K105-Overtime!AI7</f>
        <v>0</v>
      </c>
      <c r="AK7" s="29">
        <v>29618</v>
      </c>
      <c r="AL7" s="28">
        <f>'LT 2F'!O105-Overtime!AK7</f>
        <v>0</v>
      </c>
      <c r="AM7" s="27">
        <v>4109</v>
      </c>
      <c r="AN7" s="28">
        <f>'LT 2F'!Q105-Overtime!AM7</f>
        <v>0</v>
      </c>
      <c r="AO7" s="27"/>
      <c r="AP7" s="28">
        <v>0</v>
      </c>
      <c r="AQ7" s="27">
        <v>86345</v>
      </c>
      <c r="AR7" s="28">
        <f>'LT-Wshng'!D105-Overtime!AQ7</f>
        <v>0</v>
      </c>
      <c r="AS7" s="27"/>
      <c r="AT7" s="28" t="str">
        <f t="shared" si="0"/>
        <v/>
      </c>
      <c r="AU7" s="27">
        <v>25767</v>
      </c>
      <c r="AV7" s="28">
        <f>'LT-Wshng'!N105-Overtime!AU7</f>
        <v>0</v>
      </c>
      <c r="AW7" s="27">
        <v>8316</v>
      </c>
      <c r="AX7" s="28">
        <f>'LT-Wshng'!P105-Overtime!AW7</f>
        <v>0</v>
      </c>
      <c r="AY7" s="27"/>
      <c r="AZ7" s="28" t="str">
        <f t="shared" si="1"/>
        <v/>
      </c>
      <c r="BA7" s="29">
        <v>48290</v>
      </c>
      <c r="BB7" s="28">
        <f>'LT-Wshng'!T105-Overtime!BA7</f>
        <v>0</v>
      </c>
      <c r="BC7" s="27">
        <v>9073</v>
      </c>
      <c r="BD7" s="28">
        <f>'LT-Wshng'!V105-Overtime!BC7</f>
        <v>0</v>
      </c>
      <c r="BE7" s="27">
        <v>5071</v>
      </c>
      <c r="BF7" s="28">
        <f>'LT-Wshng'!AB105-Overtime!BE7</f>
        <v>0</v>
      </c>
      <c r="BG7" s="27">
        <v>4919</v>
      </c>
      <c r="BH7" s="28">
        <f>'LT-Wshng'!AD105-Overtime!BG7</f>
        <v>0</v>
      </c>
    </row>
    <row r="8" spans="1:60" x14ac:dyDescent="0.3">
      <c r="A8" s="9" t="s">
        <v>69</v>
      </c>
      <c r="B8" s="33">
        <v>45933</v>
      </c>
      <c r="C8" s="5">
        <v>49629</v>
      </c>
      <c r="D8" s="28">
        <f>'LT GF'!C106-Overtime!C8</f>
        <v>0</v>
      </c>
      <c r="E8" s="5">
        <v>16991</v>
      </c>
      <c r="F8" s="28">
        <f>'LT GF'!G106-Overtime!E8</f>
        <v>0</v>
      </c>
      <c r="G8" s="5">
        <v>8437</v>
      </c>
      <c r="H8" s="28">
        <f>'LT GF'!K106-Overtime!G8</f>
        <v>0</v>
      </c>
      <c r="I8" s="13">
        <v>17531</v>
      </c>
      <c r="J8" s="28">
        <f>'LT GF'!O106-Overtime!I8</f>
        <v>0</v>
      </c>
      <c r="K8" s="5">
        <v>2289</v>
      </c>
      <c r="L8" s="28">
        <f>'LT GF'!Q106-Overtime!K8</f>
        <v>0</v>
      </c>
      <c r="M8" s="5">
        <v>7149</v>
      </c>
      <c r="N8" s="28">
        <f>'LT GF'!U106-Overtime!M8</f>
        <v>0</v>
      </c>
      <c r="O8" s="5">
        <v>43375</v>
      </c>
      <c r="P8" s="6">
        <f>'LT FF'!C106-Overtime!O8</f>
        <v>48</v>
      </c>
      <c r="Q8" s="5">
        <v>5102</v>
      </c>
      <c r="R8" s="6">
        <f>'LT FF'!E106-Overtime!Q8</f>
        <v>10</v>
      </c>
      <c r="S8" s="5">
        <v>21219</v>
      </c>
      <c r="T8" s="6">
        <f>'LT FF'!G106-Overtime!S8</f>
        <v>14</v>
      </c>
      <c r="U8" s="5">
        <v>900</v>
      </c>
      <c r="V8" s="6">
        <f>'LT FF'!K106-Overtime!U8</f>
        <v>6</v>
      </c>
      <c r="W8" s="5">
        <v>20859</v>
      </c>
      <c r="X8" s="6">
        <f>'LT FF'!O106-Overtime!W8</f>
        <v>55</v>
      </c>
      <c r="Y8" s="5">
        <v>4023</v>
      </c>
      <c r="Z8" s="6">
        <f>'LT FF'!Q106-Overtime!Y8</f>
        <v>10</v>
      </c>
      <c r="AA8" s="5">
        <v>6735</v>
      </c>
      <c r="AB8" s="6">
        <f>'LT FF'!U106-Overtime!AA8</f>
        <v>13</v>
      </c>
      <c r="AC8" s="27">
        <v>69794</v>
      </c>
      <c r="AD8" s="28">
        <f>'LT 2F'!C106-Overtime!AC8</f>
        <v>96</v>
      </c>
      <c r="AE8" s="27">
        <v>9441</v>
      </c>
      <c r="AF8" s="28">
        <f>'LT 2F'!E106-Overtime!AE8</f>
        <v>13</v>
      </c>
      <c r="AG8" s="27">
        <v>26297</v>
      </c>
      <c r="AH8" s="28">
        <f>'LT 2F'!G106-Overtime!AG8</f>
        <v>27</v>
      </c>
      <c r="AI8" s="27">
        <v>20777</v>
      </c>
      <c r="AJ8" s="28">
        <f>'LT 2F'!K106-Overtime!AI8</f>
        <v>29</v>
      </c>
      <c r="AK8" s="27">
        <v>29879</v>
      </c>
      <c r="AL8" s="28">
        <f>'LT 2F'!O106-Overtime!AK8</f>
        <v>67</v>
      </c>
      <c r="AM8" s="27">
        <v>4150</v>
      </c>
      <c r="AN8" s="28">
        <f>'LT 2F'!Q106-Overtime!AM8</f>
        <v>9</v>
      </c>
      <c r="AO8" s="27"/>
      <c r="AP8" s="28">
        <v>0</v>
      </c>
      <c r="AQ8" s="27">
        <v>88772</v>
      </c>
      <c r="AR8" s="28">
        <f>'LT-Wshng'!D106-Overtime!AQ8</f>
        <v>0</v>
      </c>
      <c r="AS8" s="27"/>
      <c r="AT8" s="28" t="str">
        <f t="shared" si="0"/>
        <v/>
      </c>
      <c r="AU8" s="27">
        <v>26008</v>
      </c>
      <c r="AV8" s="28">
        <f>'LT-Wshng'!N106-Overtime!AU8</f>
        <v>0</v>
      </c>
      <c r="AW8" s="27">
        <v>8466</v>
      </c>
      <c r="AX8" s="28">
        <f>'LT-Wshng'!P106-Overtime!AW8</f>
        <v>0</v>
      </c>
      <c r="AY8" s="27"/>
      <c r="AZ8" s="28" t="str">
        <f t="shared" si="1"/>
        <v/>
      </c>
      <c r="BA8" s="29">
        <v>49058</v>
      </c>
      <c r="BB8" s="28">
        <f>'LT-Wshng'!T106-Overtime!BA8</f>
        <v>0</v>
      </c>
      <c r="BC8" s="27">
        <v>9191</v>
      </c>
      <c r="BD8" s="28">
        <f>'LT-Wshng'!V106-Overtime!BC8</f>
        <v>0</v>
      </c>
      <c r="BE8" s="27">
        <v>5187</v>
      </c>
      <c r="BF8" s="28">
        <f>'LT-Wshng'!AB106-Overtime!BE8</f>
        <v>0</v>
      </c>
      <c r="BG8" s="27">
        <v>5049</v>
      </c>
      <c r="BH8" s="28">
        <f>'LT-Wshng'!AD106-Overtime!BG8</f>
        <v>0</v>
      </c>
    </row>
    <row r="9" spans="1:60" x14ac:dyDescent="0.3">
      <c r="A9" s="9" t="s">
        <v>70</v>
      </c>
      <c r="B9" s="33">
        <v>45934</v>
      </c>
      <c r="C9" s="5">
        <v>50183</v>
      </c>
      <c r="D9" s="28">
        <f>'LT GF'!C107-Overtime!C9</f>
        <v>0</v>
      </c>
      <c r="E9" s="5">
        <v>17163</v>
      </c>
      <c r="F9" s="28">
        <f>'LT GF'!G107-Overtime!E9</f>
        <v>0</v>
      </c>
      <c r="G9" s="5">
        <v>8544</v>
      </c>
      <c r="H9" s="28">
        <f>'LT GF'!K107-Overtime!G9</f>
        <v>0</v>
      </c>
      <c r="I9" s="13">
        <v>17787</v>
      </c>
      <c r="J9" s="28">
        <f>'LT GF'!O107-Overtime!I9</f>
        <v>0</v>
      </c>
      <c r="K9" s="5">
        <v>2384</v>
      </c>
      <c r="L9" s="28">
        <f>'LT GF'!Q107-Overtime!K9</f>
        <v>0</v>
      </c>
      <c r="M9" s="5">
        <v>7231</v>
      </c>
      <c r="N9" s="28">
        <f>'LT GF'!U107-Overtime!M9</f>
        <v>0</v>
      </c>
      <c r="O9" s="5">
        <v>43699</v>
      </c>
      <c r="P9" s="6">
        <f>'LT FF'!C107-Overtime!O9</f>
        <v>0</v>
      </c>
      <c r="Q9" s="5">
        <v>5201</v>
      </c>
      <c r="R9" s="6">
        <f>'LT FF'!E107-Overtime!Q9</f>
        <v>0</v>
      </c>
      <c r="S9" s="5">
        <v>21342</v>
      </c>
      <c r="T9" s="6">
        <f>'LT FF'!G107-Overtime!S9</f>
        <v>0</v>
      </c>
      <c r="U9" s="5">
        <v>916</v>
      </c>
      <c r="V9" s="6">
        <f>'LT FF'!K107-Overtime!U9</f>
        <v>0</v>
      </c>
      <c r="W9" s="5">
        <v>21169</v>
      </c>
      <c r="X9" s="6">
        <f>'LT FF'!O107-Overtime!W9</f>
        <v>0</v>
      </c>
      <c r="Y9" s="5">
        <v>4111</v>
      </c>
      <c r="Z9" s="6">
        <f>'LT FF'!Q107-Overtime!Y9</f>
        <v>3</v>
      </c>
      <c r="AA9" s="5">
        <v>6815</v>
      </c>
      <c r="AB9" s="6">
        <f>'LT FF'!U107-Overtime!AA9</f>
        <v>0</v>
      </c>
      <c r="AC9" s="27">
        <v>70518</v>
      </c>
      <c r="AD9" s="28">
        <f>'LT 2F'!C107-Overtime!AC9</f>
        <v>30</v>
      </c>
      <c r="AE9" s="27">
        <v>9560</v>
      </c>
      <c r="AF9" s="28">
        <f>'LT 2F'!E107-Overtime!AE9</f>
        <v>7</v>
      </c>
      <c r="AG9" s="27">
        <v>26549</v>
      </c>
      <c r="AH9" s="28">
        <f>'LT 2F'!G107-Overtime!AG9</f>
        <v>0</v>
      </c>
      <c r="AI9" s="27">
        <v>20982</v>
      </c>
      <c r="AJ9" s="28">
        <f>'LT 2F'!K107-Overtime!AI9</f>
        <v>17</v>
      </c>
      <c r="AK9" s="27">
        <v>30186</v>
      </c>
      <c r="AL9" s="28">
        <f>'LT 2F'!O107-Overtime!AK9</f>
        <v>44</v>
      </c>
      <c r="AM9" s="27">
        <v>4206</v>
      </c>
      <c r="AN9" s="28">
        <f>'LT 2F'!Q107-Overtime!AM9</f>
        <v>2</v>
      </c>
      <c r="AO9" s="27"/>
      <c r="AP9" s="28">
        <v>0</v>
      </c>
      <c r="AQ9" s="27">
        <v>91080</v>
      </c>
      <c r="AR9" s="28">
        <f>'LT-Wshng'!D107-Overtime!AQ9</f>
        <v>0</v>
      </c>
      <c r="AS9" s="27"/>
      <c r="AT9" s="28" t="str">
        <f t="shared" si="0"/>
        <v/>
      </c>
      <c r="AU9" s="27">
        <v>26222</v>
      </c>
      <c r="AV9" s="28">
        <f>'LT-Wshng'!N107-Overtime!AU9</f>
        <v>0</v>
      </c>
      <c r="AW9" s="27">
        <v>8616</v>
      </c>
      <c r="AX9" s="28">
        <f>'LT-Wshng'!P107-Overtime!AW9</f>
        <v>0</v>
      </c>
      <c r="AY9" s="27"/>
      <c r="AZ9" s="28" t="str">
        <f t="shared" si="1"/>
        <v/>
      </c>
      <c r="BA9" s="29">
        <v>49759</v>
      </c>
      <c r="BB9" s="28">
        <f>'LT-Wshng'!T107-Overtime!BA9</f>
        <v>0</v>
      </c>
      <c r="BC9" s="27">
        <v>9301</v>
      </c>
      <c r="BD9" s="28">
        <f>'LT-Wshng'!V107-Overtime!BC9</f>
        <v>0</v>
      </c>
      <c r="BE9" s="27">
        <v>5257</v>
      </c>
      <c r="BF9" s="28">
        <f>'LT-Wshng'!AB107-Overtime!BE9</f>
        <v>0</v>
      </c>
      <c r="BG9" s="27">
        <v>5141</v>
      </c>
      <c r="BH9" s="28">
        <f>'LT-Wshng'!AD107-Overtime!BG9</f>
        <v>0</v>
      </c>
    </row>
    <row r="10" spans="1:60" x14ac:dyDescent="0.3">
      <c r="A10" s="9" t="s">
        <v>71</v>
      </c>
      <c r="B10" s="33">
        <v>45935</v>
      </c>
      <c r="C10" s="5">
        <v>50216</v>
      </c>
      <c r="D10" s="28">
        <f>'LT GF'!C108-Overtime!C10</f>
        <v>0</v>
      </c>
      <c r="E10" s="5">
        <v>17177</v>
      </c>
      <c r="F10" s="28">
        <f>'LT GF'!G108-Overtime!E10</f>
        <v>0</v>
      </c>
      <c r="G10" s="5">
        <v>8553</v>
      </c>
      <c r="H10" s="28">
        <f>'LT GF'!K108-Overtime!G10</f>
        <v>0</v>
      </c>
      <c r="I10" s="13">
        <v>17814</v>
      </c>
      <c r="J10" s="28">
        <f>'LT GF'!O108-Overtime!I10</f>
        <v>0</v>
      </c>
      <c r="K10" s="5">
        <v>2388</v>
      </c>
      <c r="L10" s="28">
        <f>'LT GF'!Q108-Overtime!K10</f>
        <v>0</v>
      </c>
      <c r="M10" s="5">
        <v>7240</v>
      </c>
      <c r="N10" s="28">
        <f>'LT GF'!U108-Overtime!M10</f>
        <v>0</v>
      </c>
      <c r="O10" s="5">
        <v>43742</v>
      </c>
      <c r="P10" s="6">
        <f>'LT FF'!C108-Overtime!O10</f>
        <v>0</v>
      </c>
      <c r="Q10" s="5">
        <v>5204</v>
      </c>
      <c r="R10" s="6">
        <f>'LT FF'!E108-Overtime!Q10</f>
        <v>0</v>
      </c>
      <c r="S10" s="5">
        <v>21354</v>
      </c>
      <c r="T10" s="6">
        <f>'LT FF'!G108-Overtime!S10</f>
        <v>0</v>
      </c>
      <c r="U10" s="5">
        <v>918</v>
      </c>
      <c r="V10" s="6">
        <f>'LT FF'!K108-Overtime!U10</f>
        <v>0</v>
      </c>
      <c r="W10" s="5">
        <v>21217</v>
      </c>
      <c r="X10" s="6">
        <f>'LT FF'!O108-Overtime!W10</f>
        <v>0</v>
      </c>
      <c r="Y10" s="5">
        <v>4119</v>
      </c>
      <c r="Z10" s="6">
        <f>'LT FF'!Q108-Overtime!Y10</f>
        <v>0</v>
      </c>
      <c r="AA10" s="5">
        <v>6821</v>
      </c>
      <c r="AB10" s="6">
        <f>'LT FF'!U108-Overtime!AA10</f>
        <v>0</v>
      </c>
      <c r="AC10" s="27">
        <v>70615</v>
      </c>
      <c r="AD10" s="28">
        <f>'LT 2F'!C108-Overtime!AC10</f>
        <v>0</v>
      </c>
      <c r="AE10" s="27">
        <v>9572</v>
      </c>
      <c r="AF10" s="28">
        <f>'LT 2F'!E108-Overtime!AE10</f>
        <v>0</v>
      </c>
      <c r="AG10" s="27">
        <v>26560</v>
      </c>
      <c r="AH10" s="28">
        <f>'LT 2F'!G108-Overtime!AG10</f>
        <v>0</v>
      </c>
      <c r="AI10" s="27">
        <v>21018</v>
      </c>
      <c r="AJ10" s="28">
        <f>'LT 2F'!K108-Overtime!AI10</f>
        <v>0</v>
      </c>
      <c r="AK10" s="27">
        <v>30259</v>
      </c>
      <c r="AL10" s="28">
        <f>'LT 2F'!O108-Overtime!AK10</f>
        <v>0</v>
      </c>
      <c r="AM10" s="27">
        <v>4209</v>
      </c>
      <c r="AN10" s="28">
        <f>'LT 2F'!Q108-Overtime!AM10</f>
        <v>0</v>
      </c>
      <c r="AO10" s="27"/>
      <c r="AP10" s="28">
        <v>0</v>
      </c>
      <c r="AQ10" s="27">
        <v>91202</v>
      </c>
      <c r="AR10" s="28">
        <f>'LT-Wshng'!D108-Overtime!AQ10</f>
        <v>0</v>
      </c>
      <c r="AS10" s="27"/>
      <c r="AT10" s="28" t="str">
        <f t="shared" si="0"/>
        <v/>
      </c>
      <c r="AU10" s="27">
        <v>26224</v>
      </c>
      <c r="AV10" s="28">
        <f>'LT-Wshng'!N108-Overtime!AU10</f>
        <v>0</v>
      </c>
      <c r="AW10" s="27">
        <v>8624</v>
      </c>
      <c r="AX10" s="28">
        <f>'LT-Wshng'!P108-Overtime!AW10</f>
        <v>0</v>
      </c>
      <c r="AY10" s="27"/>
      <c r="AZ10" s="28" t="str">
        <f t="shared" si="1"/>
        <v/>
      </c>
      <c r="BA10" s="29">
        <v>49877</v>
      </c>
      <c r="BB10" s="28">
        <f>'LT-Wshng'!T108-Overtime!BA10</f>
        <v>0</v>
      </c>
      <c r="BC10" s="27">
        <v>9305</v>
      </c>
      <c r="BD10" s="28">
        <f>'LT-Wshng'!V108-Overtime!BC10</f>
        <v>0</v>
      </c>
      <c r="BE10" s="27">
        <v>5258</v>
      </c>
      <c r="BF10" s="28">
        <f>'LT-Wshng'!AB108-Overtime!BE10</f>
        <v>0</v>
      </c>
      <c r="BG10" s="27">
        <v>5142</v>
      </c>
      <c r="BH10" s="28">
        <f>'LT-Wshng'!AD108-Overtime!BG10</f>
        <v>0</v>
      </c>
    </row>
    <row r="11" spans="1:60" x14ac:dyDescent="0.3">
      <c r="A11" s="9" t="s">
        <v>72</v>
      </c>
      <c r="B11" s="33">
        <v>45936</v>
      </c>
      <c r="C11" s="5">
        <v>50771</v>
      </c>
      <c r="D11" s="28">
        <f>'LT GF'!C109-Overtime!C11</f>
        <v>0</v>
      </c>
      <c r="E11" s="5">
        <v>17349</v>
      </c>
      <c r="F11" s="28">
        <f>'LT GF'!G109-Overtime!E11</f>
        <v>0</v>
      </c>
      <c r="G11" s="5">
        <v>8664</v>
      </c>
      <c r="H11" s="28">
        <f>'LT GF'!K109-Overtime!G11</f>
        <v>0</v>
      </c>
      <c r="I11" s="13">
        <v>18032</v>
      </c>
      <c r="J11" s="28">
        <f>'LT GF'!O109-Overtime!I11</f>
        <v>0</v>
      </c>
      <c r="K11" s="5">
        <v>2480</v>
      </c>
      <c r="L11" s="28">
        <f>'LT GF'!Q109-Overtime!K11</f>
        <v>0</v>
      </c>
      <c r="M11" s="5">
        <v>7323</v>
      </c>
      <c r="N11" s="28">
        <f>'LT GF'!U109-Overtime!M11</f>
        <v>9</v>
      </c>
      <c r="O11" s="5">
        <v>43993</v>
      </c>
      <c r="P11" s="6">
        <f>'LT FF'!C109-Overtime!O11</f>
        <v>31</v>
      </c>
      <c r="Q11" s="5">
        <v>5287</v>
      </c>
      <c r="R11" s="6">
        <f>'LT FF'!E109-Overtime!Q11</f>
        <v>13</v>
      </c>
      <c r="S11" s="5">
        <v>21479</v>
      </c>
      <c r="T11" s="6">
        <f>'LT FF'!G109-Overtime!S11</f>
        <v>0</v>
      </c>
      <c r="U11" s="5">
        <v>926</v>
      </c>
      <c r="V11" s="6">
        <f>'LT FF'!K109-Overtime!U11</f>
        <v>7</v>
      </c>
      <c r="W11" s="5">
        <v>21399</v>
      </c>
      <c r="X11" s="6">
        <f>'LT FF'!O109-Overtime!W11</f>
        <v>30</v>
      </c>
      <c r="Y11" s="5">
        <v>4202</v>
      </c>
      <c r="Z11" s="6">
        <f>'LT FF'!Q109-Overtime!Y11</f>
        <v>4</v>
      </c>
      <c r="AA11" s="5">
        <v>6888</v>
      </c>
      <c r="AB11" s="6">
        <f>'LT FF'!U109-Overtime!AA11</f>
        <v>11</v>
      </c>
      <c r="AC11" s="27">
        <v>71077</v>
      </c>
      <c r="AD11" s="28">
        <f>'LT 2F'!C109-Overtime!AC11</f>
        <v>74</v>
      </c>
      <c r="AE11" s="27">
        <v>9676</v>
      </c>
      <c r="AF11" s="28">
        <f>'LT 2F'!E109-Overtime!AE11</f>
        <v>7</v>
      </c>
      <c r="AG11" s="27">
        <v>26684</v>
      </c>
      <c r="AH11" s="28">
        <f>'LT 2F'!G109-Overtime!AG11</f>
        <v>18</v>
      </c>
      <c r="AI11" s="27">
        <v>21202</v>
      </c>
      <c r="AJ11" s="28">
        <f>'LT 2F'!K109-Overtime!AI11</f>
        <v>31</v>
      </c>
      <c r="AK11" s="27">
        <v>30474</v>
      </c>
      <c r="AL11" s="28">
        <f>'LT 2F'!O109-Overtime!AK11</f>
        <v>61</v>
      </c>
      <c r="AM11" s="27">
        <v>4255</v>
      </c>
      <c r="AN11" s="28">
        <f>'LT 2F'!Q109-Overtime!AM11</f>
        <v>8</v>
      </c>
      <c r="AO11" s="27"/>
      <c r="AP11" s="28">
        <v>0</v>
      </c>
      <c r="AQ11" s="27">
        <v>93085</v>
      </c>
      <c r="AR11" s="28">
        <f>'LT-Wshng'!D109-Overtime!AQ11</f>
        <v>0</v>
      </c>
      <c r="AS11" s="27"/>
      <c r="AT11" s="28" t="str">
        <f t="shared" si="0"/>
        <v/>
      </c>
      <c r="AU11" s="27">
        <v>26442</v>
      </c>
      <c r="AV11" s="28">
        <f>'LT-Wshng'!N109-Overtime!AU11</f>
        <v>0</v>
      </c>
      <c r="AW11" s="27">
        <v>8775</v>
      </c>
      <c r="AX11" s="28">
        <f>'LT-Wshng'!P109-Overtime!AW11</f>
        <v>0</v>
      </c>
      <c r="AY11" s="27"/>
      <c r="AZ11" s="28" t="str">
        <f t="shared" si="1"/>
        <v/>
      </c>
      <c r="BA11" s="29">
        <v>50351</v>
      </c>
      <c r="BB11" s="28">
        <f>'LT-Wshng'!T109-Overtime!BA11</f>
        <v>0</v>
      </c>
      <c r="BC11" s="27">
        <v>9410</v>
      </c>
      <c r="BD11" s="28">
        <f>'LT-Wshng'!V109-Overtime!BC11</f>
        <v>0</v>
      </c>
      <c r="BE11" s="27">
        <v>5309</v>
      </c>
      <c r="BF11" s="28">
        <f>'LT-Wshng'!AB109-Overtime!BE11</f>
        <v>0</v>
      </c>
      <c r="BG11" s="27">
        <v>5206</v>
      </c>
      <c r="BH11" s="28">
        <f>'LT-Wshng'!AD109-Overtime!BG11</f>
        <v>0</v>
      </c>
    </row>
    <row r="12" spans="1:60" x14ac:dyDescent="0.3">
      <c r="A12" s="9" t="s">
        <v>66</v>
      </c>
      <c r="B12" s="33">
        <v>45937</v>
      </c>
      <c r="C12" s="5">
        <v>51322</v>
      </c>
      <c r="D12" s="28">
        <f>'LT GF'!C110-Overtime!C12</f>
        <v>24</v>
      </c>
      <c r="E12" s="5">
        <v>17514</v>
      </c>
      <c r="F12" s="28">
        <f>'LT GF'!G110-Overtime!E12</f>
        <v>2</v>
      </c>
      <c r="G12" s="5">
        <v>8750</v>
      </c>
      <c r="H12" s="28">
        <f>'LT GF'!K110-Overtime!G12</f>
        <v>17</v>
      </c>
      <c r="I12" s="13">
        <v>18248</v>
      </c>
      <c r="J12" s="28">
        <f>'LT GF'!O110-Overtime!I12</f>
        <v>10</v>
      </c>
      <c r="K12" s="5">
        <v>2586</v>
      </c>
      <c r="L12" s="28">
        <f>'LT GF'!Q110-Overtime!K12</f>
        <v>0</v>
      </c>
      <c r="M12" s="5">
        <v>7420</v>
      </c>
      <c r="N12" s="28">
        <f>'LT GF'!U110-Overtime!M12</f>
        <v>5</v>
      </c>
      <c r="O12" s="5">
        <v>44388</v>
      </c>
      <c r="P12" s="6">
        <f>'LT FF'!C110-Overtime!O12</f>
        <v>19</v>
      </c>
      <c r="Q12" s="5">
        <v>5391</v>
      </c>
      <c r="R12" s="6">
        <f>'LT FF'!E110-Overtime!Q12</f>
        <v>4</v>
      </c>
      <c r="S12" s="5">
        <v>21718</v>
      </c>
      <c r="T12" s="6">
        <f>'LT FF'!G110-Overtime!S12</f>
        <v>6</v>
      </c>
      <c r="U12" s="5">
        <v>942</v>
      </c>
      <c r="V12" s="6">
        <f>'LT FF'!K110-Overtime!U12</f>
        <v>7</v>
      </c>
      <c r="W12" s="5">
        <v>21625</v>
      </c>
      <c r="X12" s="6">
        <f>'LT FF'!O110-Overtime!W12</f>
        <v>31</v>
      </c>
      <c r="Y12" s="5">
        <v>4298</v>
      </c>
      <c r="Z12" s="6">
        <f>'LT FF'!Q110-Overtime!Y12</f>
        <v>6</v>
      </c>
      <c r="AA12" s="5">
        <v>6974</v>
      </c>
      <c r="AB12" s="6">
        <f>'LT FF'!U110-Overtime!AA12</f>
        <v>10</v>
      </c>
      <c r="AC12" s="27">
        <v>71627</v>
      </c>
      <c r="AD12" s="28">
        <f>'LT 2F'!C110-Overtime!AC12</f>
        <v>40</v>
      </c>
      <c r="AE12" s="27">
        <v>9804</v>
      </c>
      <c r="AF12" s="28">
        <f>'LT 2F'!E110-Overtime!AE12</f>
        <v>10</v>
      </c>
      <c r="AG12" s="27">
        <v>26828</v>
      </c>
      <c r="AH12" s="28">
        <f>'LT 2F'!G110-Overtime!AG12</f>
        <v>13</v>
      </c>
      <c r="AI12" s="27">
        <v>21427</v>
      </c>
      <c r="AJ12" s="28">
        <f>'LT 2F'!K110-Overtime!AI12</f>
        <v>6</v>
      </c>
      <c r="AK12" s="27">
        <v>30735</v>
      </c>
      <c r="AL12" s="28">
        <f>'LT 2F'!O110-Overtime!AK12</f>
        <v>47</v>
      </c>
      <c r="AM12" s="27">
        <v>4316</v>
      </c>
      <c r="AN12" s="28">
        <f>'LT 2F'!Q110-Overtime!AM12</f>
        <v>7</v>
      </c>
      <c r="AO12" s="27"/>
      <c r="AP12" s="28">
        <v>0</v>
      </c>
      <c r="AQ12" s="27">
        <v>95239</v>
      </c>
      <c r="AR12" s="28">
        <f>'LT-Wshng'!D110-Overtime!AQ12</f>
        <v>0</v>
      </c>
      <c r="AS12" s="27"/>
      <c r="AT12" s="28" t="str">
        <f t="shared" si="0"/>
        <v/>
      </c>
      <c r="AU12" s="27">
        <v>26675</v>
      </c>
      <c r="AV12" s="28">
        <f>'LT-Wshng'!N110-Overtime!AU12</f>
        <v>0</v>
      </c>
      <c r="AW12" s="27">
        <v>8928</v>
      </c>
      <c r="AX12" s="28">
        <f>'LT-Wshng'!P110-Overtime!AW12</f>
        <v>0</v>
      </c>
      <c r="AY12" s="27"/>
      <c r="AZ12" s="28" t="str">
        <f t="shared" si="1"/>
        <v/>
      </c>
      <c r="BA12" s="29">
        <v>50802</v>
      </c>
      <c r="BB12" s="28">
        <f>'LT-Wshng'!T110-Overtime!BA12</f>
        <v>0</v>
      </c>
      <c r="BC12" s="27">
        <v>9511</v>
      </c>
      <c r="BD12" s="28">
        <f>'LT-Wshng'!V110-Overtime!BC12</f>
        <v>0</v>
      </c>
      <c r="BE12" s="27">
        <v>5360</v>
      </c>
      <c r="BF12" s="28">
        <f>'LT-Wshng'!AB110-Overtime!BE12</f>
        <v>0</v>
      </c>
      <c r="BG12" s="27">
        <v>5235</v>
      </c>
      <c r="BH12" s="28">
        <f>'LT-Wshng'!AD110-Overtime!BG12</f>
        <v>0</v>
      </c>
    </row>
    <row r="13" spans="1:60" x14ac:dyDescent="0.3">
      <c r="A13" s="9" t="s">
        <v>67</v>
      </c>
      <c r="B13" s="33">
        <v>45938</v>
      </c>
      <c r="C13" s="5">
        <v>51871</v>
      </c>
      <c r="D13" s="28">
        <f>'LT GF'!C111-Overtime!C13</f>
        <v>46</v>
      </c>
      <c r="E13" s="5">
        <v>17684</v>
      </c>
      <c r="F13" s="28">
        <f>'LT GF'!G111-Overtime!E13</f>
        <v>5</v>
      </c>
      <c r="G13" s="5">
        <v>8860</v>
      </c>
      <c r="H13" s="28">
        <f>'LT GF'!K111-Overtime!G13</f>
        <v>24</v>
      </c>
      <c r="I13" s="13">
        <v>18461</v>
      </c>
      <c r="J13" s="28">
        <f>'LT GF'!O111-Overtime!I13</f>
        <v>18</v>
      </c>
      <c r="K13" s="5">
        <v>2676</v>
      </c>
      <c r="L13" s="28">
        <f>'LT GF'!Q111-Overtime!K13</f>
        <v>0</v>
      </c>
      <c r="M13" s="5">
        <v>7511</v>
      </c>
      <c r="N13" s="28">
        <f>'LT GF'!U111-Overtime!M13</f>
        <v>13</v>
      </c>
      <c r="O13" s="5">
        <v>44818</v>
      </c>
      <c r="P13" s="6">
        <f>'LT FF'!C111-Overtime!O13</f>
        <v>20</v>
      </c>
      <c r="Q13" s="5">
        <v>5488</v>
      </c>
      <c r="R13" s="6">
        <f>'LT FF'!E111-Overtime!Q13</f>
        <v>5</v>
      </c>
      <c r="S13" s="5">
        <v>22003</v>
      </c>
      <c r="T13" s="6">
        <f>'LT FF'!G111-Overtime!S13</f>
        <v>0</v>
      </c>
      <c r="U13" s="5">
        <v>958</v>
      </c>
      <c r="V13" s="6">
        <f>'LT FF'!K111-Overtime!U13</f>
        <v>4</v>
      </c>
      <c r="W13" s="5">
        <v>21861</v>
      </c>
      <c r="X13" s="6">
        <f>'LT FF'!O111-Overtime!W13</f>
        <v>27</v>
      </c>
      <c r="Y13" s="5">
        <v>4405</v>
      </c>
      <c r="Z13" s="6">
        <f>'LT FF'!Q111-Overtime!Y13</f>
        <v>3</v>
      </c>
      <c r="AA13" s="5">
        <v>7059</v>
      </c>
      <c r="AB13" s="6">
        <f>'LT FF'!U111-Overtime!AA13</f>
        <v>8</v>
      </c>
      <c r="AC13" s="27">
        <v>72142</v>
      </c>
      <c r="AD13" s="28">
        <f>'LT 2F'!C111-Overtime!AC13</f>
        <v>54</v>
      </c>
      <c r="AE13" s="27">
        <v>9947</v>
      </c>
      <c r="AF13" s="28">
        <f>'LT 2F'!E111-Overtime!AE13</f>
        <v>6</v>
      </c>
      <c r="AG13" s="27">
        <v>26950</v>
      </c>
      <c r="AH13" s="28">
        <f>'LT 2F'!G111-Overtime!AG13</f>
        <v>7</v>
      </c>
      <c r="AI13" s="27">
        <v>21629</v>
      </c>
      <c r="AJ13" s="28">
        <f>'LT 2F'!K111-Overtime!AI13</f>
        <v>18</v>
      </c>
      <c r="AK13" s="27">
        <v>30977</v>
      </c>
      <c r="AL13" s="28">
        <f>'LT 2F'!O111-Overtime!AK13</f>
        <v>37</v>
      </c>
      <c r="AM13" s="27">
        <v>4367</v>
      </c>
      <c r="AN13" s="28">
        <f>'LT 2F'!Q111-Overtime!AM13</f>
        <v>3</v>
      </c>
      <c r="AO13" s="27"/>
      <c r="AP13" s="28">
        <v>0</v>
      </c>
      <c r="AQ13" s="27">
        <v>97328</v>
      </c>
      <c r="AR13" s="28">
        <f>'LT-Wshng'!D111-Overtime!AQ13</f>
        <v>0</v>
      </c>
      <c r="AS13" s="27"/>
      <c r="AT13" s="28" t="str">
        <f t="shared" si="0"/>
        <v/>
      </c>
      <c r="AU13" s="27">
        <v>26908</v>
      </c>
      <c r="AV13" s="28">
        <f>'LT-Wshng'!N111-Overtime!AU13</f>
        <v>0</v>
      </c>
      <c r="AW13" s="27">
        <v>9078</v>
      </c>
      <c r="AX13" s="28">
        <f>'LT-Wshng'!P111-Overtime!AW13</f>
        <v>0</v>
      </c>
      <c r="AY13" s="27"/>
      <c r="AZ13" s="28" t="str">
        <f t="shared" si="1"/>
        <v/>
      </c>
      <c r="BA13" s="29">
        <v>51182</v>
      </c>
      <c r="BB13" s="28">
        <f>'LT-Wshng'!T111-Overtime!BA13</f>
        <v>0</v>
      </c>
      <c r="BC13" s="27">
        <v>9602</v>
      </c>
      <c r="BD13" s="28">
        <f>'LT-Wshng'!V111-Overtime!BC13</f>
        <v>0</v>
      </c>
      <c r="BE13" s="27">
        <v>5401</v>
      </c>
      <c r="BF13" s="28">
        <f>'LT-Wshng'!AB111-Overtime!BE13</f>
        <v>0</v>
      </c>
      <c r="BG13" s="27">
        <v>5286</v>
      </c>
      <c r="BH13" s="28">
        <f>'LT-Wshng'!AD111-Overtime!BG13</f>
        <v>0</v>
      </c>
    </row>
    <row r="14" spans="1:60" x14ac:dyDescent="0.3">
      <c r="A14" s="9" t="s">
        <v>68</v>
      </c>
      <c r="B14" s="33">
        <v>45939</v>
      </c>
      <c r="C14" s="5">
        <v>52443</v>
      </c>
      <c r="D14" s="28">
        <f>'LT GF'!C112-Overtime!C14</f>
        <v>20</v>
      </c>
      <c r="E14" s="5">
        <v>17851</v>
      </c>
      <c r="F14" s="28">
        <f>'LT GF'!G112-Overtime!E14</f>
        <v>3</v>
      </c>
      <c r="G14" s="5">
        <v>8973</v>
      </c>
      <c r="H14" s="28">
        <f>'LT GF'!K112-Overtime!G14</f>
        <v>14</v>
      </c>
      <c r="I14" s="13">
        <v>18684</v>
      </c>
      <c r="J14" s="28">
        <f>'LT GF'!O112-Overtime!I14</f>
        <v>13</v>
      </c>
      <c r="K14" s="5">
        <v>2770</v>
      </c>
      <c r="L14" s="28">
        <f>'LT GF'!Q112-Overtime!K14</f>
        <v>1</v>
      </c>
      <c r="M14" s="5">
        <v>7606</v>
      </c>
      <c r="N14" s="28">
        <f>'LT GF'!U112-Overtime!M14</f>
        <v>4</v>
      </c>
      <c r="O14" s="5">
        <v>45253</v>
      </c>
      <c r="P14" s="6">
        <f>'LT FF'!C112-Overtime!O14</f>
        <v>17</v>
      </c>
      <c r="Q14" s="5">
        <v>5589</v>
      </c>
      <c r="R14" s="6">
        <f>'LT FF'!E112-Overtime!Q14</f>
        <v>0</v>
      </c>
      <c r="S14" s="5">
        <v>22273</v>
      </c>
      <c r="T14" s="6">
        <f>'LT FF'!G112-Overtime!S14</f>
        <v>0</v>
      </c>
      <c r="U14" s="5">
        <v>971</v>
      </c>
      <c r="V14" s="6">
        <f>'LT FF'!K112-Overtime!U14</f>
        <v>5</v>
      </c>
      <c r="W14" s="5">
        <v>22097</v>
      </c>
      <c r="X14" s="6">
        <f>'LT FF'!O112-Overtime!W14</f>
        <v>27</v>
      </c>
      <c r="Y14" s="5">
        <v>4511</v>
      </c>
      <c r="Z14" s="6">
        <f>'LT FF'!Q112-Overtime!Y14</f>
        <v>3</v>
      </c>
      <c r="AA14" s="5">
        <v>7141</v>
      </c>
      <c r="AB14" s="6">
        <f>'LT FF'!U112-Overtime!AA14</f>
        <v>7</v>
      </c>
      <c r="AC14" s="27">
        <v>72677</v>
      </c>
      <c r="AD14" s="28">
        <f>'LT 2F'!C112-Overtime!AC14</f>
        <v>86</v>
      </c>
      <c r="AE14" s="27">
        <v>10087</v>
      </c>
      <c r="AF14" s="28">
        <f>'LT 2F'!E112-Overtime!AE14</f>
        <v>11</v>
      </c>
      <c r="AG14" s="27">
        <v>27063</v>
      </c>
      <c r="AH14" s="28">
        <f>'LT 2F'!G112-Overtime!AG14</f>
        <v>12</v>
      </c>
      <c r="AI14" s="27">
        <v>21837</v>
      </c>
      <c r="AJ14" s="28">
        <f>'LT 2F'!K112-Overtime!AI14</f>
        <v>30</v>
      </c>
      <c r="AK14" s="27">
        <v>31208</v>
      </c>
      <c r="AL14" s="28">
        <f>'LT 2F'!O112-Overtime!AK14</f>
        <v>34</v>
      </c>
      <c r="AM14" s="27">
        <v>4409</v>
      </c>
      <c r="AN14" s="28">
        <f>'LT 2F'!Q112-Overtime!AM14</f>
        <v>6</v>
      </c>
      <c r="AO14" s="27"/>
      <c r="AP14" s="28">
        <v>0</v>
      </c>
      <c r="AQ14" s="27">
        <v>99634</v>
      </c>
      <c r="AR14" s="28">
        <f>'LT-Wshng'!D112-Overtime!AQ14</f>
        <v>0</v>
      </c>
      <c r="AS14" s="27"/>
      <c r="AT14" s="28" t="str">
        <f t="shared" si="0"/>
        <v/>
      </c>
      <c r="AU14" s="27">
        <v>27148</v>
      </c>
      <c r="AV14" s="28">
        <f>'LT-Wshng'!N112-Overtime!AU14</f>
        <v>0</v>
      </c>
      <c r="AW14" s="27">
        <v>9214</v>
      </c>
      <c r="AX14" s="28">
        <f>'LT-Wshng'!P112-Overtime!AW14</f>
        <v>0</v>
      </c>
      <c r="AY14" s="27"/>
      <c r="AZ14" s="28" t="str">
        <f t="shared" si="1"/>
        <v/>
      </c>
      <c r="BA14" s="29">
        <v>51639</v>
      </c>
      <c r="BB14" s="28">
        <f>'LT-Wshng'!T112-Overtime!BA14</f>
        <v>0</v>
      </c>
      <c r="BC14" s="27">
        <v>9693</v>
      </c>
      <c r="BD14" s="28">
        <f>'LT-Wshng'!V112-Overtime!BC14</f>
        <v>0</v>
      </c>
      <c r="BE14" s="27">
        <v>5477</v>
      </c>
      <c r="BF14" s="28">
        <f>'LT-Wshng'!AB112-Overtime!BE14</f>
        <v>0</v>
      </c>
      <c r="BG14" s="27">
        <v>5362</v>
      </c>
      <c r="BH14" s="28">
        <f>'LT-Wshng'!AD112-Overtime!BG14</f>
        <v>0</v>
      </c>
    </row>
    <row r="15" spans="1:60" x14ac:dyDescent="0.3">
      <c r="A15" s="9" t="s">
        <v>69</v>
      </c>
      <c r="B15" s="33">
        <v>45940</v>
      </c>
      <c r="C15" s="5">
        <v>52889</v>
      </c>
      <c r="D15" s="28">
        <f>'LT GF'!C113-Overtime!C15</f>
        <v>18</v>
      </c>
      <c r="E15" s="5">
        <v>17973</v>
      </c>
      <c r="F15" s="28">
        <f>'LT GF'!G113-Overtime!E15</f>
        <v>2</v>
      </c>
      <c r="G15" s="5">
        <v>9076</v>
      </c>
      <c r="H15" s="28">
        <f>'LT GF'!K113-Overtime!G15</f>
        <v>14</v>
      </c>
      <c r="I15" s="13">
        <v>18916</v>
      </c>
      <c r="J15" s="28">
        <f>'LT GF'!O113-Overtime!I15</f>
        <v>26</v>
      </c>
      <c r="K15" s="5">
        <v>2870</v>
      </c>
      <c r="L15" s="28">
        <f>'LT GF'!Q113-Overtime!K15</f>
        <v>1</v>
      </c>
      <c r="M15" s="5">
        <v>7695</v>
      </c>
      <c r="N15" s="28">
        <f>'LT GF'!U113-Overtime!M15</f>
        <v>14</v>
      </c>
      <c r="O15" s="5">
        <v>45530</v>
      </c>
      <c r="P15" s="6">
        <f>'LT FF'!C113-Overtime!O15</f>
        <v>20</v>
      </c>
      <c r="Q15" s="5">
        <v>5678</v>
      </c>
      <c r="R15" s="6">
        <f>'LT FF'!E113-Overtime!Q15</f>
        <v>0</v>
      </c>
      <c r="S15" s="5">
        <v>22400</v>
      </c>
      <c r="T15" s="6">
        <f>'LT FF'!G113-Overtime!S15</f>
        <v>5</v>
      </c>
      <c r="U15" s="5">
        <v>985</v>
      </c>
      <c r="V15" s="6">
        <f>'LT FF'!K113-Overtime!U15</f>
        <v>4</v>
      </c>
      <c r="W15" s="5">
        <v>22299</v>
      </c>
      <c r="X15" s="6">
        <f>'LT FF'!O113-Overtime!W15</f>
        <v>27</v>
      </c>
      <c r="Y15" s="5">
        <v>4587</v>
      </c>
      <c r="Z15" s="6">
        <f>'LT FF'!Q113-Overtime!Y15</f>
        <v>2</v>
      </c>
      <c r="AA15" s="5">
        <v>7215</v>
      </c>
      <c r="AB15" s="6">
        <f>'LT FF'!U113-Overtime!AA15</f>
        <v>7</v>
      </c>
      <c r="AC15" s="27">
        <v>73261</v>
      </c>
      <c r="AD15" s="28">
        <f>'LT 2F'!C113-Overtime!AC15</f>
        <v>64</v>
      </c>
      <c r="AE15" s="27">
        <v>10229</v>
      </c>
      <c r="AF15" s="28">
        <f>'LT 2F'!E113-Overtime!AE15</f>
        <v>11</v>
      </c>
      <c r="AG15" s="27">
        <v>27200</v>
      </c>
      <c r="AH15" s="28">
        <f>'LT 2F'!G113-Overtime!AG15</f>
        <v>12</v>
      </c>
      <c r="AI15" s="27">
        <v>22061</v>
      </c>
      <c r="AJ15" s="28">
        <f>'LT 2F'!K113-Overtime!AI15</f>
        <v>20</v>
      </c>
      <c r="AK15" s="27">
        <v>31478</v>
      </c>
      <c r="AL15" s="28">
        <f>'LT 2F'!O113-Overtime!AK15</f>
        <v>29</v>
      </c>
      <c r="AM15" s="27">
        <v>4486</v>
      </c>
      <c r="AN15" s="28">
        <f>'LT 2F'!Q113-Overtime!AM15</f>
        <v>3</v>
      </c>
      <c r="AO15" s="27"/>
      <c r="AP15" s="28">
        <v>0</v>
      </c>
      <c r="AQ15" s="27">
        <v>101793</v>
      </c>
      <c r="AR15" s="28">
        <f>'LT-Wshng'!D113-Overtime!AQ15</f>
        <v>0</v>
      </c>
      <c r="AS15" s="27"/>
      <c r="AT15" s="28" t="str">
        <f t="shared" si="0"/>
        <v/>
      </c>
      <c r="AU15" s="27">
        <v>27385</v>
      </c>
      <c r="AV15" s="28">
        <f>'LT-Wshng'!N113-Overtime!AU15</f>
        <v>0</v>
      </c>
      <c r="AW15" s="27">
        <v>9350</v>
      </c>
      <c r="AX15" s="28">
        <f>'LT-Wshng'!P113-Overtime!AW15</f>
        <v>0</v>
      </c>
      <c r="AY15" s="27"/>
      <c r="AZ15" s="28" t="str">
        <f t="shared" si="1"/>
        <v/>
      </c>
      <c r="BA15" s="29">
        <v>52153</v>
      </c>
      <c r="BB15" s="28">
        <f>'LT-Wshng'!T113-Overtime!BA15</f>
        <v>0</v>
      </c>
      <c r="BC15" s="27">
        <v>9791</v>
      </c>
      <c r="BD15" s="28">
        <f>'LT-Wshng'!V113-Overtime!BC15</f>
        <v>0</v>
      </c>
      <c r="BE15" s="27">
        <v>5565</v>
      </c>
      <c r="BF15" s="28">
        <f>'LT-Wshng'!AB113-Overtime!BE15</f>
        <v>0</v>
      </c>
      <c r="BG15" s="27">
        <v>5458</v>
      </c>
      <c r="BH15" s="28">
        <f>'LT-Wshng'!AD113-Overtime!BG15</f>
        <v>0</v>
      </c>
    </row>
    <row r="16" spans="1:60" x14ac:dyDescent="0.3">
      <c r="A16" s="9" t="s">
        <v>70</v>
      </c>
      <c r="B16" s="33">
        <v>45941</v>
      </c>
      <c r="C16" s="5">
        <v>53357</v>
      </c>
      <c r="D16" s="28">
        <f>'LT GF'!C114-Overtime!C16</f>
        <v>23</v>
      </c>
      <c r="E16" s="5">
        <v>18059</v>
      </c>
      <c r="F16" s="28">
        <f>'LT GF'!G114-Overtime!E16</f>
        <v>0</v>
      </c>
      <c r="G16" s="5">
        <v>9182</v>
      </c>
      <c r="H16" s="28">
        <f>'LT GF'!K114-Overtime!G16</f>
        <v>21</v>
      </c>
      <c r="I16" s="13">
        <v>19150</v>
      </c>
      <c r="J16" s="28">
        <f>'LT GF'!O114-Overtime!I16</f>
        <v>10</v>
      </c>
      <c r="K16" s="5">
        <v>2967</v>
      </c>
      <c r="L16" s="28">
        <f>'LT GF'!Q114-Overtime!K16</f>
        <v>0</v>
      </c>
      <c r="M16" s="5">
        <v>7793</v>
      </c>
      <c r="N16" s="28">
        <f>'LT GF'!U114-Overtime!M16</f>
        <v>4</v>
      </c>
      <c r="O16" s="5">
        <v>45825</v>
      </c>
      <c r="P16" s="6">
        <f>'LT FF'!C114-Overtime!O16</f>
        <v>15</v>
      </c>
      <c r="Q16" s="5">
        <v>5773</v>
      </c>
      <c r="R16" s="6">
        <f>'LT FF'!E114-Overtime!Q16</f>
        <v>4</v>
      </c>
      <c r="S16" s="5">
        <v>22536</v>
      </c>
      <c r="T16" s="6">
        <f>'LT FF'!G114-Overtime!S16</f>
        <v>5</v>
      </c>
      <c r="U16" s="5">
        <v>997</v>
      </c>
      <c r="V16" s="6">
        <f>'LT FF'!K114-Overtime!U16</f>
        <v>4</v>
      </c>
      <c r="W16" s="5">
        <v>22495</v>
      </c>
      <c r="X16" s="6">
        <f>'LT FF'!O114-Overtime!W16</f>
        <v>10</v>
      </c>
      <c r="Y16" s="5">
        <v>4640</v>
      </c>
      <c r="Z16" s="6">
        <f>'LT FF'!Q114-Overtime!Y16</f>
        <v>3</v>
      </c>
      <c r="AA16" s="5">
        <v>7299</v>
      </c>
      <c r="AB16" s="6">
        <f>'LT FF'!U114-Overtime!AA16</f>
        <v>4</v>
      </c>
      <c r="AC16" s="27">
        <v>73847</v>
      </c>
      <c r="AD16" s="28">
        <f>'LT 2F'!C114-Overtime!AC16</f>
        <v>51</v>
      </c>
      <c r="AE16" s="27">
        <v>10382</v>
      </c>
      <c r="AF16" s="28">
        <f>'LT 2F'!E114-Overtime!AE16</f>
        <v>10</v>
      </c>
      <c r="AG16" s="27">
        <v>27336</v>
      </c>
      <c r="AH16" s="28">
        <f>'LT 2F'!G114-Overtime!AG16</f>
        <v>13</v>
      </c>
      <c r="AI16" s="27">
        <v>22279</v>
      </c>
      <c r="AJ16" s="28">
        <f>'LT 2F'!K114-Overtime!AI16</f>
        <v>24</v>
      </c>
      <c r="AK16" s="27">
        <v>31769</v>
      </c>
      <c r="AL16" s="28">
        <f>'LT 2F'!O114-Overtime!AK16</f>
        <v>33</v>
      </c>
      <c r="AM16" s="27">
        <v>4582</v>
      </c>
      <c r="AN16" s="28">
        <f>'LT 2F'!Q114-Overtime!AM16</f>
        <v>2</v>
      </c>
      <c r="AO16" s="27"/>
      <c r="AP16" s="28">
        <v>0</v>
      </c>
      <c r="AQ16" s="27">
        <v>103933</v>
      </c>
      <c r="AR16" s="28">
        <f>'LT-Wshng'!D114-Overtime!AQ16</f>
        <v>0</v>
      </c>
      <c r="AS16" s="27"/>
      <c r="AT16" s="28" t="str">
        <f t="shared" si="0"/>
        <v/>
      </c>
      <c r="AU16" s="27">
        <v>27616</v>
      </c>
      <c r="AV16" s="28">
        <f>'LT-Wshng'!N114-Overtime!AU16</f>
        <v>0</v>
      </c>
      <c r="AW16" s="27">
        <v>9492</v>
      </c>
      <c r="AX16" s="28">
        <f>'LT-Wshng'!P114-Overtime!AW16</f>
        <v>0</v>
      </c>
      <c r="AY16" s="27"/>
      <c r="AZ16" s="28" t="str">
        <f t="shared" si="1"/>
        <v/>
      </c>
      <c r="BA16" s="29">
        <v>52652</v>
      </c>
      <c r="BB16" s="28">
        <f>'LT-Wshng'!T114-Overtime!BA16</f>
        <v>0</v>
      </c>
      <c r="BC16" s="27">
        <v>9888</v>
      </c>
      <c r="BD16" s="28">
        <f>'LT-Wshng'!V114-Overtime!BC16</f>
        <v>0</v>
      </c>
      <c r="BE16" s="27">
        <v>5662</v>
      </c>
      <c r="BF16" s="28">
        <f>'LT-Wshng'!AB114-Overtime!BE16</f>
        <v>0</v>
      </c>
      <c r="BG16" s="27">
        <v>5549</v>
      </c>
      <c r="BH16" s="28">
        <f>'LT-Wshng'!AD114-Overtime!BG16</f>
        <v>0</v>
      </c>
    </row>
    <row r="17" spans="1:60" x14ac:dyDescent="0.3">
      <c r="A17" s="9" t="s">
        <v>71</v>
      </c>
      <c r="B17" s="33">
        <v>45942</v>
      </c>
      <c r="C17" s="5">
        <v>53441</v>
      </c>
      <c r="D17" s="28">
        <f>'LT GF'!C115-Overtime!C17</f>
        <v>0</v>
      </c>
      <c r="E17" s="5">
        <v>18060</v>
      </c>
      <c r="F17" s="28">
        <f>'LT GF'!G115-Overtime!E17</f>
        <v>0</v>
      </c>
      <c r="G17" s="5">
        <v>9206</v>
      </c>
      <c r="H17" s="28">
        <f>'LT GF'!K115-Overtime!G17</f>
        <v>0</v>
      </c>
      <c r="I17" s="13">
        <v>19167</v>
      </c>
      <c r="J17" s="28">
        <f>'LT GF'!O115-Overtime!I17</f>
        <v>0</v>
      </c>
      <c r="K17" s="5">
        <v>2967</v>
      </c>
      <c r="L17" s="28">
        <f>'LT GF'!Q115-Overtime!K17</f>
        <v>0</v>
      </c>
      <c r="M17" s="5">
        <v>7797</v>
      </c>
      <c r="N17" s="28">
        <f>'LT GF'!U115-Overtime!M17</f>
        <v>0</v>
      </c>
      <c r="O17" s="5">
        <v>45845</v>
      </c>
      <c r="P17" s="6">
        <f>'LT FF'!C115-Overtime!O17</f>
        <v>0</v>
      </c>
      <c r="Q17" s="5">
        <v>5777</v>
      </c>
      <c r="R17" s="6">
        <f>'LT FF'!E115-Overtime!Q17</f>
        <v>0</v>
      </c>
      <c r="S17" s="5">
        <v>22541</v>
      </c>
      <c r="T17" s="6">
        <f>'LT FF'!G115-Overtime!S17</f>
        <v>0</v>
      </c>
      <c r="U17" s="5">
        <v>1003</v>
      </c>
      <c r="V17" s="6">
        <f>'LT FF'!K115-Overtime!U17</f>
        <v>0</v>
      </c>
      <c r="W17" s="5">
        <v>22509</v>
      </c>
      <c r="X17" s="6">
        <f>'LT FF'!O115-Overtime!W17</f>
        <v>0</v>
      </c>
      <c r="Y17" s="5">
        <v>4643</v>
      </c>
      <c r="Z17" s="6">
        <f>'LT FF'!Q115-Overtime!Y17</f>
        <v>0</v>
      </c>
      <c r="AA17" s="5">
        <v>7304</v>
      </c>
      <c r="AB17" s="6">
        <f>'LT FF'!U115-Overtime!AA17</f>
        <v>0</v>
      </c>
      <c r="AC17" s="27">
        <v>73905</v>
      </c>
      <c r="AD17" s="28">
        <f>'LT 2F'!C115-Overtime!AC17</f>
        <v>0</v>
      </c>
      <c r="AE17" s="27">
        <v>10392</v>
      </c>
      <c r="AF17" s="28">
        <f>'LT 2F'!E115-Overtime!AE17</f>
        <v>0</v>
      </c>
      <c r="AG17" s="27">
        <v>27349</v>
      </c>
      <c r="AH17" s="28">
        <f>'LT 2F'!G115-Overtime!AG17</f>
        <v>0</v>
      </c>
      <c r="AI17" s="27">
        <v>22303</v>
      </c>
      <c r="AJ17" s="28">
        <f>'LT 2F'!K115-Overtime!AI17</f>
        <v>0</v>
      </c>
      <c r="AK17" s="27">
        <v>31813</v>
      </c>
      <c r="AL17" s="28">
        <f>'LT 2F'!O115-Overtime!AK17</f>
        <v>0</v>
      </c>
      <c r="AM17" s="27">
        <v>4584</v>
      </c>
      <c r="AN17" s="28">
        <f>'LT 2F'!Q115-Overtime!AM17</f>
        <v>0</v>
      </c>
      <c r="AO17" s="27"/>
      <c r="AP17" s="28">
        <v>0</v>
      </c>
      <c r="AQ17" s="27">
        <v>104125</v>
      </c>
      <c r="AR17" s="28">
        <f>'LT-Wshng'!D115-Overtime!AQ17</f>
        <v>0</v>
      </c>
      <c r="AS17" s="27"/>
      <c r="AT17" s="28" t="str">
        <f t="shared" si="0"/>
        <v/>
      </c>
      <c r="AU17" s="27">
        <v>27632</v>
      </c>
      <c r="AV17" s="28">
        <f>'LT-Wshng'!N115-Overtime!AU17</f>
        <v>0</v>
      </c>
      <c r="AW17" s="27">
        <v>9499</v>
      </c>
      <c r="AX17" s="28">
        <f>'LT-Wshng'!P115-Overtime!AW17</f>
        <v>0</v>
      </c>
      <c r="AY17" s="27"/>
      <c r="AZ17" s="28" t="str">
        <f t="shared" si="1"/>
        <v/>
      </c>
      <c r="BA17" s="29">
        <v>52720</v>
      </c>
      <c r="BB17" s="28">
        <f>'LT-Wshng'!T115-Overtime!BA17</f>
        <v>0</v>
      </c>
      <c r="BC17" s="27">
        <v>9890</v>
      </c>
      <c r="BD17" s="28">
        <f>'LT-Wshng'!V115-Overtime!BC17</f>
        <v>0</v>
      </c>
      <c r="BE17" s="27">
        <v>5666</v>
      </c>
      <c r="BF17" s="28">
        <f>'LT-Wshng'!AB115-Overtime!BE17</f>
        <v>0</v>
      </c>
      <c r="BG17" s="27">
        <v>5553</v>
      </c>
      <c r="BH17" s="28">
        <f>'LT-Wshng'!AD115-Overtime!BG17</f>
        <v>0</v>
      </c>
    </row>
    <row r="18" spans="1:60" x14ac:dyDescent="0.3">
      <c r="A18" s="9" t="s">
        <v>72</v>
      </c>
      <c r="B18" s="33">
        <v>45943</v>
      </c>
      <c r="C18" s="5">
        <v>53829</v>
      </c>
      <c r="D18" s="28">
        <f>'LT GF'!C116-Overtime!C18</f>
        <v>0</v>
      </c>
      <c r="E18" s="5">
        <v>18142</v>
      </c>
      <c r="F18" s="28">
        <f>'LT GF'!G116-Overtime!E18</f>
        <v>1</v>
      </c>
      <c r="G18" s="5">
        <v>9298</v>
      </c>
      <c r="H18" s="28">
        <f>'LT GF'!K116-Overtime!G18</f>
        <v>13</v>
      </c>
      <c r="I18" s="13">
        <v>19395</v>
      </c>
      <c r="J18" s="28">
        <f>'LT GF'!O116-Overtime!I18</f>
        <v>12</v>
      </c>
      <c r="K18" s="5">
        <v>3073</v>
      </c>
      <c r="L18" s="28">
        <f>'LT GF'!Q116-Overtime!K18</f>
        <v>0</v>
      </c>
      <c r="M18" s="5">
        <v>7883</v>
      </c>
      <c r="N18" s="28">
        <f>'LT GF'!U116-Overtime!M18</f>
        <v>4</v>
      </c>
      <c r="O18" s="5">
        <v>46123</v>
      </c>
      <c r="P18" s="6">
        <f>'LT FF'!C116-Overtime!O18</f>
        <v>24</v>
      </c>
      <c r="Q18" s="5">
        <v>5874</v>
      </c>
      <c r="R18" s="6">
        <f>'LT FF'!E116-Overtime!Q18</f>
        <v>1</v>
      </c>
      <c r="S18" s="5">
        <v>22668</v>
      </c>
      <c r="T18" s="6">
        <f>'LT FF'!G116-Overtime!S18</f>
        <v>5</v>
      </c>
      <c r="U18" s="5">
        <v>1012</v>
      </c>
      <c r="V18" s="6">
        <f>'LT FF'!K116-Overtime!U18</f>
        <v>5</v>
      </c>
      <c r="W18" s="5">
        <v>22686</v>
      </c>
      <c r="X18" s="6">
        <f>'LT FF'!O116-Overtime!W18</f>
        <v>30</v>
      </c>
      <c r="Y18" s="5">
        <v>4693</v>
      </c>
      <c r="Z18" s="6">
        <f>'LT FF'!Q116-Overtime!Y18</f>
        <v>3</v>
      </c>
      <c r="AA18" s="5">
        <v>7379</v>
      </c>
      <c r="AB18" s="6">
        <f>'LT FF'!U116-Overtime!AA18</f>
        <v>8</v>
      </c>
      <c r="AC18" s="27">
        <v>74433</v>
      </c>
      <c r="AD18" s="28">
        <f>'LT 2F'!C116-Overtime!AC18</f>
        <v>57</v>
      </c>
      <c r="AE18" s="27">
        <v>10526</v>
      </c>
      <c r="AF18" s="28">
        <f>'LT 2F'!E116-Overtime!AE18</f>
        <v>8</v>
      </c>
      <c r="AG18" s="27">
        <v>27477</v>
      </c>
      <c r="AH18" s="28">
        <f>'LT 2F'!G116-Overtime!AG18</f>
        <v>12</v>
      </c>
      <c r="AI18" s="27">
        <v>22508</v>
      </c>
      <c r="AJ18" s="28">
        <f>'LT 2F'!K116-Overtime!AI18</f>
        <v>19</v>
      </c>
      <c r="AK18" s="27">
        <v>32095</v>
      </c>
      <c r="AL18" s="28">
        <f>'LT 2F'!O116-Overtime!AK18</f>
        <v>46</v>
      </c>
      <c r="AM18" s="27">
        <v>4680</v>
      </c>
      <c r="AN18" s="28">
        <f>'LT 2F'!Q116-Overtime!AM18</f>
        <v>9</v>
      </c>
      <c r="AO18" s="27"/>
      <c r="AP18" s="28">
        <v>0</v>
      </c>
      <c r="AQ18" s="27">
        <v>106117</v>
      </c>
      <c r="AR18" s="28">
        <f>'LT-Wshng'!D116-Overtime!AQ18</f>
        <v>0</v>
      </c>
      <c r="AS18" s="27"/>
      <c r="AT18" s="28" t="str">
        <f t="shared" si="0"/>
        <v/>
      </c>
      <c r="AU18" s="27">
        <v>27798</v>
      </c>
      <c r="AV18" s="28">
        <f>'LT-Wshng'!N116-Overtime!AU18</f>
        <v>0</v>
      </c>
      <c r="AW18" s="27">
        <v>9635</v>
      </c>
      <c r="AX18" s="28">
        <f>'LT-Wshng'!P116-Overtime!AW18</f>
        <v>0</v>
      </c>
      <c r="AY18" s="27"/>
      <c r="AZ18" s="28" t="str">
        <f t="shared" si="1"/>
        <v/>
      </c>
      <c r="BA18" s="29">
        <v>53264</v>
      </c>
      <c r="BB18" s="28">
        <f>'LT-Wshng'!T116-Overtime!BA18</f>
        <v>0</v>
      </c>
      <c r="BC18" s="27">
        <v>9988</v>
      </c>
      <c r="BD18" s="28">
        <f>'LT-Wshng'!V116-Overtime!BC18</f>
        <v>0</v>
      </c>
      <c r="BE18" s="27">
        <v>5773</v>
      </c>
      <c r="BF18" s="28">
        <f>'LT-Wshng'!AB116-Overtime!BE18</f>
        <v>0</v>
      </c>
      <c r="BG18" s="27">
        <v>5646</v>
      </c>
      <c r="BH18" s="28">
        <f>'LT-Wshng'!AD116-Overtime!BG18</f>
        <v>0</v>
      </c>
    </row>
    <row r="19" spans="1:60" x14ac:dyDescent="0.3">
      <c r="A19" s="9" t="s">
        <v>66</v>
      </c>
      <c r="B19" s="33">
        <v>45944</v>
      </c>
      <c r="C19" s="5">
        <v>54318</v>
      </c>
      <c r="D19" s="28">
        <f>'LT GF'!C117-Overtime!C19</f>
        <v>41</v>
      </c>
      <c r="E19" s="5">
        <v>18225</v>
      </c>
      <c r="F19" s="28">
        <f>'LT GF'!G117-Overtime!E19</f>
        <v>6</v>
      </c>
      <c r="G19" s="5">
        <v>9406</v>
      </c>
      <c r="H19" s="28">
        <f>'LT GF'!K117-Overtime!G19</f>
        <v>29</v>
      </c>
      <c r="I19" s="13">
        <v>19655</v>
      </c>
      <c r="J19" s="28">
        <f>'LT GF'!O117-Overtime!I19</f>
        <v>11</v>
      </c>
      <c r="K19" s="5">
        <v>3197</v>
      </c>
      <c r="L19" s="28">
        <f>'LT GF'!Q117-Overtime!K19</f>
        <v>0</v>
      </c>
      <c r="M19" s="5">
        <v>7975</v>
      </c>
      <c r="N19" s="28">
        <f>'LT GF'!U117-Overtime!M19</f>
        <v>11</v>
      </c>
      <c r="O19" s="5">
        <v>46429</v>
      </c>
      <c r="P19" s="6">
        <f>'LT FF'!C117-Overtime!O19</f>
        <v>26</v>
      </c>
      <c r="Q19" s="5">
        <v>5974</v>
      </c>
      <c r="R19" s="6">
        <f>'LT FF'!E117-Overtime!Q19</f>
        <v>0</v>
      </c>
      <c r="S19" s="5">
        <v>22803</v>
      </c>
      <c r="T19" s="6">
        <f>'LT FF'!G117-Overtime!S19</f>
        <v>5</v>
      </c>
      <c r="U19" s="5">
        <v>1026</v>
      </c>
      <c r="V19" s="6">
        <f>'LT FF'!K117-Overtime!U19</f>
        <v>7</v>
      </c>
      <c r="W19" s="5">
        <v>22892</v>
      </c>
      <c r="X19" s="6">
        <f>'LT FF'!O117-Overtime!W19</f>
        <v>33</v>
      </c>
      <c r="Y19" s="5">
        <v>4751</v>
      </c>
      <c r="Z19" s="6">
        <f>'LT FF'!Q117-Overtime!Y19</f>
        <v>5</v>
      </c>
      <c r="AA19" s="5">
        <v>7464</v>
      </c>
      <c r="AB19" s="6">
        <f>'LT FF'!U117-Overtime!AA19</f>
        <v>11</v>
      </c>
      <c r="AC19" s="27">
        <v>75036</v>
      </c>
      <c r="AD19" s="28">
        <f>'LT 2F'!C117-Overtime!AC19</f>
        <v>49</v>
      </c>
      <c r="AE19" s="27">
        <v>10676</v>
      </c>
      <c r="AF19" s="28">
        <f>'LT 2F'!E117-Overtime!AE19</f>
        <v>7</v>
      </c>
      <c r="AG19" s="27">
        <v>27613</v>
      </c>
      <c r="AH19" s="28">
        <f>'LT 2F'!G117-Overtime!AG19</f>
        <v>2</v>
      </c>
      <c r="AI19" s="27">
        <v>22730</v>
      </c>
      <c r="AJ19" s="28">
        <f>'LT 2F'!K117-Overtime!AI19</f>
        <v>20</v>
      </c>
      <c r="AK19" s="27">
        <v>32415</v>
      </c>
      <c r="AL19" s="28">
        <f>'LT 2F'!O117-Overtime!AK19</f>
        <v>55</v>
      </c>
      <c r="AM19" s="27">
        <v>4782</v>
      </c>
      <c r="AN19" s="28">
        <f>'LT 2F'!Q117-Overtime!AM19</f>
        <v>11</v>
      </c>
      <c r="AO19" s="27"/>
      <c r="AP19" s="28">
        <v>0</v>
      </c>
      <c r="AQ19" s="27">
        <v>108575</v>
      </c>
      <c r="AR19" s="28">
        <f>'LT-Wshng'!D117-Overtime!AQ19</f>
        <v>0</v>
      </c>
      <c r="AS19" s="27"/>
      <c r="AT19" s="28" t="str">
        <f t="shared" si="0"/>
        <v/>
      </c>
      <c r="AU19" s="27">
        <v>27964</v>
      </c>
      <c r="AV19" s="28">
        <f>'LT-Wshng'!N117-Overtime!AU19</f>
        <v>0</v>
      </c>
      <c r="AW19" s="27">
        <v>9812</v>
      </c>
      <c r="AX19" s="28">
        <f>'LT-Wshng'!P117-Overtime!AW19</f>
        <v>0</v>
      </c>
      <c r="AY19" s="27"/>
      <c r="AZ19" s="28" t="str">
        <f t="shared" si="1"/>
        <v/>
      </c>
      <c r="BA19" s="29">
        <v>53854</v>
      </c>
      <c r="BB19" s="28">
        <f>'LT-Wshng'!T117-Overtime!BA19</f>
        <v>0</v>
      </c>
      <c r="BC19" s="27">
        <v>10109</v>
      </c>
      <c r="BD19" s="28">
        <f>'LT-Wshng'!V117-Overtime!BC19</f>
        <v>0</v>
      </c>
      <c r="BE19" s="27">
        <v>5853</v>
      </c>
      <c r="BF19" s="28">
        <f>'LT-Wshng'!AB117-Overtime!BE19</f>
        <v>0</v>
      </c>
      <c r="BG19" s="27">
        <v>5721</v>
      </c>
      <c r="BH19" s="28">
        <f>'LT-Wshng'!AD117-Overtime!BG19</f>
        <v>0</v>
      </c>
    </row>
    <row r="20" spans="1:60" x14ac:dyDescent="0.3">
      <c r="A20" s="9" t="s">
        <v>67</v>
      </c>
      <c r="B20" s="33">
        <v>45945</v>
      </c>
      <c r="C20" s="5">
        <v>54800</v>
      </c>
      <c r="D20" s="28">
        <f>'LT GF'!C118-Overtime!C20</f>
        <v>50</v>
      </c>
      <c r="E20" s="5">
        <v>18312</v>
      </c>
      <c r="F20" s="28">
        <f>'LT GF'!G118-Overtime!E20</f>
        <v>8</v>
      </c>
      <c r="G20" s="5">
        <v>9531</v>
      </c>
      <c r="H20" s="28">
        <f>'LT GF'!K118-Overtime!G20</f>
        <v>32</v>
      </c>
      <c r="I20" s="13">
        <v>19913</v>
      </c>
      <c r="J20" s="28">
        <f>'LT GF'!O118-Overtime!I20</f>
        <v>9</v>
      </c>
      <c r="K20" s="5">
        <v>3317</v>
      </c>
      <c r="L20" s="28">
        <f>'LT GF'!Q118-Overtime!K20</f>
        <v>0</v>
      </c>
      <c r="M20" s="5">
        <v>8068</v>
      </c>
      <c r="N20" s="28">
        <f>'LT GF'!U118-Overtime!M20</f>
        <v>5</v>
      </c>
      <c r="O20" s="5">
        <v>46709</v>
      </c>
      <c r="P20" s="6">
        <f>'LT FF'!C118-Overtime!O20</f>
        <v>26</v>
      </c>
      <c r="Q20" s="5">
        <v>6073</v>
      </c>
      <c r="R20" s="6">
        <f>'LT FF'!E118-Overtime!Q20</f>
        <v>0</v>
      </c>
      <c r="S20" s="5">
        <v>22917</v>
      </c>
      <c r="T20" s="6">
        <f>'LT FF'!G118-Overtime!S20</f>
        <v>16</v>
      </c>
      <c r="U20" s="5">
        <v>1043</v>
      </c>
      <c r="V20" s="6">
        <f>'LT FF'!K118-Overtime!U20</f>
        <v>5</v>
      </c>
      <c r="W20" s="5">
        <v>23096</v>
      </c>
      <c r="X20" s="6">
        <f>'LT FF'!O118-Overtime!W20</f>
        <v>13</v>
      </c>
      <c r="Y20" s="5">
        <v>4811</v>
      </c>
      <c r="Z20" s="6">
        <f>'LT FF'!Q118-Overtime!Y20</f>
        <v>2</v>
      </c>
      <c r="AA20" s="5">
        <v>7547</v>
      </c>
      <c r="AB20" s="6">
        <f>'LT FF'!U118-Overtime!AA20</f>
        <v>6</v>
      </c>
      <c r="AC20" s="27">
        <v>75646</v>
      </c>
      <c r="AD20" s="28">
        <f>'LT 2F'!C118-Overtime!AC20</f>
        <v>38</v>
      </c>
      <c r="AE20" s="27">
        <v>10823</v>
      </c>
      <c r="AF20" s="28">
        <f>'LT 2F'!E118-Overtime!AE20</f>
        <v>6</v>
      </c>
      <c r="AG20" s="27">
        <v>27757</v>
      </c>
      <c r="AH20" s="28">
        <f>'LT 2F'!G118-Overtime!AG20</f>
        <v>8</v>
      </c>
      <c r="AI20" s="27">
        <v>22963</v>
      </c>
      <c r="AJ20" s="28">
        <f>'LT 2F'!K118-Overtime!AI20</f>
        <v>18</v>
      </c>
      <c r="AK20" s="27">
        <v>32764</v>
      </c>
      <c r="AL20" s="28">
        <f>'LT 2F'!O118-Overtime!AK20</f>
        <v>32</v>
      </c>
      <c r="AM20" s="27">
        <v>4905</v>
      </c>
      <c r="AN20" s="28">
        <f>'LT 2F'!Q118-Overtime!AM20</f>
        <v>9</v>
      </c>
      <c r="AO20" s="27"/>
      <c r="AP20" s="28">
        <v>0</v>
      </c>
      <c r="AQ20" s="27">
        <v>111250</v>
      </c>
      <c r="AR20" s="28">
        <f>'LT-Wshng'!D118-Overtime!AQ20</f>
        <v>0</v>
      </c>
      <c r="AS20" s="27"/>
      <c r="AT20" s="28" t="str">
        <f t="shared" si="0"/>
        <v/>
      </c>
      <c r="AU20" s="27">
        <v>28246</v>
      </c>
      <c r="AV20" s="28">
        <f>'LT-Wshng'!N118-Overtime!AU20</f>
        <v>0</v>
      </c>
      <c r="AW20" s="27">
        <v>9966</v>
      </c>
      <c r="AX20" s="28">
        <f>'LT-Wshng'!P118-Overtime!AW20</f>
        <v>0</v>
      </c>
      <c r="AY20" s="27"/>
      <c r="AZ20" s="28" t="str">
        <f t="shared" si="1"/>
        <v/>
      </c>
      <c r="BA20" s="29">
        <v>54450</v>
      </c>
      <c r="BB20" s="28">
        <f>'LT-Wshng'!T118-Overtime!BA20</f>
        <v>0</v>
      </c>
      <c r="BC20" s="27">
        <v>10232</v>
      </c>
      <c r="BD20" s="28">
        <f>'LT-Wshng'!V118-Overtime!BC20</f>
        <v>0</v>
      </c>
      <c r="BE20" s="27">
        <v>5940</v>
      </c>
      <c r="BF20" s="28">
        <f>'LT-Wshng'!AB118-Overtime!BE20</f>
        <v>0</v>
      </c>
      <c r="BG20" s="27">
        <v>5806</v>
      </c>
      <c r="BH20" s="28">
        <f>'LT-Wshng'!AD118-Overtime!BG20</f>
        <v>0</v>
      </c>
    </row>
    <row r="21" spans="1:60" x14ac:dyDescent="0.3">
      <c r="A21" s="9" t="s">
        <v>68</v>
      </c>
      <c r="B21" s="33">
        <v>45946</v>
      </c>
      <c r="C21" s="5">
        <v>55320</v>
      </c>
      <c r="D21" s="28">
        <f>'LT GF'!C119-Overtime!C21</f>
        <v>43</v>
      </c>
      <c r="E21" s="5">
        <v>18408</v>
      </c>
      <c r="F21" s="28">
        <f>'LT GF'!G119-Overtime!E21</f>
        <v>5</v>
      </c>
      <c r="G21" s="5">
        <v>9666</v>
      </c>
      <c r="H21" s="28">
        <f>'LT GF'!K119-Overtime!G21</f>
        <v>23</v>
      </c>
      <c r="I21" s="13">
        <v>20149</v>
      </c>
      <c r="J21" s="28">
        <f>'LT GF'!O119-Overtime!I21</f>
        <v>16</v>
      </c>
      <c r="K21" s="5">
        <v>3416</v>
      </c>
      <c r="L21" s="28">
        <f>'LT GF'!Q119-Overtime!K21</f>
        <v>0</v>
      </c>
      <c r="M21" s="5">
        <v>8116</v>
      </c>
      <c r="N21" s="28">
        <f>'LT GF'!U119-Overtime!M21</f>
        <v>51</v>
      </c>
      <c r="O21" s="5">
        <v>46991</v>
      </c>
      <c r="P21" s="6">
        <f>'LT FF'!C119-Overtime!O21</f>
        <v>30</v>
      </c>
      <c r="Q21" s="5">
        <v>6169</v>
      </c>
      <c r="R21" s="6">
        <f>'LT FF'!E119-Overtime!Q21</f>
        <v>4</v>
      </c>
      <c r="S21" s="5">
        <v>23034</v>
      </c>
      <c r="T21" s="6">
        <f>'LT FF'!G119-Overtime!S21</f>
        <v>6</v>
      </c>
      <c r="U21" s="5">
        <v>1057</v>
      </c>
      <c r="V21" s="6">
        <f>'LT FF'!K119-Overtime!U21</f>
        <v>5</v>
      </c>
      <c r="W21" s="5">
        <v>23282</v>
      </c>
      <c r="X21" s="6">
        <f>'LT FF'!O119-Overtime!W21</f>
        <v>33</v>
      </c>
      <c r="Y21" s="5">
        <v>4867</v>
      </c>
      <c r="Z21" s="6">
        <f>'LT FF'!Q119-Overtime!Y21</f>
        <v>4</v>
      </c>
      <c r="AA21" s="5">
        <v>7625</v>
      </c>
      <c r="AB21" s="6">
        <f>'LT FF'!U119-Overtime!AA21</f>
        <v>9</v>
      </c>
      <c r="AC21" s="27">
        <v>76194</v>
      </c>
      <c r="AD21" s="28">
        <f>'LT 2F'!C119-Overtime!AC21</f>
        <v>64</v>
      </c>
      <c r="AE21" s="27">
        <v>10963</v>
      </c>
      <c r="AF21" s="28">
        <f>'LT 2F'!E119-Overtime!AE21</f>
        <v>6</v>
      </c>
      <c r="AG21" s="27">
        <v>27878</v>
      </c>
      <c r="AH21" s="28">
        <f>'LT 2F'!G119-Overtime!AG21</f>
        <v>11</v>
      </c>
      <c r="AI21" s="27">
        <v>23178</v>
      </c>
      <c r="AJ21" s="28">
        <f>'LT 2F'!K119-Overtime!AI21</f>
        <v>27</v>
      </c>
      <c r="AK21" s="27">
        <v>33083</v>
      </c>
      <c r="AL21" s="28">
        <f>'LT 2F'!O119-Overtime!AK21</f>
        <v>51</v>
      </c>
      <c r="AM21" s="27">
        <v>5019</v>
      </c>
      <c r="AN21" s="28">
        <f>'LT 2F'!Q119-Overtime!AM21</f>
        <v>5</v>
      </c>
      <c r="AO21" s="27"/>
      <c r="AP21" s="28">
        <v>0</v>
      </c>
      <c r="AQ21" s="27">
        <v>114042</v>
      </c>
      <c r="AR21" s="28">
        <f>'LT-Wshng'!D119-Overtime!AQ21</f>
        <v>0</v>
      </c>
      <c r="AS21" s="27"/>
      <c r="AT21" s="28" t="str">
        <f t="shared" si="0"/>
        <v/>
      </c>
      <c r="AU21" s="27">
        <v>28537</v>
      </c>
      <c r="AV21" s="28">
        <f>'LT-Wshng'!N119-Overtime!AU21</f>
        <v>0</v>
      </c>
      <c r="AW21" s="27">
        <v>10128</v>
      </c>
      <c r="AX21" s="28">
        <f>'LT-Wshng'!P119-Overtime!AW21</f>
        <v>0</v>
      </c>
      <c r="AY21" s="27"/>
      <c r="AZ21" s="28" t="str">
        <f t="shared" si="1"/>
        <v/>
      </c>
      <c r="BA21" s="29">
        <v>54999</v>
      </c>
      <c r="BB21" s="28">
        <f>'LT-Wshng'!T119-Overtime!BA21</f>
        <v>0</v>
      </c>
      <c r="BC21" s="27">
        <v>10351</v>
      </c>
      <c r="BD21" s="28">
        <f>'LT-Wshng'!V119-Overtime!BC21</f>
        <v>0</v>
      </c>
      <c r="BE21" s="27">
        <v>6019</v>
      </c>
      <c r="BF21" s="28">
        <f>'LT-Wshng'!AB119-Overtime!BE21</f>
        <v>0</v>
      </c>
      <c r="BG21" s="27">
        <v>5890</v>
      </c>
      <c r="BH21" s="28">
        <f>'LT-Wshng'!AD119-Overtime!BG21</f>
        <v>0</v>
      </c>
    </row>
    <row r="22" spans="1:60" x14ac:dyDescent="0.3">
      <c r="A22" s="9" t="s">
        <v>69</v>
      </c>
      <c r="B22" s="33">
        <v>45947</v>
      </c>
      <c r="C22" s="5">
        <v>55767</v>
      </c>
      <c r="D22" s="28">
        <f>'LT GF'!C120-Overtime!C22</f>
        <v>58</v>
      </c>
      <c r="E22" s="5">
        <v>18490</v>
      </c>
      <c r="F22" s="28">
        <f>'LT GF'!G120-Overtime!E22</f>
        <v>9</v>
      </c>
      <c r="G22" s="5">
        <v>9781</v>
      </c>
      <c r="H22" s="28">
        <f>'LT GF'!K120-Overtime!G22</f>
        <v>35</v>
      </c>
      <c r="I22" s="13">
        <v>20370</v>
      </c>
      <c r="J22" s="28">
        <f>'LT GF'!O120-Overtime!I22</f>
        <v>28</v>
      </c>
      <c r="K22" s="5">
        <v>3504</v>
      </c>
      <c r="L22" s="28">
        <f>'LT GF'!Q120-Overtime!K22</f>
        <v>2</v>
      </c>
      <c r="M22" s="5">
        <v>8243</v>
      </c>
      <c r="N22" s="28">
        <f>'LT GF'!U120-Overtime!M22</f>
        <v>18</v>
      </c>
      <c r="O22" s="5">
        <v>47317</v>
      </c>
      <c r="P22" s="6">
        <f>'LT FF'!C120-Overtime!O22</f>
        <v>30</v>
      </c>
      <c r="Q22" s="5">
        <v>6264</v>
      </c>
      <c r="R22" s="6">
        <f>'LT FF'!E120-Overtime!Q22</f>
        <v>4</v>
      </c>
      <c r="S22" s="5">
        <v>23187</v>
      </c>
      <c r="T22" s="6">
        <f>'LT FF'!G120-Overtime!S22</f>
        <v>5</v>
      </c>
      <c r="U22" s="5">
        <v>1071</v>
      </c>
      <c r="V22" s="6">
        <f>'LT FF'!K120-Overtime!U22</f>
        <v>5</v>
      </c>
      <c r="W22" s="5">
        <v>23482</v>
      </c>
      <c r="X22" s="6">
        <f>'LT FF'!O120-Overtime!W22</f>
        <v>16</v>
      </c>
      <c r="Y22" s="5">
        <v>4923</v>
      </c>
      <c r="Z22" s="6">
        <f>'LT FF'!Q120-Overtime!Y22</f>
        <v>4</v>
      </c>
      <c r="AA22" s="5">
        <v>7701</v>
      </c>
      <c r="AB22" s="6">
        <f>'LT FF'!U120-Overtime!AA22</f>
        <v>8</v>
      </c>
      <c r="AC22" s="27">
        <v>76769</v>
      </c>
      <c r="AD22" s="28">
        <f>'LT 2F'!C120-Overtime!AC22</f>
        <v>68</v>
      </c>
      <c r="AE22" s="27">
        <v>11093</v>
      </c>
      <c r="AF22" s="28">
        <f>'LT 2F'!E120-Overtime!AE22</f>
        <v>11</v>
      </c>
      <c r="AG22" s="27">
        <v>28007</v>
      </c>
      <c r="AH22" s="28">
        <f>'LT 2F'!G120-Overtime!AG22</f>
        <v>11</v>
      </c>
      <c r="AI22" s="27">
        <v>23403</v>
      </c>
      <c r="AJ22" s="28">
        <f>'LT 2F'!K120-Overtime!AI22</f>
        <v>27</v>
      </c>
      <c r="AK22" s="27">
        <v>33413</v>
      </c>
      <c r="AL22" s="28">
        <f>'LT 2F'!O120-Overtime!AK22</f>
        <v>50</v>
      </c>
      <c r="AM22" s="27">
        <v>5127</v>
      </c>
      <c r="AN22" s="28">
        <f>'LT 2F'!Q120-Overtime!AM22</f>
        <v>5</v>
      </c>
      <c r="AO22" s="27"/>
      <c r="AP22" s="28">
        <v>0</v>
      </c>
      <c r="AQ22" s="27">
        <v>116866</v>
      </c>
      <c r="AR22" s="28">
        <f>'LT-Wshng'!D120-Overtime!AQ22</f>
        <v>0</v>
      </c>
      <c r="AS22" s="27"/>
      <c r="AT22" s="28" t="str">
        <f t="shared" si="0"/>
        <v/>
      </c>
      <c r="AU22" s="27">
        <v>28808</v>
      </c>
      <c r="AV22" s="28">
        <f>'LT-Wshng'!N120-Overtime!AU22</f>
        <v>0</v>
      </c>
      <c r="AW22" s="27">
        <v>10253</v>
      </c>
      <c r="AX22" s="28">
        <f>'LT-Wshng'!P120-Overtime!AW22</f>
        <v>31</v>
      </c>
      <c r="AY22" s="27"/>
      <c r="AZ22" s="28" t="str">
        <f t="shared" si="1"/>
        <v/>
      </c>
      <c r="BA22" s="29">
        <v>55565</v>
      </c>
      <c r="BB22" s="28">
        <f>'LT-Wshng'!T120-Overtime!BA22</f>
        <v>0</v>
      </c>
      <c r="BC22" s="27">
        <v>10445</v>
      </c>
      <c r="BD22" s="28">
        <f>'LT-Wshng'!V120-Overtime!BC22</f>
        <v>21</v>
      </c>
      <c r="BE22" s="27">
        <v>6118</v>
      </c>
      <c r="BF22" s="28">
        <f>'LT-Wshng'!AB120-Overtime!BE22</f>
        <v>0</v>
      </c>
      <c r="BG22" s="27">
        <v>5980</v>
      </c>
      <c r="BH22" s="28">
        <f>'LT-Wshng'!AD120-Overtime!BG22</f>
        <v>0</v>
      </c>
    </row>
    <row r="23" spans="1:60" x14ac:dyDescent="0.3">
      <c r="A23" s="9" t="s">
        <v>70</v>
      </c>
      <c r="B23" s="33">
        <v>45948</v>
      </c>
      <c r="C23" s="5">
        <v>56147</v>
      </c>
      <c r="D23" s="28">
        <f>'LT GF'!C121-Overtime!C23</f>
        <v>70</v>
      </c>
      <c r="E23" s="5">
        <v>18576</v>
      </c>
      <c r="F23" s="28">
        <f>'LT GF'!G121-Overtime!E23</f>
        <v>4</v>
      </c>
      <c r="G23" s="5">
        <v>9912</v>
      </c>
      <c r="H23" s="28">
        <f>'LT GF'!K121-Overtime!G23</f>
        <v>45</v>
      </c>
      <c r="I23" s="13">
        <v>20636</v>
      </c>
      <c r="J23" s="28">
        <f>'LT GF'!O121-Overtime!I23</f>
        <v>35</v>
      </c>
      <c r="K23" s="5">
        <v>3625</v>
      </c>
      <c r="L23" s="28">
        <f>'LT GF'!Q121-Overtime!K23</f>
        <v>10</v>
      </c>
      <c r="M23" s="5">
        <v>8343</v>
      </c>
      <c r="N23" s="28">
        <f>'LT GF'!U121-Overtime!M23</f>
        <v>15</v>
      </c>
      <c r="O23" s="5">
        <v>47647</v>
      </c>
      <c r="P23" s="6">
        <f>'LT FF'!C121-Overtime!O23</f>
        <v>44</v>
      </c>
      <c r="Q23" s="5">
        <v>6372</v>
      </c>
      <c r="R23" s="6">
        <f>'LT FF'!E121-Overtime!Q23</f>
        <v>9</v>
      </c>
      <c r="S23" s="5">
        <v>23343</v>
      </c>
      <c r="T23" s="6">
        <f>'LT FF'!G121-Overtime!S23</f>
        <v>11</v>
      </c>
      <c r="U23" s="5">
        <v>1083</v>
      </c>
      <c r="V23" s="6">
        <f>'LT FF'!K121-Overtime!U23</f>
        <v>5</v>
      </c>
      <c r="W23" s="5">
        <v>23663</v>
      </c>
      <c r="X23" s="6">
        <f>'LT FF'!O121-Overtime!W23</f>
        <v>14</v>
      </c>
      <c r="Y23" s="5">
        <v>4979</v>
      </c>
      <c r="Z23" s="6">
        <f>'LT FF'!Q121-Overtime!Y23</f>
        <v>4</v>
      </c>
      <c r="AA23" s="5">
        <v>7784</v>
      </c>
      <c r="AB23" s="6">
        <f>'LT FF'!U121-Overtime!AA23</f>
        <v>7</v>
      </c>
      <c r="AC23" s="27">
        <v>77370</v>
      </c>
      <c r="AD23" s="28">
        <f>'LT 2F'!C121-Overtime!AC23</f>
        <v>43</v>
      </c>
      <c r="AE23" s="27">
        <v>11243</v>
      </c>
      <c r="AF23" s="28">
        <f>'LT 2F'!E121-Overtime!AE23</f>
        <v>8</v>
      </c>
      <c r="AG23" s="27">
        <v>28142</v>
      </c>
      <c r="AH23" s="28">
        <f>'LT 2F'!G121-Overtime!AG23</f>
        <v>0</v>
      </c>
      <c r="AI23" s="27">
        <v>23627</v>
      </c>
      <c r="AJ23" s="28">
        <f>'LT 2F'!K121-Overtime!AI23</f>
        <v>11</v>
      </c>
      <c r="AK23" s="27">
        <v>33756</v>
      </c>
      <c r="AL23" s="28">
        <f>'LT 2F'!O121-Overtime!AK23</f>
        <v>29</v>
      </c>
      <c r="AM23" s="27">
        <v>5228</v>
      </c>
      <c r="AN23" s="28">
        <f>'LT 2F'!Q121-Overtime!AM23</f>
        <v>0</v>
      </c>
      <c r="AO23" s="27"/>
      <c r="AP23" s="28">
        <v>0</v>
      </c>
      <c r="AQ23" s="27">
        <v>119123</v>
      </c>
      <c r="AR23" s="28">
        <f>'LT-Wshng'!D121-Overtime!AQ23</f>
        <v>496</v>
      </c>
      <c r="AS23" s="27"/>
      <c r="AT23" s="28" t="str">
        <f t="shared" si="0"/>
        <v/>
      </c>
      <c r="AU23" s="27">
        <v>29027</v>
      </c>
      <c r="AV23" s="28">
        <f>'LT-Wshng'!N121-Overtime!AU23</f>
        <v>56</v>
      </c>
      <c r="AW23" s="27">
        <v>10410</v>
      </c>
      <c r="AX23" s="28">
        <f>'LT-Wshng'!P121-Overtime!AW23</f>
        <v>40</v>
      </c>
      <c r="AY23" s="27"/>
      <c r="AZ23" s="28" t="str">
        <f t="shared" si="1"/>
        <v/>
      </c>
      <c r="BA23" s="29">
        <v>56111</v>
      </c>
      <c r="BB23" s="28">
        <f>'LT-Wshng'!T121-Overtime!BA23</f>
        <v>70</v>
      </c>
      <c r="BC23" s="27">
        <v>10558</v>
      </c>
      <c r="BD23" s="28">
        <f>'LT-Wshng'!V121-Overtime!BC23</f>
        <v>23</v>
      </c>
      <c r="BE23" s="27">
        <v>6209</v>
      </c>
      <c r="BF23" s="28">
        <f>'LT-Wshng'!AB121-Overtime!BE23</f>
        <v>0</v>
      </c>
      <c r="BG23" s="27">
        <v>6063</v>
      </c>
      <c r="BH23" s="28">
        <f>'LT-Wshng'!AD121-Overtime!BG23</f>
        <v>0</v>
      </c>
    </row>
    <row r="24" spans="1:60" x14ac:dyDescent="0.3">
      <c r="A24" s="9" t="s">
        <v>71</v>
      </c>
      <c r="B24" s="33">
        <v>45949</v>
      </c>
      <c r="C24" s="5">
        <v>56147</v>
      </c>
      <c r="D24" s="28">
        <f>'LT GF'!C122-Overtime!C24</f>
        <v>394</v>
      </c>
      <c r="E24" s="5">
        <v>18584</v>
      </c>
      <c r="F24" s="28">
        <f>'LT GF'!G122-Overtime!E24</f>
        <v>63</v>
      </c>
      <c r="G24" s="5">
        <v>9957</v>
      </c>
      <c r="H24" s="28">
        <f>'LT GF'!K122-Overtime!G24</f>
        <v>112</v>
      </c>
      <c r="I24" s="13">
        <v>20671</v>
      </c>
      <c r="J24" s="28">
        <f>'LT GF'!O122-Overtime!I24</f>
        <v>131</v>
      </c>
      <c r="K24" s="5">
        <v>3635</v>
      </c>
      <c r="L24" s="28">
        <f>'LT GF'!Q122-Overtime!K24</f>
        <v>28</v>
      </c>
      <c r="M24" s="5">
        <v>8358</v>
      </c>
      <c r="N24" s="28">
        <f>'LT GF'!U122-Overtime!M24</f>
        <v>80</v>
      </c>
      <c r="O24" s="5">
        <v>47691</v>
      </c>
      <c r="P24" s="6">
        <f>'LT FF'!C122-Overtime!O24</f>
        <v>31</v>
      </c>
      <c r="Q24" s="5">
        <v>6381</v>
      </c>
      <c r="R24" s="6">
        <f>'LT FF'!E122-Overtime!Q24</f>
        <v>0</v>
      </c>
      <c r="S24" s="5">
        <v>23354</v>
      </c>
      <c r="T24" s="6">
        <f>'LT FF'!G122-Overtime!S24</f>
        <v>0</v>
      </c>
      <c r="U24" s="5">
        <v>1088</v>
      </c>
      <c r="V24" s="6">
        <f>'LT FF'!K122-Overtime!U24</f>
        <v>7</v>
      </c>
      <c r="W24" s="5">
        <v>23677</v>
      </c>
      <c r="X24" s="6">
        <f>'LT FF'!O122-Overtime!W24</f>
        <v>5</v>
      </c>
      <c r="Y24" s="5">
        <v>4983</v>
      </c>
      <c r="Z24" s="6">
        <f>'LT FF'!Q122-Overtime!Y24</f>
        <v>0</v>
      </c>
      <c r="AA24" s="5">
        <v>7791</v>
      </c>
      <c r="AB24" s="6">
        <f>'LT FF'!U122-Overtime!AA24</f>
        <v>1</v>
      </c>
      <c r="AC24" s="27">
        <v>77413</v>
      </c>
      <c r="AD24" s="28">
        <f>'LT 2F'!C122-Overtime!AC24</f>
        <v>28</v>
      </c>
      <c r="AE24" s="27">
        <v>11251</v>
      </c>
      <c r="AF24" s="28">
        <f>'LT 2F'!E122-Overtime!AE24</f>
        <v>0</v>
      </c>
      <c r="AG24" s="27">
        <v>28142</v>
      </c>
      <c r="AH24" s="28">
        <f>'LT 2F'!G122-Overtime!AG24</f>
        <v>0</v>
      </c>
      <c r="AI24" s="27">
        <v>23638</v>
      </c>
      <c r="AJ24" s="28">
        <f>'LT 2F'!K122-Overtime!AI24</f>
        <v>0</v>
      </c>
      <c r="AK24" s="27">
        <v>33785</v>
      </c>
      <c r="AL24" s="28">
        <f>'LT 2F'!O122-Overtime!AK24</f>
        <v>35</v>
      </c>
      <c r="AM24" s="27">
        <v>5228</v>
      </c>
      <c r="AN24" s="28">
        <f>'LT 2F'!Q122-Overtime!AM24</f>
        <v>0</v>
      </c>
      <c r="AO24" s="27"/>
      <c r="AP24" s="28">
        <v>0</v>
      </c>
      <c r="AQ24" s="27">
        <v>119619</v>
      </c>
      <c r="AR24" s="28">
        <f>'LT-Wshng'!D122-Overtime!AQ24</f>
        <v>2058</v>
      </c>
      <c r="AS24" s="27"/>
      <c r="AT24" s="28" t="str">
        <f t="shared" si="0"/>
        <v/>
      </c>
      <c r="AU24" s="27">
        <v>29083</v>
      </c>
      <c r="AV24" s="28">
        <f>'LT-Wshng'!N122-Overtime!AU24</f>
        <v>222</v>
      </c>
      <c r="AW24" s="27">
        <v>10450</v>
      </c>
      <c r="AX24" s="28">
        <f>'LT-Wshng'!P122-Overtime!AW24</f>
        <v>138</v>
      </c>
      <c r="AY24" s="27"/>
      <c r="AZ24" s="28" t="str">
        <f t="shared" si="1"/>
        <v/>
      </c>
      <c r="BA24" s="29">
        <v>56181</v>
      </c>
      <c r="BB24" s="28">
        <f>'LT-Wshng'!T122-Overtime!BA24</f>
        <v>471</v>
      </c>
      <c r="BC24" s="27">
        <v>10581</v>
      </c>
      <c r="BD24" s="28">
        <f>'LT-Wshng'!V122-Overtime!BC24</f>
        <v>89</v>
      </c>
      <c r="BE24" s="27">
        <v>6307</v>
      </c>
      <c r="BF24" s="28">
        <f>'LT-Wshng'!AB122-Overtime!BE24</f>
        <v>0</v>
      </c>
      <c r="BG24" s="27">
        <v>6150</v>
      </c>
      <c r="BH24" s="28">
        <f>'LT-Wshng'!AD122-Overtime!BG24</f>
        <v>0</v>
      </c>
    </row>
    <row r="25" spans="1:60" x14ac:dyDescent="0.3">
      <c r="A25" s="9" t="s">
        <v>72</v>
      </c>
      <c r="B25" s="33">
        <v>45950</v>
      </c>
      <c r="C25" s="5">
        <v>57026</v>
      </c>
      <c r="D25" s="28">
        <f>'LT GF'!C123-Overtime!C25</f>
        <v>76</v>
      </c>
      <c r="E25" s="5">
        <v>18701</v>
      </c>
      <c r="F25" s="28">
        <f>'LT GF'!G123-Overtime!E25</f>
        <v>8</v>
      </c>
      <c r="G25" s="5">
        <v>10180</v>
      </c>
      <c r="H25" s="28">
        <f>'LT GF'!K123-Overtime!G25</f>
        <v>42</v>
      </c>
      <c r="I25" s="13">
        <v>21022</v>
      </c>
      <c r="J25" s="28">
        <f>'LT GF'!O123-Overtime!I25</f>
        <v>31</v>
      </c>
      <c r="K25" s="5">
        <v>3737</v>
      </c>
      <c r="L25" s="28">
        <f>'LT GF'!Q123-Overtime!K25</f>
        <v>2</v>
      </c>
      <c r="M25" s="5">
        <v>8541</v>
      </c>
      <c r="N25" s="28">
        <f>'LT GF'!U123-Overtime!M25</f>
        <v>18</v>
      </c>
      <c r="O25" s="5">
        <v>47998</v>
      </c>
      <c r="P25" s="6">
        <f>'LT FF'!C123-Overtime!O25</f>
        <v>28</v>
      </c>
      <c r="Q25" s="5">
        <v>6474</v>
      </c>
      <c r="R25" s="6">
        <f>'LT FF'!E123-Overtime!Q25</f>
        <v>4</v>
      </c>
      <c r="S25" s="5">
        <v>23468</v>
      </c>
      <c r="T25" s="6">
        <f>'LT FF'!G123-Overtime!S25</f>
        <v>5</v>
      </c>
      <c r="U25" s="5">
        <v>1105</v>
      </c>
      <c r="V25" s="6">
        <f>'LT FF'!K123-Overtime!U25</f>
        <v>5</v>
      </c>
      <c r="W25" s="5">
        <v>23857</v>
      </c>
      <c r="X25" s="6">
        <f>'LT FF'!O123-Overtime!W25</f>
        <v>18</v>
      </c>
      <c r="Y25" s="5">
        <v>5036</v>
      </c>
      <c r="Z25" s="6">
        <f>'LT FF'!Q123-Overtime!Y25</f>
        <v>4</v>
      </c>
      <c r="AA25" s="5">
        <v>7867</v>
      </c>
      <c r="AB25" s="6">
        <f>'LT FF'!U123-Overtime!AA25</f>
        <v>7</v>
      </c>
      <c r="AC25" s="27">
        <v>78038</v>
      </c>
      <c r="AD25" s="28">
        <f>'LT 2F'!C123-Overtime!AC25</f>
        <v>44</v>
      </c>
      <c r="AE25" s="27">
        <v>11389</v>
      </c>
      <c r="AF25" s="28">
        <f>'LT 2F'!E123-Overtime!AE25</f>
        <v>8</v>
      </c>
      <c r="AG25" s="27">
        <v>28284</v>
      </c>
      <c r="AH25" s="28">
        <f>'LT 2F'!G123-Overtime!AG25</f>
        <v>11</v>
      </c>
      <c r="AI25" s="27">
        <v>23858</v>
      </c>
      <c r="AJ25" s="28">
        <f>'LT 2F'!K123-Overtime!AI25</f>
        <v>21</v>
      </c>
      <c r="AK25" s="27">
        <v>34142</v>
      </c>
      <c r="AL25" s="28">
        <f>'LT 2F'!O123-Overtime!AK25</f>
        <v>38</v>
      </c>
      <c r="AM25" s="27">
        <v>5312</v>
      </c>
      <c r="AN25" s="28">
        <f>'LT 2F'!Q123-Overtime!AM25</f>
        <v>6</v>
      </c>
      <c r="AO25" s="27"/>
      <c r="AP25" s="28">
        <v>0</v>
      </c>
      <c r="AQ25" s="27">
        <v>124326</v>
      </c>
      <c r="AR25" s="28">
        <f>'LT-Wshng'!D123-Overtime!AQ25</f>
        <v>476</v>
      </c>
      <c r="AS25" s="27"/>
      <c r="AT25" s="28" t="str">
        <f t="shared" si="0"/>
        <v/>
      </c>
      <c r="AU25" s="27">
        <v>29601</v>
      </c>
      <c r="AV25" s="28">
        <f>'LT-Wshng'!N123-Overtime!AU25</f>
        <v>51</v>
      </c>
      <c r="AW25" s="27">
        <v>10722</v>
      </c>
      <c r="AX25" s="28">
        <f>'LT-Wshng'!P123-Overtime!AW25</f>
        <v>43</v>
      </c>
      <c r="AY25" s="27"/>
      <c r="AZ25" s="28" t="str">
        <f t="shared" si="1"/>
        <v/>
      </c>
      <c r="BA25" s="29">
        <v>57185</v>
      </c>
      <c r="BB25" s="28">
        <f>'LT-Wshng'!T123-Overtime!BA25</f>
        <v>65</v>
      </c>
      <c r="BC25" s="27">
        <v>10768</v>
      </c>
      <c r="BD25" s="28">
        <f>'LT-Wshng'!V123-Overtime!BC25</f>
        <v>21</v>
      </c>
      <c r="BE25" s="27">
        <v>6401</v>
      </c>
      <c r="BF25" s="28">
        <f>'LT-Wshng'!AB123-Overtime!BE25</f>
        <v>0</v>
      </c>
      <c r="BG25" s="27">
        <v>6235</v>
      </c>
      <c r="BH25" s="28">
        <f>'LT-Wshng'!AD123-Overtime!BG25</f>
        <v>0</v>
      </c>
    </row>
    <row r="26" spans="1:60" x14ac:dyDescent="0.3">
      <c r="A26" s="9" t="s">
        <v>66</v>
      </c>
      <c r="B26" s="33">
        <v>45951</v>
      </c>
      <c r="C26" s="5">
        <v>57511</v>
      </c>
      <c r="D26" s="28">
        <f>'LT GF'!C124-Overtime!C26</f>
        <v>69</v>
      </c>
      <c r="E26" s="5">
        <v>18804</v>
      </c>
      <c r="F26" s="28">
        <f>'LT GF'!G124-Overtime!E26</f>
        <v>11</v>
      </c>
      <c r="G26" s="5">
        <v>10336</v>
      </c>
      <c r="H26" s="28">
        <f>'LT GF'!K124-Overtime!G26</f>
        <v>41</v>
      </c>
      <c r="I26" s="13">
        <v>21251</v>
      </c>
      <c r="J26" s="28">
        <f>'LT GF'!O124-Overtime!I26</f>
        <v>38</v>
      </c>
      <c r="K26" s="5">
        <v>3803</v>
      </c>
      <c r="L26" s="28">
        <f>'LT GF'!Q124-Overtime!K26</f>
        <v>4</v>
      </c>
      <c r="M26" s="5">
        <v>8651</v>
      </c>
      <c r="N26" s="28">
        <f>'LT GF'!U124-Overtime!M26</f>
        <v>25</v>
      </c>
      <c r="O26" s="5">
        <v>48314</v>
      </c>
      <c r="P26" s="6">
        <f>'LT FF'!C124-Overtime!O26</f>
        <v>40</v>
      </c>
      <c r="Q26" s="5">
        <v>6586</v>
      </c>
      <c r="R26" s="6">
        <f>'LT FF'!E124-Overtime!Q26</f>
        <v>6</v>
      </c>
      <c r="S26" s="5">
        <v>23599</v>
      </c>
      <c r="T26" s="6">
        <f>'LT FF'!G124-Overtime!S26</f>
        <v>10</v>
      </c>
      <c r="U26" s="5">
        <v>1119</v>
      </c>
      <c r="V26" s="6">
        <f>'LT FF'!K124-Overtime!U26</f>
        <v>7</v>
      </c>
      <c r="W26" s="5">
        <v>24048</v>
      </c>
      <c r="X26" s="6">
        <f>'LT FF'!O124-Overtime!W26</f>
        <v>31</v>
      </c>
      <c r="Y26" s="5">
        <v>5094</v>
      </c>
      <c r="Z26" s="6">
        <f>'LT FF'!Q124-Overtime!Y26</f>
        <v>3</v>
      </c>
      <c r="AA26" s="5">
        <v>7951</v>
      </c>
      <c r="AB26" s="6">
        <f>'LT FF'!U124-Overtime!AA26</f>
        <v>9</v>
      </c>
      <c r="AC26" s="27">
        <v>78611</v>
      </c>
      <c r="AD26" s="28">
        <f>'LT 2F'!C124-Overtime!AC26</f>
        <v>75</v>
      </c>
      <c r="AE26" s="27">
        <v>11536</v>
      </c>
      <c r="AF26" s="28">
        <f>'LT 2F'!E124-Overtime!AE26</f>
        <v>13</v>
      </c>
      <c r="AG26" s="27">
        <v>28418</v>
      </c>
      <c r="AH26" s="28">
        <f>'LT 2F'!G124-Overtime!AG26</f>
        <v>12</v>
      </c>
      <c r="AI26" s="27">
        <v>24078</v>
      </c>
      <c r="AJ26" s="28">
        <f>'LT 2F'!K124-Overtime!AI26</f>
        <v>27</v>
      </c>
      <c r="AK26" s="27">
        <v>34477</v>
      </c>
      <c r="AL26" s="28">
        <f>'LT 2F'!O124-Overtime!AK26</f>
        <v>46</v>
      </c>
      <c r="AM26" s="27">
        <v>5406</v>
      </c>
      <c r="AN26" s="28">
        <f>'LT 2F'!Q124-Overtime!AM26</f>
        <v>1</v>
      </c>
      <c r="AO26" s="27"/>
      <c r="AP26" s="28">
        <v>0</v>
      </c>
      <c r="AQ26" s="27">
        <v>126656</v>
      </c>
      <c r="AR26" s="28">
        <f>'LT-Wshng'!D124-Overtime!AQ26</f>
        <v>399</v>
      </c>
      <c r="AS26" s="27"/>
      <c r="AT26" s="28" t="str">
        <f t="shared" si="0"/>
        <v/>
      </c>
      <c r="AU26" s="27">
        <v>29770</v>
      </c>
      <c r="AV26" s="28">
        <f>'LT-Wshng'!N124-Overtime!AU26</f>
        <v>1</v>
      </c>
      <c r="AW26" s="27">
        <v>10890</v>
      </c>
      <c r="AX26" s="28">
        <f>'LT-Wshng'!P124-Overtime!AW26</f>
        <v>35</v>
      </c>
      <c r="AY26" s="27"/>
      <c r="AZ26" s="28" t="str">
        <f t="shared" si="1"/>
        <v/>
      </c>
      <c r="BA26" s="29">
        <v>57712</v>
      </c>
      <c r="BB26" s="28">
        <f>'LT-Wshng'!T124-Overtime!BA26</f>
        <v>47</v>
      </c>
      <c r="BC26" s="27">
        <v>10889</v>
      </c>
      <c r="BD26" s="28">
        <f>'LT-Wshng'!V124-Overtime!BC26</f>
        <v>22</v>
      </c>
      <c r="BE26" s="27">
        <v>6490</v>
      </c>
      <c r="BF26" s="28">
        <f>'LT-Wshng'!AB124-Overtime!BE26</f>
        <v>0</v>
      </c>
      <c r="BG26" s="27">
        <v>6320</v>
      </c>
      <c r="BH26" s="28">
        <f>'LT-Wshng'!AD124-Overtime!BG26</f>
        <v>0</v>
      </c>
    </row>
    <row r="27" spans="1:60" x14ac:dyDescent="0.3">
      <c r="A27" s="9" t="s">
        <v>67</v>
      </c>
      <c r="B27" s="33">
        <v>45952</v>
      </c>
      <c r="C27" s="5">
        <v>58139</v>
      </c>
      <c r="D27" s="28">
        <f>'LT GF'!C125-Overtime!C27</f>
        <v>135</v>
      </c>
      <c r="E27" s="5">
        <v>18912</v>
      </c>
      <c r="F27" s="28">
        <f>'LT GF'!G125-Overtime!E27</f>
        <v>12</v>
      </c>
      <c r="G27" s="5">
        <v>10486</v>
      </c>
      <c r="H27" s="28">
        <f>'LT GF'!K125-Overtime!G27</f>
        <v>45</v>
      </c>
      <c r="I27" s="13">
        <v>21487</v>
      </c>
      <c r="J27" s="28">
        <f>'LT GF'!O125-Overtime!I27</f>
        <v>50</v>
      </c>
      <c r="K27" s="5">
        <v>3860</v>
      </c>
      <c r="L27" s="28">
        <f>'LT GF'!Q125-Overtime!K27</f>
        <v>13</v>
      </c>
      <c r="M27" s="5">
        <v>8776</v>
      </c>
      <c r="N27" s="28">
        <f>'LT GF'!U125-Overtime!M27</f>
        <v>27</v>
      </c>
      <c r="O27" s="5">
        <v>48613</v>
      </c>
      <c r="P27" s="6">
        <f>'LT FF'!C125-Overtime!O27</f>
        <v>28</v>
      </c>
      <c r="Q27" s="5">
        <v>6690</v>
      </c>
      <c r="R27" s="6">
        <f>'LT FF'!E125-Overtime!Q27</f>
        <v>8</v>
      </c>
      <c r="S27" s="5">
        <v>23711</v>
      </c>
      <c r="T27" s="6">
        <f>'LT FF'!G125-Overtime!S27</f>
        <v>6</v>
      </c>
      <c r="U27" s="5">
        <v>1135</v>
      </c>
      <c r="V27" s="6">
        <f>'LT FF'!K125-Overtime!U27</f>
        <v>6</v>
      </c>
      <c r="W27" s="5">
        <v>24245</v>
      </c>
      <c r="X27" s="6">
        <f>'LT FF'!O125-Overtime!W27</f>
        <v>31</v>
      </c>
      <c r="Y27" s="5">
        <v>5050</v>
      </c>
      <c r="Z27" s="6">
        <f>'LT FF'!Q125-Overtime!Y27</f>
        <v>104</v>
      </c>
      <c r="AA27" s="5">
        <v>8027</v>
      </c>
      <c r="AB27" s="6">
        <f>'LT FF'!U125-Overtime!AA27</f>
        <v>8</v>
      </c>
      <c r="AC27" s="27">
        <v>79301</v>
      </c>
      <c r="AD27" s="28">
        <f>'LT 2F'!C125-Overtime!AC27</f>
        <v>77</v>
      </c>
      <c r="AE27" s="27">
        <v>11694</v>
      </c>
      <c r="AF27" s="28">
        <f>'LT 2F'!E125-Overtime!AE27</f>
        <v>12</v>
      </c>
      <c r="AG27" s="27">
        <v>28625</v>
      </c>
      <c r="AH27" s="28">
        <f>'LT 2F'!G125-Overtime!AG27</f>
        <v>14</v>
      </c>
      <c r="AI27" s="27">
        <v>24307</v>
      </c>
      <c r="AJ27" s="28">
        <f>'LT 2F'!K125-Overtime!AI27</f>
        <v>28</v>
      </c>
      <c r="AK27" s="27">
        <v>34842</v>
      </c>
      <c r="AL27" s="28">
        <f>'LT 2F'!O125-Overtime!AK27</f>
        <v>44</v>
      </c>
      <c r="AM27" s="27">
        <v>5515</v>
      </c>
      <c r="AN27" s="28">
        <f>'LT 2F'!Q125-Overtime!AM27</f>
        <v>3</v>
      </c>
      <c r="AO27" s="27"/>
      <c r="AP27" s="28">
        <v>0</v>
      </c>
      <c r="AQ27" s="27">
        <v>129305</v>
      </c>
      <c r="AR27" s="28">
        <f>'LT-Wshng'!D125-Overtime!AQ27</f>
        <v>473</v>
      </c>
      <c r="AS27" s="27"/>
      <c r="AT27" s="28" t="str">
        <f t="shared" si="0"/>
        <v/>
      </c>
      <c r="AU27" s="27">
        <v>29991</v>
      </c>
      <c r="AV27" s="28">
        <f>'LT-Wshng'!N125-Overtime!AU27</f>
        <v>52</v>
      </c>
      <c r="AW27" s="27">
        <v>11072</v>
      </c>
      <c r="AX27" s="28">
        <f>'LT-Wshng'!P125-Overtime!AW27</f>
        <v>37</v>
      </c>
      <c r="AY27" s="27"/>
      <c r="AZ27" s="28" t="str">
        <f t="shared" si="1"/>
        <v/>
      </c>
      <c r="BA27" s="29">
        <v>58370</v>
      </c>
      <c r="BB27" s="28">
        <f>'LT-Wshng'!T125-Overtime!BA27</f>
        <v>65</v>
      </c>
      <c r="BC27" s="27">
        <v>11009</v>
      </c>
      <c r="BD27" s="28">
        <f>'LT-Wshng'!V125-Overtime!BC27</f>
        <v>19</v>
      </c>
      <c r="BE27" s="27">
        <v>6614</v>
      </c>
      <c r="BF27" s="28">
        <f>'LT-Wshng'!AB125-Overtime!BE27</f>
        <v>0</v>
      </c>
      <c r="BG27" s="27">
        <v>6428</v>
      </c>
      <c r="BH27" s="28">
        <f>'LT-Wshng'!AD125-Overtime!BG27</f>
        <v>0</v>
      </c>
    </row>
    <row r="28" spans="1:60" x14ac:dyDescent="0.3">
      <c r="A28" s="9" t="s">
        <v>68</v>
      </c>
      <c r="B28" s="33">
        <v>45953</v>
      </c>
      <c r="C28" s="5">
        <v>58797</v>
      </c>
      <c r="D28" s="28">
        <f>'LT GF'!C126-Overtime!C28</f>
        <v>117</v>
      </c>
      <c r="E28" s="5">
        <v>18970</v>
      </c>
      <c r="F28" s="28">
        <f>'LT GF'!G126-Overtime!E28</f>
        <v>1</v>
      </c>
      <c r="G28" s="5">
        <v>10650</v>
      </c>
      <c r="H28" s="28">
        <f>'LT GF'!K126-Overtime!G28</f>
        <v>50</v>
      </c>
      <c r="I28" s="13">
        <v>21690</v>
      </c>
      <c r="J28" s="28">
        <f>'LT GF'!O126-Overtime!I28</f>
        <v>38</v>
      </c>
      <c r="K28" s="5">
        <v>3888</v>
      </c>
      <c r="L28" s="28">
        <f>'LT GF'!Q126-Overtime!K28</f>
        <v>2</v>
      </c>
      <c r="M28" s="5">
        <v>8904</v>
      </c>
      <c r="N28" s="28">
        <f>'LT GF'!U126-Overtime!M28</f>
        <v>27</v>
      </c>
      <c r="O28" s="5">
        <v>48907</v>
      </c>
      <c r="P28" s="6">
        <f>'LT FF'!C126-Overtime!O28</f>
        <v>29</v>
      </c>
      <c r="Q28" s="5">
        <v>6811</v>
      </c>
      <c r="R28" s="6">
        <f>'LT FF'!E126-Overtime!Q28</f>
        <v>1</v>
      </c>
      <c r="S28" s="5">
        <v>23819</v>
      </c>
      <c r="T28" s="6">
        <f>'LT FF'!G126-Overtime!S28</f>
        <v>6</v>
      </c>
      <c r="U28" s="5">
        <v>1149</v>
      </c>
      <c r="V28" s="6">
        <f>'LT FF'!K126-Overtime!U28</f>
        <v>6</v>
      </c>
      <c r="W28" s="5">
        <v>24448</v>
      </c>
      <c r="X28" s="6">
        <f>'LT FF'!O126-Overtime!W28</f>
        <v>28</v>
      </c>
      <c r="Y28" s="5">
        <v>5210</v>
      </c>
      <c r="Z28" s="6">
        <f>'LT FF'!Q126-Overtime!Y28</f>
        <v>3</v>
      </c>
      <c r="AA28" s="5">
        <v>8107</v>
      </c>
      <c r="AB28" s="6">
        <f>'LT FF'!U126-Overtime!AA28</f>
        <v>7</v>
      </c>
      <c r="AC28" s="27">
        <v>79899</v>
      </c>
      <c r="AD28" s="28">
        <f>'LT 2F'!C126-Overtime!AC28</f>
        <v>60</v>
      </c>
      <c r="AE28" s="27">
        <v>11847</v>
      </c>
      <c r="AF28" s="28">
        <f>'LT 2F'!E126-Overtime!AE28</f>
        <v>11</v>
      </c>
      <c r="AG28" s="27">
        <v>28750</v>
      </c>
      <c r="AH28" s="28">
        <f>'LT 2F'!G126-Overtime!AG28</f>
        <v>5</v>
      </c>
      <c r="AI28" s="27">
        <v>24540</v>
      </c>
      <c r="AJ28" s="28">
        <f>'LT 2F'!K126-Overtime!AI28</f>
        <v>13</v>
      </c>
      <c r="AK28" s="27">
        <v>35180</v>
      </c>
      <c r="AL28" s="28">
        <f>'LT 2F'!O126-Overtime!AK28</f>
        <v>33</v>
      </c>
      <c r="AM28" s="27">
        <v>5620</v>
      </c>
      <c r="AN28" s="28">
        <f>'LT 2F'!Q126-Overtime!AM28</f>
        <v>4</v>
      </c>
      <c r="AO28" s="27"/>
      <c r="AP28" s="28">
        <v>0</v>
      </c>
      <c r="AQ28" s="27">
        <v>132137</v>
      </c>
      <c r="AR28" s="28">
        <f>'LT-Wshng'!D126-Overtime!AQ28</f>
        <v>490</v>
      </c>
      <c r="AS28" s="27"/>
      <c r="AT28" s="28" t="str">
        <f t="shared" si="0"/>
        <v/>
      </c>
      <c r="AU28" s="27">
        <v>30267</v>
      </c>
      <c r="AV28" s="28">
        <f>'LT-Wshng'!N126-Overtime!AU28</f>
        <v>53</v>
      </c>
      <c r="AW28" s="27">
        <v>11254</v>
      </c>
      <c r="AX28" s="28">
        <f>'LT-Wshng'!P126-Overtime!AW28</f>
        <v>39</v>
      </c>
      <c r="AY28" s="27"/>
      <c r="AZ28" s="28" t="str">
        <f t="shared" si="1"/>
        <v/>
      </c>
      <c r="BA28" s="29">
        <v>59004</v>
      </c>
      <c r="BB28" s="28">
        <f>'LT-Wshng'!T126-Overtime!BA28</f>
        <v>60</v>
      </c>
      <c r="BC28" s="27">
        <v>11136</v>
      </c>
      <c r="BD28" s="28">
        <f>'LT-Wshng'!V126-Overtime!BC28</f>
        <v>22</v>
      </c>
      <c r="BE28" s="27">
        <v>6722</v>
      </c>
      <c r="BF28" s="28">
        <f>'LT-Wshng'!AB126-Overtime!BE28</f>
        <v>0</v>
      </c>
      <c r="BG28" s="27">
        <v>6549</v>
      </c>
      <c r="BH28" s="28">
        <f>'LT-Wshng'!AD126-Overtime!BG28</f>
        <v>0</v>
      </c>
    </row>
    <row r="29" spans="1:60" x14ac:dyDescent="0.3">
      <c r="A29" s="9" t="s">
        <v>69</v>
      </c>
      <c r="B29" s="33">
        <v>45954</v>
      </c>
      <c r="C29" s="5">
        <v>59528</v>
      </c>
      <c r="D29" s="28">
        <f>'LT GF'!C127-Overtime!C29</f>
        <v>152</v>
      </c>
      <c r="E29" s="5">
        <v>19076</v>
      </c>
      <c r="F29" s="28">
        <f>'LT GF'!G127-Overtime!E29</f>
        <v>15</v>
      </c>
      <c r="G29" s="5">
        <v>10832</v>
      </c>
      <c r="H29" s="28">
        <f>'LT GF'!K127-Overtime!G29</f>
        <v>57</v>
      </c>
      <c r="I29" s="13">
        <v>21891</v>
      </c>
      <c r="J29" s="28">
        <f>'LT GF'!O127-Overtime!I29</f>
        <v>23</v>
      </c>
      <c r="K29" s="5">
        <v>3898</v>
      </c>
      <c r="L29" s="28">
        <f>'LT GF'!Q127-Overtime!K29</f>
        <v>1</v>
      </c>
      <c r="M29" s="5">
        <v>9045</v>
      </c>
      <c r="N29" s="28">
        <f>'LT GF'!U127-Overtime!M29</f>
        <v>39</v>
      </c>
      <c r="O29" s="5">
        <v>49222</v>
      </c>
      <c r="P29" s="6">
        <f>'LT FF'!C127-Overtime!O29</f>
        <v>21</v>
      </c>
      <c r="Q29" s="5">
        <v>6912</v>
      </c>
      <c r="R29" s="6">
        <f>'LT FF'!E127-Overtime!Q29</f>
        <v>0</v>
      </c>
      <c r="S29" s="5">
        <v>23958</v>
      </c>
      <c r="T29" s="6">
        <f>'LT FF'!G127-Overtime!S29</f>
        <v>0</v>
      </c>
      <c r="U29" s="5">
        <v>1164</v>
      </c>
      <c r="V29" s="6">
        <f>'LT FF'!K127-Overtime!U29</f>
        <v>6</v>
      </c>
      <c r="W29" s="5">
        <v>24638</v>
      </c>
      <c r="X29" s="6">
        <f>'LT FF'!O127-Overtime!W29</f>
        <v>25</v>
      </c>
      <c r="Y29" s="5">
        <v>5264</v>
      </c>
      <c r="Z29" s="6">
        <f>'LT FF'!Q127-Overtime!Y29</f>
        <v>2</v>
      </c>
      <c r="AA29" s="5">
        <v>8180</v>
      </c>
      <c r="AB29" s="6">
        <f>'LT FF'!U127-Overtime!AA29</f>
        <v>4</v>
      </c>
      <c r="AC29" s="27">
        <v>80498</v>
      </c>
      <c r="AD29" s="28">
        <f>'LT 2F'!C127-Overtime!AC29</f>
        <v>20</v>
      </c>
      <c r="AE29" s="27">
        <v>11993</v>
      </c>
      <c r="AF29" s="28">
        <f>'LT 2F'!E127-Overtime!AE29</f>
        <v>4</v>
      </c>
      <c r="AG29" s="27">
        <v>28885</v>
      </c>
      <c r="AH29" s="28">
        <f>'LT 2F'!G127-Overtime!AG29</f>
        <v>4</v>
      </c>
      <c r="AI29" s="27">
        <v>24756</v>
      </c>
      <c r="AJ29" s="28">
        <f>'LT 2F'!K127-Overtime!AI29</f>
        <v>6</v>
      </c>
      <c r="AK29" s="27">
        <v>35504</v>
      </c>
      <c r="AL29" s="28">
        <f>'LT 2F'!O127-Overtime!AK29</f>
        <v>39</v>
      </c>
      <c r="AM29" s="27">
        <v>5723</v>
      </c>
      <c r="AN29" s="28">
        <f>'LT 2F'!Q127-Overtime!AM29</f>
        <v>11</v>
      </c>
      <c r="AO29" s="27"/>
      <c r="AP29" s="28">
        <v>0</v>
      </c>
      <c r="AQ29" s="27">
        <v>134755</v>
      </c>
      <c r="AR29" s="28">
        <f>'LT-Wshng'!D127-Overtime!AQ29</f>
        <v>476</v>
      </c>
      <c r="AS29" s="27"/>
      <c r="AT29" s="28" t="str">
        <f t="shared" si="0"/>
        <v/>
      </c>
      <c r="AU29" s="27">
        <v>30589</v>
      </c>
      <c r="AV29" s="28">
        <f>'LT-Wshng'!N127-Overtime!AU29</f>
        <v>61</v>
      </c>
      <c r="AW29" s="27">
        <v>11433</v>
      </c>
      <c r="AX29" s="28">
        <f>'LT-Wshng'!P127-Overtime!AW29</f>
        <v>38</v>
      </c>
      <c r="AY29" s="27"/>
      <c r="AZ29" s="28" t="str">
        <f t="shared" si="1"/>
        <v/>
      </c>
      <c r="BA29" s="29">
        <v>59673</v>
      </c>
      <c r="BB29" s="28">
        <f>'LT-Wshng'!T127-Overtime!BA29</f>
        <v>75</v>
      </c>
      <c r="BC29" s="27">
        <v>11262</v>
      </c>
      <c r="BD29" s="28">
        <f>'LT-Wshng'!V127-Overtime!BC29</f>
        <v>21</v>
      </c>
      <c r="BE29" s="27">
        <v>6836</v>
      </c>
      <c r="BF29" s="28">
        <f>'LT-Wshng'!AB127-Overtime!BE29</f>
        <v>0</v>
      </c>
      <c r="BG29" s="27">
        <v>6658</v>
      </c>
      <c r="BH29" s="28">
        <f>'LT-Wshng'!AD127-Overtime!BG29</f>
        <v>0</v>
      </c>
    </row>
    <row r="30" spans="1:60" x14ac:dyDescent="0.3">
      <c r="A30" s="9" t="s">
        <v>70</v>
      </c>
      <c r="B30" s="33">
        <v>45955</v>
      </c>
      <c r="C30" s="5">
        <v>60241</v>
      </c>
      <c r="D30" s="28">
        <f>'LT GF'!C128-Overtime!C30</f>
        <v>157</v>
      </c>
      <c r="E30" s="5">
        <v>19190</v>
      </c>
      <c r="F30" s="28">
        <f>'LT GF'!G128-Overtime!E30</f>
        <v>9</v>
      </c>
      <c r="G30" s="5">
        <v>11013</v>
      </c>
      <c r="H30" s="28">
        <f>'LT GF'!K128-Overtime!G30</f>
        <v>59</v>
      </c>
      <c r="I30" s="13">
        <v>22095</v>
      </c>
      <c r="J30" s="28">
        <f>'LT GF'!O128-Overtime!I30</f>
        <v>56</v>
      </c>
      <c r="K30" s="5">
        <v>3899</v>
      </c>
      <c r="L30" s="28">
        <f>'LT GF'!Q128-Overtime!K30</f>
        <v>6</v>
      </c>
      <c r="M30" s="5">
        <v>9195</v>
      </c>
      <c r="N30" s="28">
        <f>'LT GF'!U128-Overtime!M30</f>
        <v>38</v>
      </c>
      <c r="O30" s="5">
        <v>49475</v>
      </c>
      <c r="P30" s="6">
        <f>'LT FF'!C128-Overtime!O30</f>
        <v>24</v>
      </c>
      <c r="Q30" s="5">
        <v>7014</v>
      </c>
      <c r="R30" s="6">
        <f>'LT FF'!E128-Overtime!Q30</f>
        <v>1</v>
      </c>
      <c r="S30" s="5">
        <v>24042</v>
      </c>
      <c r="T30" s="6">
        <f>'LT FF'!G128-Overtime!S30</f>
        <v>0</v>
      </c>
      <c r="U30" s="5">
        <v>1178</v>
      </c>
      <c r="V30" s="6">
        <f>'LT FF'!K128-Overtime!U30</f>
        <v>5</v>
      </c>
      <c r="W30" s="5">
        <v>24825</v>
      </c>
      <c r="X30" s="6">
        <f>'LT FF'!O128-Overtime!W30</f>
        <v>30</v>
      </c>
      <c r="Y30" s="5">
        <v>5320</v>
      </c>
      <c r="Z30" s="6">
        <f>'LT FF'!Q128-Overtime!Y30</f>
        <v>3</v>
      </c>
      <c r="AA30" s="5">
        <v>8253</v>
      </c>
      <c r="AB30" s="6">
        <f>'LT FF'!U128-Overtime!AA30</f>
        <v>7</v>
      </c>
      <c r="AC30" s="27">
        <v>81152</v>
      </c>
      <c r="AD30" s="28">
        <f>'LT 2F'!C128-Overtime!AC30</f>
        <v>35</v>
      </c>
      <c r="AE30" s="27">
        <v>12134</v>
      </c>
      <c r="AF30" s="28">
        <f>'LT 2F'!E128-Overtime!AE30</f>
        <v>4</v>
      </c>
      <c r="AG30" s="27">
        <v>29118</v>
      </c>
      <c r="AH30" s="28">
        <f>'LT 2F'!G128-Overtime!AG30</f>
        <v>0</v>
      </c>
      <c r="AI30" s="27">
        <v>24962</v>
      </c>
      <c r="AJ30" s="28">
        <f>'LT 2F'!K128-Overtime!AI30</f>
        <v>8</v>
      </c>
      <c r="AK30" s="27">
        <v>35827</v>
      </c>
      <c r="AL30" s="28">
        <f>'LT 2F'!O128-Overtime!AK30</f>
        <v>31</v>
      </c>
      <c r="AM30" s="27">
        <v>5833</v>
      </c>
      <c r="AN30" s="28">
        <f>'LT 2F'!Q128-Overtime!AM30</f>
        <v>1</v>
      </c>
      <c r="AO30" s="27"/>
      <c r="AP30" s="28">
        <v>0</v>
      </c>
      <c r="AQ30" s="27">
        <v>137373</v>
      </c>
      <c r="AR30" s="28">
        <f>'LT-Wshng'!D128-Overtime!AQ30</f>
        <v>390</v>
      </c>
      <c r="AS30" s="27"/>
      <c r="AT30" s="28" t="str">
        <f t="shared" si="0"/>
        <v/>
      </c>
      <c r="AU30" s="27">
        <v>30915</v>
      </c>
      <c r="AV30" s="28">
        <f>'LT-Wshng'!N128-Overtime!AU30</f>
        <v>19</v>
      </c>
      <c r="AW30" s="27">
        <v>11618</v>
      </c>
      <c r="AX30" s="28">
        <f>'LT-Wshng'!P128-Overtime!AW30</f>
        <v>30</v>
      </c>
      <c r="AY30" s="27"/>
      <c r="AZ30" s="28" t="str">
        <f t="shared" si="1"/>
        <v/>
      </c>
      <c r="BA30" s="29">
        <v>60346</v>
      </c>
      <c r="BB30" s="28">
        <f>'LT-Wshng'!T128-Overtime!BA30</f>
        <v>16</v>
      </c>
      <c r="BC30" s="27">
        <v>11396</v>
      </c>
      <c r="BD30" s="28">
        <f>'LT-Wshng'!V128-Overtime!BC30</f>
        <v>1</v>
      </c>
      <c r="BE30" s="27">
        <v>6952</v>
      </c>
      <c r="BF30" s="28">
        <f>'LT-Wshng'!AB128-Overtime!BE30</f>
        <v>0</v>
      </c>
      <c r="BG30" s="27">
        <v>6760</v>
      </c>
      <c r="BH30" s="28">
        <f>'LT-Wshng'!AD128-Overtime!BG30</f>
        <v>0</v>
      </c>
    </row>
    <row r="31" spans="1:60" x14ac:dyDescent="0.3">
      <c r="A31" s="9" t="s">
        <v>71</v>
      </c>
      <c r="B31" s="33">
        <v>45956</v>
      </c>
      <c r="C31" s="5">
        <v>60801</v>
      </c>
      <c r="D31" s="28">
        <f>'LT GF'!C129-Overtime!C31</f>
        <v>127</v>
      </c>
      <c r="E31" s="5">
        <v>19221</v>
      </c>
      <c r="F31" s="28">
        <f>'LT GF'!G129-Overtime!E31</f>
        <v>8</v>
      </c>
      <c r="G31" s="5">
        <v>11154</v>
      </c>
      <c r="H31" s="28">
        <f>'LT GF'!K129-Overtime!G31</f>
        <v>47</v>
      </c>
      <c r="I31" s="13">
        <v>22310</v>
      </c>
      <c r="J31" s="28">
        <f>'LT GF'!O129-Overtime!I31</f>
        <v>37</v>
      </c>
      <c r="K31" s="5">
        <v>3967</v>
      </c>
      <c r="L31" s="28">
        <f>'LT GF'!Q129-Overtime!K31</f>
        <v>2</v>
      </c>
      <c r="M31" s="5">
        <v>9308</v>
      </c>
      <c r="N31" s="28">
        <f>'LT GF'!U129-Overtime!M31</f>
        <v>36</v>
      </c>
      <c r="O31" s="5">
        <v>49505</v>
      </c>
      <c r="P31" s="6">
        <f>'LT FF'!C129-Overtime!O31</f>
        <v>26</v>
      </c>
      <c r="Q31" s="5">
        <v>7011</v>
      </c>
      <c r="R31" s="6">
        <f>'LT FF'!E129-Overtime!Q31</f>
        <v>4</v>
      </c>
      <c r="S31" s="5">
        <v>24042</v>
      </c>
      <c r="T31" s="6">
        <f>'LT FF'!G129-Overtime!S31</f>
        <v>0</v>
      </c>
      <c r="U31" s="5">
        <v>1186</v>
      </c>
      <c r="V31" s="6">
        <f>'LT FF'!K129-Overtime!U31</f>
        <v>4</v>
      </c>
      <c r="W31" s="5">
        <v>24855</v>
      </c>
      <c r="X31" s="6">
        <f>'LT FF'!O129-Overtime!W31</f>
        <v>27</v>
      </c>
      <c r="Y31" s="5">
        <v>5321</v>
      </c>
      <c r="Z31" s="6">
        <f>'LT FF'!Q129-Overtime!Y31</f>
        <v>2</v>
      </c>
      <c r="AA31" s="5">
        <v>8257</v>
      </c>
      <c r="AB31" s="6">
        <f>'LT FF'!U129-Overtime!AA31</f>
        <v>4</v>
      </c>
      <c r="AC31" s="27">
        <v>81198</v>
      </c>
      <c r="AD31" s="28">
        <f>'LT 2F'!C129-Overtime!AC31</f>
        <v>21</v>
      </c>
      <c r="AE31" s="27">
        <v>12134</v>
      </c>
      <c r="AF31" s="28">
        <f>'LT 2F'!E129-Overtime!AE31</f>
        <v>4</v>
      </c>
      <c r="AG31" s="27">
        <v>29118</v>
      </c>
      <c r="AH31" s="28">
        <f>'LT 2F'!G129-Overtime!AG31</f>
        <v>0</v>
      </c>
      <c r="AI31" s="27">
        <v>24966</v>
      </c>
      <c r="AJ31" s="28">
        <f>'LT 2F'!K129-Overtime!AI31</f>
        <v>4</v>
      </c>
      <c r="AK31" s="27">
        <v>35875</v>
      </c>
      <c r="AL31" s="28">
        <f>'LT 2F'!O129-Overtime!AK31</f>
        <v>29</v>
      </c>
      <c r="AM31" s="27">
        <v>5833</v>
      </c>
      <c r="AN31" s="28">
        <f>'LT 2F'!Q129-Overtime!AM31</f>
        <v>1</v>
      </c>
      <c r="AO31" s="27"/>
      <c r="AP31" s="28">
        <v>0</v>
      </c>
      <c r="AQ31" s="27">
        <v>137426</v>
      </c>
      <c r="AR31" s="28">
        <f>'LT-Wshng'!D129-Overtime!AQ31</f>
        <v>379</v>
      </c>
      <c r="AS31" s="27"/>
      <c r="AT31" s="28" t="str">
        <f t="shared" si="0"/>
        <v/>
      </c>
      <c r="AU31" s="27">
        <v>30895</v>
      </c>
      <c r="AV31" s="28">
        <f>'LT-Wshng'!N129-Overtime!AU31</f>
        <v>39</v>
      </c>
      <c r="AW31" s="27">
        <v>11622</v>
      </c>
      <c r="AX31" s="28">
        <f>'LT-Wshng'!P129-Overtime!AW31</f>
        <v>33</v>
      </c>
      <c r="AY31" s="27"/>
      <c r="AZ31" s="28" t="str">
        <f t="shared" si="1"/>
        <v/>
      </c>
      <c r="BA31" s="29">
        <v>60328</v>
      </c>
      <c r="BB31" s="28">
        <f>'LT-Wshng'!T129-Overtime!BA31</f>
        <v>55</v>
      </c>
      <c r="BC31" s="27">
        <v>11378</v>
      </c>
      <c r="BD31" s="28">
        <f>'LT-Wshng'!V129-Overtime!BC31</f>
        <v>19</v>
      </c>
      <c r="BE31" s="27">
        <v>6952</v>
      </c>
      <c r="BF31" s="28">
        <f>'LT-Wshng'!AB129-Overtime!BE31</f>
        <v>0</v>
      </c>
      <c r="BG31" s="27">
        <v>6764</v>
      </c>
      <c r="BH31" s="28">
        <f>'LT-Wshng'!AD129-Overtime!BG31</f>
        <v>0</v>
      </c>
    </row>
    <row r="32" spans="1:60" x14ac:dyDescent="0.3">
      <c r="A32" s="9" t="s">
        <v>72</v>
      </c>
      <c r="B32" s="33">
        <v>45957</v>
      </c>
      <c r="C32" s="5">
        <v>61496</v>
      </c>
      <c r="D32" s="28">
        <f>'LT GF'!C130-Overtime!C32</f>
        <v>122</v>
      </c>
      <c r="E32" s="5">
        <v>19315</v>
      </c>
      <c r="F32" s="28">
        <f>'LT GF'!G130-Overtime!E32</f>
        <v>9</v>
      </c>
      <c r="G32" s="5">
        <v>11328</v>
      </c>
      <c r="H32" s="28">
        <f>'LT GF'!K130-Overtime!G32</f>
        <v>45</v>
      </c>
      <c r="I32" s="13">
        <v>22515</v>
      </c>
      <c r="J32" s="28">
        <f>'LT GF'!O130-Overtime!I32</f>
        <v>45</v>
      </c>
      <c r="K32" s="5">
        <v>3976</v>
      </c>
      <c r="L32" s="28">
        <f>'LT GF'!Q130-Overtime!K32</f>
        <v>1</v>
      </c>
      <c r="M32" s="5">
        <v>9461</v>
      </c>
      <c r="N32" s="28">
        <f>'LT GF'!U130-Overtime!M32</f>
        <v>28</v>
      </c>
      <c r="O32" s="5">
        <v>49790</v>
      </c>
      <c r="P32" s="6">
        <f>'LT FF'!C130-Overtime!O32</f>
        <v>22</v>
      </c>
      <c r="Q32" s="5">
        <v>7124</v>
      </c>
      <c r="R32" s="6">
        <f>'LT FF'!E130-Overtime!Q32</f>
        <v>1</v>
      </c>
      <c r="S32" s="5">
        <v>24143</v>
      </c>
      <c r="T32" s="6">
        <f>'LT FF'!G130-Overtime!S32</f>
        <v>0</v>
      </c>
      <c r="U32" s="5">
        <v>1200</v>
      </c>
      <c r="V32" s="6">
        <f>'LT FF'!K130-Overtime!U32</f>
        <v>5</v>
      </c>
      <c r="W32" s="5">
        <v>25056</v>
      </c>
      <c r="X32" s="6">
        <f>'LT FF'!O130-Overtime!W32</f>
        <v>25</v>
      </c>
      <c r="Y32" s="5">
        <v>5380</v>
      </c>
      <c r="Z32" s="6">
        <f>'LT FF'!Q130-Overtime!Y32</f>
        <v>2</v>
      </c>
      <c r="AA32" s="5">
        <v>8336</v>
      </c>
      <c r="AB32" s="6">
        <f>'LT FF'!U130-Overtime!AA32</f>
        <v>5</v>
      </c>
      <c r="AC32" s="27">
        <v>81732</v>
      </c>
      <c r="AD32" s="28">
        <f>'LT 2F'!C130-Overtime!AC32</f>
        <v>39</v>
      </c>
      <c r="AE32" s="27">
        <v>12275</v>
      </c>
      <c r="AF32" s="28">
        <f>'LT 2F'!E130-Overtime!AE32</f>
        <v>4</v>
      </c>
      <c r="AG32" s="27">
        <v>29211</v>
      </c>
      <c r="AH32" s="28">
        <f>'LT 2F'!G130-Overtime!AG32</f>
        <v>3</v>
      </c>
      <c r="AI32" s="27">
        <v>25170</v>
      </c>
      <c r="AJ32" s="28">
        <f>'LT 2F'!K130-Overtime!AI32</f>
        <v>20</v>
      </c>
      <c r="AK32" s="27">
        <v>36187</v>
      </c>
      <c r="AL32" s="28">
        <f>'LT 2F'!O130-Overtime!AK32</f>
        <v>30</v>
      </c>
      <c r="AM32" s="27">
        <v>5931</v>
      </c>
      <c r="AN32" s="28">
        <f>'LT 2F'!Q130-Overtime!AM32</f>
        <v>0</v>
      </c>
      <c r="AO32" s="27"/>
      <c r="AP32" s="28">
        <v>0</v>
      </c>
      <c r="AQ32" s="27">
        <v>139872</v>
      </c>
      <c r="AR32" s="28">
        <f>'LT-Wshng'!D130-Overtime!AQ32</f>
        <v>511</v>
      </c>
      <c r="AS32" s="27"/>
      <c r="AT32" s="28" t="str">
        <f t="shared" si="0"/>
        <v/>
      </c>
      <c r="AU32" s="27">
        <v>31203</v>
      </c>
      <c r="AV32" s="28">
        <f>'LT-Wshng'!N130-Overtime!AU32</f>
        <v>61</v>
      </c>
      <c r="AW32" s="27">
        <v>11798</v>
      </c>
      <c r="AX32" s="28">
        <f>'LT-Wshng'!P130-Overtime!AW32</f>
        <v>41</v>
      </c>
      <c r="AY32" s="27"/>
      <c r="AZ32" s="28" t="str">
        <f t="shared" si="1"/>
        <v/>
      </c>
      <c r="BA32" s="29">
        <v>61037</v>
      </c>
      <c r="BB32" s="28">
        <f>'LT-Wshng'!T130-Overtime!BA32</f>
        <v>100</v>
      </c>
      <c r="BC32" s="27">
        <v>11490</v>
      </c>
      <c r="BD32" s="28">
        <f>'LT-Wshng'!V130-Overtime!BC32</f>
        <v>19</v>
      </c>
      <c r="BE32" s="27">
        <v>7156</v>
      </c>
      <c r="BF32" s="28">
        <f>'LT-Wshng'!AB130-Overtime!BE32</f>
        <v>0</v>
      </c>
      <c r="BG32" s="27">
        <v>6952</v>
      </c>
      <c r="BH32" s="28">
        <f>'LT-Wshng'!AD130-Overtime!BG32</f>
        <v>0</v>
      </c>
    </row>
    <row r="33" spans="1:60" x14ac:dyDescent="0.3">
      <c r="A33" s="9" t="s">
        <v>66</v>
      </c>
      <c r="B33" s="33">
        <v>45958</v>
      </c>
      <c r="C33" s="5">
        <v>62172</v>
      </c>
      <c r="D33" s="28">
        <f>'LT GF'!C131-Overtime!C33</f>
        <v>132</v>
      </c>
      <c r="E33" s="5">
        <v>19413</v>
      </c>
      <c r="F33" s="28">
        <f>'LT GF'!G131-Overtime!E33</f>
        <v>17</v>
      </c>
      <c r="G33" s="5">
        <v>11483</v>
      </c>
      <c r="H33" s="28">
        <f>'LT GF'!K131-Overtime!G33</f>
        <v>43</v>
      </c>
      <c r="I33" s="13">
        <v>22717</v>
      </c>
      <c r="J33" s="28">
        <f>'LT GF'!O131-Overtime!I33</f>
        <v>39</v>
      </c>
      <c r="K33" s="5">
        <v>3983</v>
      </c>
      <c r="L33" s="28">
        <f>'LT GF'!Q131-Overtime!K33</f>
        <v>1</v>
      </c>
      <c r="M33" s="5">
        <v>9602</v>
      </c>
      <c r="N33" s="28">
        <f>'LT GF'!U131-Overtime!M33</f>
        <v>29</v>
      </c>
      <c r="O33" s="5">
        <v>50060</v>
      </c>
      <c r="P33" s="6">
        <f>'LT FF'!C131-Overtime!O33</f>
        <v>22</v>
      </c>
      <c r="Q33" s="5">
        <v>7242</v>
      </c>
      <c r="R33" s="6">
        <f>'LT FF'!E131-Overtime!Q33</f>
        <v>1</v>
      </c>
      <c r="S33" s="5">
        <v>24228</v>
      </c>
      <c r="T33" s="6">
        <f>'LT FF'!G131-Overtime!S33</f>
        <v>1</v>
      </c>
      <c r="U33" s="5">
        <v>1214</v>
      </c>
      <c r="V33" s="6">
        <f>'LT FF'!K131-Overtime!U33</f>
        <v>6</v>
      </c>
      <c r="W33" s="5">
        <v>25247</v>
      </c>
      <c r="X33" s="6">
        <f>'LT FF'!O131-Overtime!W33</f>
        <v>20</v>
      </c>
      <c r="Y33" s="5">
        <v>5440</v>
      </c>
      <c r="Z33" s="6">
        <f>'LT FF'!Q131-Overtime!Y33</f>
        <v>0</v>
      </c>
      <c r="AA33" s="5">
        <v>8411</v>
      </c>
      <c r="AB33" s="6">
        <f>'LT FF'!U131-Overtime!AA33</f>
        <v>2</v>
      </c>
      <c r="AC33" s="27">
        <v>82313</v>
      </c>
      <c r="AD33" s="28">
        <f>'LT 2F'!C131-Overtime!AC33</f>
        <v>45</v>
      </c>
      <c r="AE33" s="27">
        <v>12416</v>
      </c>
      <c r="AF33" s="28">
        <f>'LT 2F'!E131-Overtime!AE33</f>
        <v>5</v>
      </c>
      <c r="AG33" s="27">
        <v>29358</v>
      </c>
      <c r="AH33" s="28">
        <f>'LT 2F'!G131-Overtime!AG33</f>
        <v>0</v>
      </c>
      <c r="AI33" s="27">
        <v>25386</v>
      </c>
      <c r="AJ33" s="28">
        <f>'LT 2F'!K131-Overtime!AI33</f>
        <v>17</v>
      </c>
      <c r="AK33" s="27">
        <v>36474</v>
      </c>
      <c r="AL33" s="28">
        <f>'LT 2F'!O131-Overtime!AK33</f>
        <v>29</v>
      </c>
      <c r="AM33" s="27">
        <v>6024</v>
      </c>
      <c r="AN33" s="28">
        <f>'LT 2F'!Q131-Overtime!AM33</f>
        <v>1</v>
      </c>
      <c r="AO33" s="27"/>
      <c r="AP33" s="28">
        <v>0</v>
      </c>
      <c r="AQ33" s="27">
        <v>142502</v>
      </c>
      <c r="AR33" s="28">
        <f>'LT-Wshng'!D131-Overtime!AQ33</f>
        <v>494</v>
      </c>
      <c r="AS33" s="27"/>
      <c r="AT33" s="28" t="str">
        <f t="shared" si="0"/>
        <v/>
      </c>
      <c r="AU33" s="27">
        <v>31467</v>
      </c>
      <c r="AV33" s="28">
        <f>'LT-Wshng'!N131-Overtime!AU33</f>
        <v>42</v>
      </c>
      <c r="AW33" s="27">
        <v>11972</v>
      </c>
      <c r="AX33" s="28">
        <f>'LT-Wshng'!P131-Overtime!AW33</f>
        <v>37</v>
      </c>
      <c r="AY33" s="27"/>
      <c r="AZ33" s="28" t="str">
        <f t="shared" si="1"/>
        <v/>
      </c>
      <c r="BA33" s="29">
        <v>61739</v>
      </c>
      <c r="BB33" s="28">
        <f>'LT-Wshng'!T131-Overtime!BA33</f>
        <v>108</v>
      </c>
      <c r="BC33" s="27">
        <v>11607</v>
      </c>
      <c r="BD33" s="28">
        <f>'LT-Wshng'!V131-Overtime!BC33</f>
        <v>21</v>
      </c>
      <c r="BE33" s="27">
        <v>7338</v>
      </c>
      <c r="BF33" s="28">
        <f>'LT-Wshng'!AB131-Overtime!BE33</f>
        <v>0</v>
      </c>
      <c r="BG33" s="27">
        <v>7126</v>
      </c>
      <c r="BH33" s="28">
        <f>'LT-Wshng'!AD131-Overtime!BG33</f>
        <v>0</v>
      </c>
    </row>
    <row r="34" spans="1:60" x14ac:dyDescent="0.3">
      <c r="A34" s="9" t="s">
        <v>67</v>
      </c>
      <c r="B34" s="33">
        <v>45959</v>
      </c>
      <c r="C34" s="5">
        <v>62857</v>
      </c>
      <c r="D34" s="28">
        <f>'LT GF'!C132-Overtime!C34</f>
        <v>143</v>
      </c>
      <c r="E34" s="5">
        <v>19514</v>
      </c>
      <c r="F34" s="28">
        <f>'LT GF'!G132-Overtime!E34</f>
        <v>13</v>
      </c>
      <c r="G34" s="5">
        <v>11640</v>
      </c>
      <c r="H34" s="28">
        <f>'LT GF'!K132-Overtime!G34</f>
        <v>44</v>
      </c>
      <c r="I34" s="13">
        <v>22936</v>
      </c>
      <c r="J34" s="28">
        <f>'LT GF'!O132-Overtime!I34</f>
        <v>44</v>
      </c>
      <c r="K34" s="5">
        <v>4015</v>
      </c>
      <c r="L34" s="28">
        <f>'LT GF'!Q132-Overtime!K34</f>
        <v>6</v>
      </c>
      <c r="M34" s="5">
        <v>9740</v>
      </c>
      <c r="N34" s="28">
        <f>'LT GF'!U132-Overtime!M34</f>
        <v>29</v>
      </c>
      <c r="O34" s="5">
        <v>50313</v>
      </c>
      <c r="P34" s="6">
        <f>'LT FF'!C132-Overtime!O34</f>
        <v>32</v>
      </c>
      <c r="Q34" s="5">
        <v>7347</v>
      </c>
      <c r="R34" s="6">
        <f>'LT FF'!E132-Overtime!Q34</f>
        <v>8</v>
      </c>
      <c r="S34" s="5">
        <v>24313</v>
      </c>
      <c r="T34" s="6">
        <f>'LT FF'!G132-Overtime!S34</f>
        <v>1</v>
      </c>
      <c r="U34" s="5">
        <v>1230</v>
      </c>
      <c r="V34" s="6">
        <f>'LT FF'!K132-Overtime!U34</f>
        <v>6</v>
      </c>
      <c r="W34" s="5">
        <v>25425</v>
      </c>
      <c r="X34" s="6">
        <f>'LT FF'!O132-Overtime!W34</f>
        <v>22</v>
      </c>
      <c r="Y34" s="5">
        <v>5497</v>
      </c>
      <c r="Z34" s="6">
        <f>'LT FF'!Q132-Overtime!Y34</f>
        <v>1</v>
      </c>
      <c r="AA34" s="5">
        <v>8482</v>
      </c>
      <c r="AB34" s="6">
        <f>'LT FF'!U132-Overtime!AA34</f>
        <v>3</v>
      </c>
      <c r="AC34" s="27">
        <v>82873</v>
      </c>
      <c r="AD34" s="28">
        <f>'LT 2F'!C132-Overtime!AC34</f>
        <v>25</v>
      </c>
      <c r="AE34" s="27">
        <v>12562</v>
      </c>
      <c r="AF34" s="28">
        <f>'LT 2F'!E132-Overtime!AE34</f>
        <v>1</v>
      </c>
      <c r="AG34" s="27">
        <v>29466</v>
      </c>
      <c r="AH34" s="28">
        <f>'LT 2F'!G132-Overtime!AG34</f>
        <v>1</v>
      </c>
      <c r="AI34" s="27">
        <v>25601</v>
      </c>
      <c r="AJ34" s="28">
        <f>'LT 2F'!K132-Overtime!AI34</f>
        <v>3</v>
      </c>
      <c r="AK34" s="27">
        <v>36773</v>
      </c>
      <c r="AL34" s="28">
        <f>'LT 2F'!O132-Overtime!AK34</f>
        <v>26</v>
      </c>
      <c r="AM34" s="27">
        <v>6117</v>
      </c>
      <c r="AN34" s="28">
        <f>'LT 2F'!Q132-Overtime!AM34</f>
        <v>1</v>
      </c>
      <c r="AO34" s="27"/>
      <c r="AP34" s="28">
        <v>0</v>
      </c>
      <c r="AQ34" s="27">
        <v>144999</v>
      </c>
      <c r="AR34" s="28">
        <f>'LT-Wshng'!D132-Overtime!AQ34</f>
        <v>476</v>
      </c>
      <c r="AS34" s="27"/>
      <c r="AT34" s="28" t="str">
        <f t="shared" si="0"/>
        <v/>
      </c>
      <c r="AU34" s="27">
        <v>31731</v>
      </c>
      <c r="AV34" s="28">
        <f>'LT-Wshng'!N132-Overtime!AU34</f>
        <v>51</v>
      </c>
      <c r="AW34" s="27">
        <v>12146</v>
      </c>
      <c r="AX34" s="28">
        <f>'LT-Wshng'!P132-Overtime!AW34</f>
        <v>37</v>
      </c>
      <c r="AY34" s="27"/>
      <c r="AZ34" s="28" t="str">
        <f t="shared" si="1"/>
        <v/>
      </c>
      <c r="BA34" s="29">
        <v>62473</v>
      </c>
      <c r="BB34" s="28">
        <f>'LT-Wshng'!T132-Overtime!BA34</f>
        <v>115</v>
      </c>
      <c r="BC34" s="27">
        <v>11728</v>
      </c>
      <c r="BD34" s="28">
        <f>'LT-Wshng'!V132-Overtime!BC34</f>
        <v>23</v>
      </c>
      <c r="BE34" s="27">
        <v>7543</v>
      </c>
      <c r="BF34" s="28">
        <f>'LT-Wshng'!AB132-Overtime!BE34</f>
        <v>0</v>
      </c>
      <c r="BG34" s="27">
        <v>7330</v>
      </c>
      <c r="BH34" s="28">
        <f>'LT-Wshng'!AD132-Overtime!BG34</f>
        <v>0</v>
      </c>
    </row>
    <row r="35" spans="1:60" x14ac:dyDescent="0.3">
      <c r="A35" s="9" t="s">
        <v>68</v>
      </c>
      <c r="B35" s="33">
        <v>45960</v>
      </c>
      <c r="C35" s="5">
        <v>63458</v>
      </c>
      <c r="D35" s="28">
        <f>'LT GF'!C133-Overtime!C35</f>
        <v>113</v>
      </c>
      <c r="E35" s="5">
        <v>19579</v>
      </c>
      <c r="F35" s="28">
        <f>'LT GF'!G133-Overtime!E35</f>
        <v>11</v>
      </c>
      <c r="G35" s="5">
        <v>11797</v>
      </c>
      <c r="H35" s="28">
        <f>'LT GF'!K133-Overtime!G35</f>
        <v>42</v>
      </c>
      <c r="I35" s="13">
        <v>23148</v>
      </c>
      <c r="J35" s="28">
        <f>'LT GF'!O133-Overtime!I35</f>
        <v>41</v>
      </c>
      <c r="K35" s="5">
        <v>4040</v>
      </c>
      <c r="L35" s="28">
        <f>'LT GF'!Q133-Overtime!K35</f>
        <v>7</v>
      </c>
      <c r="M35" s="5">
        <v>9881</v>
      </c>
      <c r="N35" s="28">
        <f>'LT GF'!U133-Overtime!M35</f>
        <v>26</v>
      </c>
      <c r="O35" s="5">
        <v>50587</v>
      </c>
      <c r="P35" s="6">
        <f>'LT FF'!C133-Overtime!O35</f>
        <v>9</v>
      </c>
      <c r="Q35" s="5">
        <v>7456</v>
      </c>
      <c r="R35" s="6">
        <f>'LT FF'!E133-Overtime!Q35</f>
        <v>1</v>
      </c>
      <c r="S35" s="5">
        <v>24408</v>
      </c>
      <c r="T35" s="6">
        <f>'LT FF'!G133-Overtime!S35</f>
        <v>1</v>
      </c>
      <c r="U35" s="5">
        <v>1245</v>
      </c>
      <c r="V35" s="6">
        <f>'LT FF'!K133-Overtime!U35</f>
        <v>5</v>
      </c>
      <c r="W35" s="5">
        <v>25598</v>
      </c>
      <c r="X35" s="6">
        <f>'LT FF'!O133-Overtime!W35</f>
        <v>4</v>
      </c>
      <c r="Y35" s="5">
        <v>5541</v>
      </c>
      <c r="Z35" s="6">
        <f>'LT FF'!Q133-Overtime!Y35</f>
        <v>0</v>
      </c>
      <c r="AA35" s="5">
        <v>8553</v>
      </c>
      <c r="AB35" s="6">
        <f>'LT FF'!U133-Overtime!AA35</f>
        <v>1</v>
      </c>
      <c r="AC35" s="27">
        <v>83400</v>
      </c>
      <c r="AD35" s="28">
        <f>'LT 2F'!C133-Overtime!AC35</f>
        <v>22</v>
      </c>
      <c r="AE35" s="27">
        <v>12703</v>
      </c>
      <c r="AF35" s="28">
        <f>'LT 2F'!E133-Overtime!AE35</f>
        <v>4</v>
      </c>
      <c r="AG35" s="27">
        <v>29573</v>
      </c>
      <c r="AH35" s="28">
        <f>'LT 2F'!G133-Overtime!AG35</f>
        <v>0</v>
      </c>
      <c r="AI35" s="27">
        <v>25801</v>
      </c>
      <c r="AJ35" s="28">
        <f>'LT 2F'!K133-Overtime!AI35</f>
        <v>11</v>
      </c>
      <c r="AK35" s="27">
        <v>37012</v>
      </c>
      <c r="AL35" s="28">
        <f>'LT 2F'!O133-Overtime!AK35</f>
        <v>20</v>
      </c>
      <c r="AM35" s="27">
        <v>6195</v>
      </c>
      <c r="AN35" s="28">
        <f>'LT 2F'!Q133-Overtime!AM35</f>
        <v>4</v>
      </c>
      <c r="AO35" s="27"/>
      <c r="AP35" s="28">
        <v>0</v>
      </c>
      <c r="AQ35" s="27">
        <v>147684</v>
      </c>
      <c r="AR35" s="28">
        <f>'LT-Wshng'!D133-Overtime!AQ35</f>
        <v>507</v>
      </c>
      <c r="AS35" s="27"/>
      <c r="AT35" s="28" t="str">
        <f t="shared" si="0"/>
        <v/>
      </c>
      <c r="AU35" s="27">
        <v>31998</v>
      </c>
      <c r="AV35" s="28">
        <f>'LT-Wshng'!N133-Overtime!AU35</f>
        <v>54</v>
      </c>
      <c r="AW35" s="27">
        <v>12325</v>
      </c>
      <c r="AX35" s="28">
        <f>'LT-Wshng'!P133-Overtime!AW35</f>
        <v>43</v>
      </c>
      <c r="AY35" s="27"/>
      <c r="AZ35" s="28" t="str">
        <f t="shared" si="1"/>
        <v/>
      </c>
      <c r="BA35" s="29">
        <v>63205</v>
      </c>
      <c r="BB35" s="28">
        <f>'LT-Wshng'!T133-Overtime!BA35</f>
        <v>68</v>
      </c>
      <c r="BC35" s="27">
        <v>11848</v>
      </c>
      <c r="BD35" s="28">
        <f>'LT-Wshng'!V133-Overtime!BC35</f>
        <v>24</v>
      </c>
      <c r="BE35" s="27">
        <v>7718</v>
      </c>
      <c r="BF35" s="28">
        <f>'LT-Wshng'!AB133-Overtime!BE35</f>
        <v>0</v>
      </c>
      <c r="BG35" s="27">
        <v>7504</v>
      </c>
      <c r="BH35" s="28">
        <f>'LT-Wshng'!AD133-Overtime!BG35</f>
        <v>0</v>
      </c>
    </row>
    <row r="36" spans="1:60" x14ac:dyDescent="0.3">
      <c r="A36" s="9" t="s">
        <v>69</v>
      </c>
      <c r="B36" s="33">
        <v>45961</v>
      </c>
      <c r="C36" s="5">
        <v>64009</v>
      </c>
      <c r="D36" s="28">
        <f>'LT GF'!C134-Overtime!C36</f>
        <v>93</v>
      </c>
      <c r="E36" s="5">
        <v>19660</v>
      </c>
      <c r="F36" s="28">
        <f>'LT GF'!G134-Overtime!E36</f>
        <v>9</v>
      </c>
      <c r="G36" s="5">
        <v>11954</v>
      </c>
      <c r="H36" s="28">
        <f>'LT GF'!K134-Overtime!G36</f>
        <v>37</v>
      </c>
      <c r="I36" s="13">
        <v>23344</v>
      </c>
      <c r="J36" s="28">
        <f>'LT GF'!O134-Overtime!I36</f>
        <v>31</v>
      </c>
      <c r="K36" s="5">
        <v>4053</v>
      </c>
      <c r="L36" s="28">
        <f>'LT GF'!Q134-Overtime!K36</f>
        <v>1</v>
      </c>
      <c r="M36" s="5">
        <v>10017</v>
      </c>
      <c r="N36" s="28">
        <f>'LT GF'!U134-Overtime!M36</f>
        <v>22</v>
      </c>
      <c r="O36" s="5">
        <v>50587</v>
      </c>
      <c r="P36" s="6">
        <f>'LT FF'!C134-Overtime!O36</f>
        <v>200</v>
      </c>
      <c r="Q36" s="5">
        <v>7456</v>
      </c>
      <c r="R36" s="6">
        <f>'LT FF'!E134-Overtime!Q36</f>
        <v>55</v>
      </c>
      <c r="S36" s="5">
        <v>24408</v>
      </c>
      <c r="T36" s="6">
        <f>'LT FF'!G134-Overtime!S36</f>
        <v>87</v>
      </c>
      <c r="U36" s="5">
        <v>1245</v>
      </c>
      <c r="V36" s="6">
        <f>'LT FF'!K134-Overtime!U36</f>
        <v>19</v>
      </c>
      <c r="W36" s="5">
        <v>25598</v>
      </c>
      <c r="X36" s="6">
        <f>'LT FF'!O134-Overtime!W36</f>
        <v>137</v>
      </c>
      <c r="Y36" s="5">
        <v>5541</v>
      </c>
      <c r="Z36" s="6">
        <f>'LT FF'!Q134-Overtime!Y36</f>
        <v>20</v>
      </c>
      <c r="AA36" s="5">
        <v>8553</v>
      </c>
      <c r="AB36" s="6">
        <f>'LT FF'!U134-Overtime!AA36</f>
        <v>73</v>
      </c>
      <c r="AC36" s="27">
        <v>83935</v>
      </c>
      <c r="AD36" s="28">
        <f>'LT 2F'!C134-Overtime!AC36</f>
        <v>0</v>
      </c>
      <c r="AE36" s="27">
        <v>12832</v>
      </c>
      <c r="AF36" s="28">
        <f>'LT 2F'!E134-Overtime!AE36</f>
        <v>0</v>
      </c>
      <c r="AG36" s="27">
        <v>29698</v>
      </c>
      <c r="AH36" s="28">
        <f>'LT 2F'!G134-Overtime!AG36</f>
        <v>1</v>
      </c>
      <c r="AI36" s="27">
        <v>26009</v>
      </c>
      <c r="AJ36" s="28">
        <f>'LT 2F'!K134-Overtime!AI36</f>
        <v>2</v>
      </c>
      <c r="AK36" s="27">
        <v>37212</v>
      </c>
      <c r="AL36" s="28">
        <f>'LT 2F'!O134-Overtime!AK36</f>
        <v>0</v>
      </c>
      <c r="AM36" s="27">
        <v>6228</v>
      </c>
      <c r="AN36" s="28">
        <f>'LT 2F'!Q134-Overtime!AM36</f>
        <v>0</v>
      </c>
      <c r="AO36" s="27"/>
      <c r="AP36" s="28">
        <v>0</v>
      </c>
      <c r="AQ36" s="27">
        <v>150174</v>
      </c>
      <c r="AR36" s="28">
        <f>'LT-Wshng'!D134-Overtime!AQ36</f>
        <v>412</v>
      </c>
      <c r="AS36" s="27"/>
      <c r="AT36" s="28" t="str">
        <f t="shared" si="0"/>
        <v/>
      </c>
      <c r="AU36" s="27">
        <v>32278</v>
      </c>
      <c r="AV36" s="28">
        <f>'LT-Wshng'!N134-Overtime!AU36</f>
        <v>42</v>
      </c>
      <c r="AW36" s="27">
        <v>12510</v>
      </c>
      <c r="AX36" s="28">
        <f>'LT-Wshng'!P134-Overtime!AW36</f>
        <v>30</v>
      </c>
      <c r="AY36" s="27"/>
      <c r="AZ36" s="28" t="str">
        <f t="shared" si="1"/>
        <v/>
      </c>
      <c r="BA36" s="29">
        <v>63793</v>
      </c>
      <c r="BB36" s="28">
        <f>'LT-Wshng'!T134-Overtime!BA36</f>
        <v>67</v>
      </c>
      <c r="BC36" s="27">
        <v>11972</v>
      </c>
      <c r="BD36" s="28">
        <f>'LT-Wshng'!V134-Overtime!BC36</f>
        <v>18</v>
      </c>
      <c r="BE36" s="27">
        <v>7833</v>
      </c>
      <c r="BF36" s="28">
        <f>'LT-Wshng'!AB134-Overtime!BE36</f>
        <v>0</v>
      </c>
      <c r="BG36" s="27">
        <v>7613</v>
      </c>
      <c r="BH36" s="28">
        <f>'LT-Wshng'!AD134-Overtime!BG36</f>
        <v>0</v>
      </c>
    </row>
    <row r="37" spans="1:60" ht="21" customHeight="1" x14ac:dyDescent="0.35">
      <c r="A37" s="202" t="s">
        <v>128</v>
      </c>
      <c r="B37" s="203"/>
      <c r="C37" s="5"/>
      <c r="D37" s="88">
        <f>SUM(D6:D36)</f>
        <v>2239</v>
      </c>
      <c r="E37" s="5"/>
      <c r="F37" s="88">
        <f>SUM(F6:F36)</f>
        <v>233</v>
      </c>
      <c r="G37" s="5"/>
      <c r="H37" s="88">
        <f>SUM(H6:H36)</f>
        <v>944</v>
      </c>
      <c r="I37" s="13"/>
      <c r="J37" s="88">
        <f>SUM(J6:J36)</f>
        <v>818</v>
      </c>
      <c r="K37" s="5"/>
      <c r="L37" s="88">
        <f>SUM(L6:L36)</f>
        <v>88</v>
      </c>
      <c r="M37" s="5"/>
      <c r="N37" s="88">
        <f>SUM(N6:N36)</f>
        <v>582</v>
      </c>
      <c r="O37" s="33"/>
      <c r="P37" s="6">
        <f>SUM(P6:P36)</f>
        <v>868</v>
      </c>
      <c r="Q37" s="86"/>
      <c r="R37" s="6">
        <f>SUM(R6:R36)</f>
        <v>144</v>
      </c>
      <c r="S37" s="86"/>
      <c r="T37" s="6">
        <f>SUM(T6:T36)</f>
        <v>195</v>
      </c>
      <c r="U37" s="86"/>
      <c r="V37" s="6">
        <f>SUM(V6:V36)</f>
        <v>162</v>
      </c>
      <c r="W37" s="86"/>
      <c r="X37" s="6">
        <f>SUM(X6:X36)</f>
        <v>749</v>
      </c>
      <c r="Y37" s="86"/>
      <c r="Z37" s="6">
        <f>SUM(Z6:Z36)</f>
        <v>200</v>
      </c>
      <c r="AA37" s="86"/>
      <c r="AB37" s="6">
        <f>SUM(AB6:AB36)</f>
        <v>241</v>
      </c>
      <c r="AC37" s="27"/>
      <c r="AD37" s="88">
        <f>SUM(AD6:AD36)</f>
        <v>1357</v>
      </c>
      <c r="AE37" s="27"/>
      <c r="AF37" s="88">
        <f>SUM(AF6:AF36)</f>
        <v>196</v>
      </c>
      <c r="AG37" s="27"/>
      <c r="AH37" s="88">
        <f>SUM(AH6:AH36)</f>
        <v>208</v>
      </c>
      <c r="AI37" s="27"/>
      <c r="AJ37" s="88">
        <f>SUM(AJ6:AJ36)</f>
        <v>470</v>
      </c>
      <c r="AK37" s="27"/>
      <c r="AL37" s="88">
        <f>SUM(AL6:AL36)</f>
        <v>1059</v>
      </c>
      <c r="AM37" s="27"/>
      <c r="AN37" s="88">
        <f>SUM(AN6:AN36)</f>
        <v>129</v>
      </c>
      <c r="AO37" s="27"/>
      <c r="AP37" s="88">
        <f>SUM(AP6:AP36)</f>
        <v>0</v>
      </c>
      <c r="AQ37" s="27"/>
      <c r="AR37" s="88">
        <f>SUM(AR6:AR36)</f>
        <v>8037</v>
      </c>
      <c r="AS37" s="27"/>
      <c r="AT37" s="88">
        <f>SUM(AR37:AS37)</f>
        <v>8037</v>
      </c>
      <c r="AU37" s="27"/>
      <c r="AV37" s="88">
        <f>SUM(AV6:AV36)</f>
        <v>804</v>
      </c>
      <c r="AW37" s="27"/>
      <c r="AX37" s="88">
        <f>SUM(AX6:AX36)</f>
        <v>652</v>
      </c>
      <c r="AY37" s="27"/>
      <c r="AZ37" s="88">
        <f>SUM(AX37:AY37)</f>
        <v>652</v>
      </c>
      <c r="BA37" s="29"/>
      <c r="BB37" s="88">
        <f>SUM(BB6:BB36)</f>
        <v>1382</v>
      </c>
      <c r="BC37" s="27"/>
      <c r="BD37" s="88">
        <f>SUM(BD6:BD36)</f>
        <v>363</v>
      </c>
      <c r="BE37" s="27"/>
      <c r="BF37" s="88">
        <f>SUM(BF6:BF36)</f>
        <v>0</v>
      </c>
      <c r="BG37" s="27"/>
      <c r="BH37" s="88">
        <f>SUM(BH6:BH36)</f>
        <v>0</v>
      </c>
    </row>
    <row r="38" spans="1:60" x14ac:dyDescent="0.3">
      <c r="A38" s="9" t="s">
        <v>70</v>
      </c>
      <c r="B38" s="33">
        <v>45962</v>
      </c>
      <c r="C38" s="5">
        <v>64102</v>
      </c>
      <c r="D38" s="28">
        <f>'LT GF'!C136-Overtime!C38</f>
        <v>0</v>
      </c>
      <c r="E38" s="5">
        <v>19669</v>
      </c>
      <c r="F38" s="28">
        <f>'LT GF'!G136-Overtime!E38</f>
        <v>0</v>
      </c>
      <c r="G38" s="5">
        <v>11991</v>
      </c>
      <c r="H38" s="28">
        <f>'LT GF'!K136-Overtime!G38</f>
        <v>0</v>
      </c>
      <c r="I38" s="13">
        <v>23375</v>
      </c>
      <c r="J38" s="28">
        <f>'LT GF'!O136-Overtime!I38</f>
        <v>0</v>
      </c>
      <c r="K38" s="5">
        <v>4054</v>
      </c>
      <c r="L38" s="28">
        <f>'LT GF'!Q136-Overtime!K38</f>
        <v>0</v>
      </c>
      <c r="M38" s="5">
        <v>10039</v>
      </c>
      <c r="N38" s="28">
        <f>'LT GF'!U136-Overtime!M38</f>
        <v>0</v>
      </c>
      <c r="O38" s="5">
        <v>50787</v>
      </c>
      <c r="P38" s="6">
        <f>'LT FF'!C136-Overtime!O38</f>
        <v>0</v>
      </c>
      <c r="Q38" s="5">
        <v>7511</v>
      </c>
      <c r="R38" s="6">
        <f>'LT FF'!E136-Overtime!Q38</f>
        <v>0</v>
      </c>
      <c r="S38" s="5">
        <v>24495</v>
      </c>
      <c r="T38" s="6">
        <f>'LT FF'!G136-Overtime!S38</f>
        <v>0</v>
      </c>
      <c r="U38" s="5">
        <v>1264</v>
      </c>
      <c r="V38" s="6">
        <f>'LT FF'!K136-Overtime!U38</f>
        <v>0</v>
      </c>
      <c r="W38" s="5">
        <v>25735</v>
      </c>
      <c r="X38" s="6">
        <f>'LT FF'!O136-Overtime!W38</f>
        <v>0</v>
      </c>
      <c r="Y38" s="5">
        <v>5561</v>
      </c>
      <c r="Z38" s="6">
        <f>'LT FF'!Q136-Overtime!Y38</f>
        <v>0</v>
      </c>
      <c r="AA38" s="5">
        <v>8626</v>
      </c>
      <c r="AB38" s="6">
        <f>'LT FF'!U136-Overtime!AA38</f>
        <v>0</v>
      </c>
      <c r="AC38" s="27">
        <v>83935</v>
      </c>
      <c r="AD38" s="28">
        <f>'LT 2F'!C136-Overtime!AC38</f>
        <v>0</v>
      </c>
      <c r="AE38" s="27">
        <v>12832</v>
      </c>
      <c r="AF38" s="28">
        <f>'LT 2F'!E136-Overtime!AE38</f>
        <v>0</v>
      </c>
      <c r="AG38" s="27">
        <v>29699</v>
      </c>
      <c r="AH38" s="28">
        <f>'LT 2F'!G136-Overtime!AG38</f>
        <v>0</v>
      </c>
      <c r="AI38" s="27">
        <v>26011</v>
      </c>
      <c r="AJ38" s="28">
        <f>'LT 2F'!K136-Overtime!AI38</f>
        <v>0</v>
      </c>
      <c r="AK38" s="27">
        <v>37212</v>
      </c>
      <c r="AL38" s="28">
        <f>'LT 2F'!O136-Overtime!AK38</f>
        <v>0</v>
      </c>
      <c r="AM38" s="27">
        <v>6228</v>
      </c>
      <c r="AN38" s="28">
        <f>'LT 2F'!Q136-Overtime!AM38</f>
        <v>0</v>
      </c>
      <c r="AO38" s="27"/>
      <c r="AP38" s="28">
        <v>0</v>
      </c>
      <c r="AQ38" s="27">
        <v>150586</v>
      </c>
      <c r="AR38" s="28">
        <f>'LT-Wshng'!D136-Overtime!AQ38</f>
        <v>0</v>
      </c>
      <c r="AS38" s="27"/>
      <c r="AT38" s="28" t="str">
        <f>IF(AS39&lt;&gt;"",AS39-AS38,"")</f>
        <v/>
      </c>
      <c r="AU38" s="27">
        <v>32320</v>
      </c>
      <c r="AV38" s="28">
        <f>'LT-Wshng'!N136-Overtime!AU38</f>
        <v>0</v>
      </c>
      <c r="AW38" s="27">
        <v>12540</v>
      </c>
      <c r="AX38" s="28">
        <f>'LT-Wshng'!P136-Overtime!AW38</f>
        <v>0</v>
      </c>
      <c r="AY38" s="27"/>
      <c r="AZ38" s="28" t="str">
        <f>IF(AY39&lt;&gt;"",AY39-AY38,"")</f>
        <v/>
      </c>
      <c r="BA38" s="29">
        <v>63860</v>
      </c>
      <c r="BB38" s="28">
        <f>'LT-Wshng'!T136-Overtime!BA38</f>
        <v>0</v>
      </c>
      <c r="BC38" s="27">
        <v>11990</v>
      </c>
      <c r="BD38" s="28">
        <f>'LT-Wshng'!V136-Overtime!BC38</f>
        <v>0</v>
      </c>
      <c r="BE38" s="27">
        <v>7833</v>
      </c>
      <c r="BF38" s="28">
        <f>'LT-Wshng'!AB136-Overtime!BE38</f>
        <v>0</v>
      </c>
      <c r="BG38" s="27">
        <v>7613</v>
      </c>
      <c r="BH38" s="28">
        <f>'LT-Wshng'!AD136-Overtime!BG38</f>
        <v>0</v>
      </c>
    </row>
    <row r="39" spans="1:60" x14ac:dyDescent="0.3">
      <c r="A39" s="9" t="s">
        <v>71</v>
      </c>
      <c r="B39" s="33">
        <v>45963</v>
      </c>
      <c r="C39" s="5">
        <v>64590</v>
      </c>
      <c r="D39" s="28">
        <f>'LT GF'!C137-Overtime!C39</f>
        <v>0</v>
      </c>
      <c r="E39" s="5">
        <v>19731</v>
      </c>
      <c r="F39" s="28">
        <f>'LT GF'!G137-Overtime!E39</f>
        <v>0</v>
      </c>
      <c r="G39" s="5">
        <v>12130</v>
      </c>
      <c r="H39" s="28">
        <f>'LT GF'!K137-Overtime!G39</f>
        <v>0</v>
      </c>
      <c r="I39" s="13">
        <v>23573</v>
      </c>
      <c r="J39" s="28">
        <f>'LT GF'!O137-Overtime!I39</f>
        <v>0</v>
      </c>
      <c r="K39" s="5">
        <v>4060</v>
      </c>
      <c r="L39" s="28">
        <f>'LT GF'!Q137-Overtime!K39</f>
        <v>0</v>
      </c>
      <c r="M39" s="5">
        <v>10178</v>
      </c>
      <c r="N39" s="28">
        <f>'LT GF'!U137-Overtime!M39</f>
        <v>0</v>
      </c>
      <c r="O39" s="5">
        <v>50958</v>
      </c>
      <c r="P39" s="6">
        <f>'LT FF'!C137-Overtime!O39</f>
        <v>0</v>
      </c>
      <c r="Q39" s="5">
        <v>7547</v>
      </c>
      <c r="R39" s="6">
        <f>'LT FF'!E137-Overtime!Q39</f>
        <v>0</v>
      </c>
      <c r="S39" s="5">
        <v>24580</v>
      </c>
      <c r="T39" s="6">
        <f>'LT FF'!G137-Overtime!S39</f>
        <v>0</v>
      </c>
      <c r="U39" s="5">
        <v>1275</v>
      </c>
      <c r="V39" s="6">
        <f>'LT FF'!K137-Overtime!U39</f>
        <v>0</v>
      </c>
      <c r="W39" s="13">
        <v>25879</v>
      </c>
      <c r="X39" s="6">
        <f>'LT FF'!O137-Overtime!W39</f>
        <v>0</v>
      </c>
      <c r="Y39" s="5">
        <v>5582</v>
      </c>
      <c r="Z39" s="6">
        <f>'LT FF'!Q137-Overtime!Y39</f>
        <v>0</v>
      </c>
      <c r="AA39" s="5">
        <v>8700</v>
      </c>
      <c r="AB39" s="6">
        <f>'LT FF'!U137-Overtime!AA39</f>
        <v>0</v>
      </c>
      <c r="AC39" s="27">
        <v>84459</v>
      </c>
      <c r="AD39" s="28">
        <f>'LT 2F'!C137-Overtime!AC39</f>
        <v>0</v>
      </c>
      <c r="AE39" s="27">
        <v>12956</v>
      </c>
      <c r="AF39" s="28">
        <f>'LT 2F'!E137-Overtime!AE39</f>
        <v>0</v>
      </c>
      <c r="AG39" s="27">
        <v>29809</v>
      </c>
      <c r="AH39" s="28">
        <f>'LT 2F'!G137-Overtime!AG39</f>
        <v>0</v>
      </c>
      <c r="AI39" s="27">
        <v>26217</v>
      </c>
      <c r="AJ39" s="28">
        <f>'LT 2F'!K137-Overtime!AI39</f>
        <v>0</v>
      </c>
      <c r="AK39" s="29">
        <v>37463</v>
      </c>
      <c r="AL39" s="28">
        <f>'LT 2F'!O137-Overtime!AK39</f>
        <v>0</v>
      </c>
      <c r="AM39" s="27">
        <v>6290</v>
      </c>
      <c r="AN39" s="28">
        <f>'LT 2F'!Q137-Overtime!AM39</f>
        <v>0</v>
      </c>
      <c r="AO39" s="27"/>
      <c r="AP39" s="28">
        <v>0</v>
      </c>
      <c r="AQ39" s="27">
        <v>152483</v>
      </c>
      <c r="AR39" s="28">
        <f>'LT-Wshng'!D137-Overtime!AQ39</f>
        <v>0</v>
      </c>
      <c r="AS39" s="27"/>
      <c r="AT39" s="28" t="str">
        <f t="shared" ref="AT39:AT68" si="2">IF(AS40&lt;&gt;"",AS40-AS39,"")</f>
        <v/>
      </c>
      <c r="AU39" s="27">
        <v>32533</v>
      </c>
      <c r="AV39" s="28">
        <f>'LT-Wshng'!N137-Overtime!AU39</f>
        <v>0</v>
      </c>
      <c r="AW39" s="27">
        <v>12669</v>
      </c>
      <c r="AX39" s="28">
        <f>'LT-Wshng'!P137-Overtime!AW39</f>
        <v>0</v>
      </c>
      <c r="AY39" s="27"/>
      <c r="AZ39" s="28" t="str">
        <f t="shared" ref="AZ39:AZ68" si="3">IF(AY40&lt;&gt;"",AY40-AY39,"")</f>
        <v/>
      </c>
      <c r="BA39" s="29">
        <v>64399</v>
      </c>
      <c r="BB39" s="28">
        <f>'LT-Wshng'!T137-Overtime!BA39</f>
        <v>0</v>
      </c>
      <c r="BC39" s="27">
        <v>12085</v>
      </c>
      <c r="BD39" s="28">
        <f>'LT-Wshng'!V137-Overtime!BC39</f>
        <v>0</v>
      </c>
      <c r="BE39" s="27">
        <v>7833</v>
      </c>
      <c r="BF39" s="28">
        <f>'LT-Wshng'!AB137-Overtime!BE39</f>
        <v>0</v>
      </c>
      <c r="BG39" s="27">
        <v>7613</v>
      </c>
      <c r="BH39" s="28">
        <f>'LT-Wshng'!AD137-Overtime!BG39</f>
        <v>0</v>
      </c>
    </row>
    <row r="40" spans="1:60" x14ac:dyDescent="0.3">
      <c r="A40" s="9" t="s">
        <v>72</v>
      </c>
      <c r="B40" s="33">
        <v>45964</v>
      </c>
      <c r="C40" s="5">
        <v>64597</v>
      </c>
      <c r="D40" s="28">
        <f>'LT GF'!C138-Overtime!C40</f>
        <v>0</v>
      </c>
      <c r="E40" s="5">
        <v>19732</v>
      </c>
      <c r="F40" s="28">
        <f>'LT GF'!G138-Overtime!E40</f>
        <v>0</v>
      </c>
      <c r="G40" s="5">
        <v>12134</v>
      </c>
      <c r="H40" s="28">
        <f>'LT GF'!K138-Overtime!G40</f>
        <v>0</v>
      </c>
      <c r="I40" s="13">
        <v>23582</v>
      </c>
      <c r="J40" s="28">
        <f>'LT GF'!O138-Overtime!I40</f>
        <v>0</v>
      </c>
      <c r="K40" s="5">
        <v>4060</v>
      </c>
      <c r="L40" s="28">
        <f>'LT GF'!Q138-Overtime!K40</f>
        <v>0</v>
      </c>
      <c r="M40" s="5">
        <v>10179</v>
      </c>
      <c r="N40" s="28">
        <f>'LT GF'!U138-Overtime!M40</f>
        <v>0</v>
      </c>
      <c r="O40" s="5">
        <v>50978</v>
      </c>
      <c r="P40" s="6">
        <f>'LT FF'!C138-Overtime!O40</f>
        <v>0</v>
      </c>
      <c r="Q40" s="5">
        <v>7547</v>
      </c>
      <c r="R40" s="6">
        <f>'LT FF'!E138-Overtime!Q40</f>
        <v>0</v>
      </c>
      <c r="S40" s="5">
        <v>24580</v>
      </c>
      <c r="T40" s="6">
        <f>'LT FF'!G138-Overtime!S40</f>
        <v>0</v>
      </c>
      <c r="U40" s="5">
        <v>1275</v>
      </c>
      <c r="V40" s="6">
        <f>'LT FF'!K138-Overtime!U40</f>
        <v>0</v>
      </c>
      <c r="W40" s="5">
        <v>25906</v>
      </c>
      <c r="X40" s="6">
        <f>'LT FF'!O138-Overtime!W40</f>
        <v>0</v>
      </c>
      <c r="Y40" s="5">
        <v>5582</v>
      </c>
      <c r="Z40" s="6">
        <f>'LT FF'!Q138-Overtime!Y40</f>
        <v>0</v>
      </c>
      <c r="AA40" s="5">
        <v>8701</v>
      </c>
      <c r="AB40" s="6">
        <f>'LT FF'!U138-Overtime!AA40</f>
        <v>0</v>
      </c>
      <c r="AC40" s="27">
        <v>84474</v>
      </c>
      <c r="AD40" s="28">
        <f>'LT 2F'!C138-Overtime!AC40</f>
        <v>0</v>
      </c>
      <c r="AE40" s="27">
        <v>12956</v>
      </c>
      <c r="AF40" s="28">
        <f>'LT 2F'!E138-Overtime!AE40</f>
        <v>0</v>
      </c>
      <c r="AG40" s="27">
        <v>29809</v>
      </c>
      <c r="AH40" s="28">
        <f>'LT 2F'!G138-Overtime!AG40</f>
        <v>0</v>
      </c>
      <c r="AI40" s="27">
        <v>26217</v>
      </c>
      <c r="AJ40" s="28">
        <f>'LT 2F'!K138-Overtime!AI40</f>
        <v>0</v>
      </c>
      <c r="AK40" s="27">
        <v>37474</v>
      </c>
      <c r="AL40" s="28">
        <f>'LT 2F'!O138-Overtime!AK40</f>
        <v>0</v>
      </c>
      <c r="AM40" s="27">
        <v>6290</v>
      </c>
      <c r="AN40" s="28">
        <f>'LT 2F'!Q138-Overtime!AM40</f>
        <v>0</v>
      </c>
      <c r="AO40" s="27"/>
      <c r="AP40" s="28">
        <v>0</v>
      </c>
      <c r="AQ40" s="27">
        <v>152487</v>
      </c>
      <c r="AR40" s="28">
        <f>'LT-Wshng'!D138-Overtime!AQ40</f>
        <v>0</v>
      </c>
      <c r="AS40" s="27"/>
      <c r="AT40" s="28" t="str">
        <f t="shared" si="2"/>
        <v/>
      </c>
      <c r="AU40" s="27">
        <v>32542</v>
      </c>
      <c r="AV40" s="28">
        <f>'LT-Wshng'!N138-Overtime!AU40</f>
        <v>0</v>
      </c>
      <c r="AW40" s="27">
        <v>12673</v>
      </c>
      <c r="AX40" s="28">
        <f>'LT-Wshng'!P138-Overtime!AW40</f>
        <v>0</v>
      </c>
      <c r="AY40" s="27"/>
      <c r="AZ40" s="28" t="str">
        <f t="shared" si="3"/>
        <v/>
      </c>
      <c r="BA40" s="29">
        <v>64401</v>
      </c>
      <c r="BB40" s="28">
        <f>'LT-Wshng'!T138-Overtime!BA40</f>
        <v>0</v>
      </c>
      <c r="BC40" s="27">
        <v>12092</v>
      </c>
      <c r="BD40" s="28">
        <f>'LT-Wshng'!V138-Overtime!BC40</f>
        <v>0</v>
      </c>
      <c r="BE40" s="27">
        <v>7935</v>
      </c>
      <c r="BF40" s="28">
        <f>'LT-Wshng'!AB138-Overtime!BE40</f>
        <v>0</v>
      </c>
      <c r="BG40" s="27">
        <v>7724</v>
      </c>
      <c r="BH40" s="28">
        <f>'LT-Wshng'!AD138-Overtime!BG40</f>
        <v>0</v>
      </c>
    </row>
    <row r="41" spans="1:60" x14ac:dyDescent="0.3">
      <c r="A41" s="9" t="s">
        <v>66</v>
      </c>
      <c r="B41" s="33">
        <v>45965</v>
      </c>
      <c r="C41" s="5">
        <v>65133</v>
      </c>
      <c r="D41" s="28">
        <f>'LT GF'!C139-Overtime!C41</f>
        <v>0</v>
      </c>
      <c r="E41" s="5">
        <v>19772</v>
      </c>
      <c r="F41" s="28">
        <f>'LT GF'!G139-Overtime!E41</f>
        <v>20</v>
      </c>
      <c r="G41" s="5">
        <v>12261</v>
      </c>
      <c r="H41" s="28">
        <f>'LT GF'!K139-Overtime!G41</f>
        <v>0</v>
      </c>
      <c r="I41" s="13">
        <v>23788</v>
      </c>
      <c r="J41" s="28">
        <f>'LT GF'!O139-Overtime!I41</f>
        <v>0</v>
      </c>
      <c r="K41" s="5">
        <v>4078</v>
      </c>
      <c r="L41" s="28">
        <f>'LT GF'!Q139-Overtime!K41</f>
        <v>0</v>
      </c>
      <c r="M41" s="5">
        <v>10308</v>
      </c>
      <c r="N41" s="28">
        <f>'LT GF'!U139-Overtime!M41</f>
        <v>0</v>
      </c>
      <c r="O41" s="5">
        <v>51166</v>
      </c>
      <c r="P41" s="6">
        <f>'LT FF'!C139-Overtime!O41</f>
        <v>0</v>
      </c>
      <c r="Q41" s="5">
        <v>7602</v>
      </c>
      <c r="R41" s="6">
        <f>'LT FF'!E139-Overtime!Q41</f>
        <v>0</v>
      </c>
      <c r="S41" s="5">
        <v>24654</v>
      </c>
      <c r="T41" s="6">
        <f>'LT FF'!G139-Overtime!S41</f>
        <v>0</v>
      </c>
      <c r="U41" s="5">
        <v>1288</v>
      </c>
      <c r="V41" s="6">
        <f>'LT FF'!K139-Overtime!U41</f>
        <v>0</v>
      </c>
      <c r="W41" s="5">
        <v>26067</v>
      </c>
      <c r="X41" s="6">
        <f>'LT FF'!O139-Overtime!W41</f>
        <v>0</v>
      </c>
      <c r="Y41" s="5">
        <v>5607</v>
      </c>
      <c r="Z41" s="6">
        <f>'LT FF'!Q139-Overtime!Y41</f>
        <v>0</v>
      </c>
      <c r="AA41" s="5">
        <v>8789</v>
      </c>
      <c r="AB41" s="6">
        <f>'LT FF'!U139-Overtime!AA41</f>
        <v>0</v>
      </c>
      <c r="AC41" s="27">
        <v>84954</v>
      </c>
      <c r="AD41" s="28">
        <f>'LT 2F'!C139-Overtime!AC41</f>
        <v>0</v>
      </c>
      <c r="AE41" s="27">
        <v>13070</v>
      </c>
      <c r="AF41" s="28">
        <f>'LT 2F'!E139-Overtime!AE41</f>
        <v>0</v>
      </c>
      <c r="AG41" s="27">
        <v>29879</v>
      </c>
      <c r="AH41" s="28">
        <f>'LT 2F'!G139-Overtime!AG41</f>
        <v>0</v>
      </c>
      <c r="AI41" s="27">
        <v>26441</v>
      </c>
      <c r="AJ41" s="28">
        <f>'LT 2F'!K139-Overtime!AI41</f>
        <v>0</v>
      </c>
      <c r="AK41" s="27">
        <v>37720</v>
      </c>
      <c r="AL41" s="28">
        <f>'LT 2F'!O139-Overtime!AK41</f>
        <v>0</v>
      </c>
      <c r="AM41" s="27">
        <v>6329</v>
      </c>
      <c r="AN41" s="28">
        <f>'LT 2F'!Q139-Overtime!AM41</f>
        <v>0</v>
      </c>
      <c r="AO41" s="27"/>
      <c r="AP41" s="28">
        <v>0</v>
      </c>
      <c r="AQ41" s="27">
        <v>154497</v>
      </c>
      <c r="AR41" s="28">
        <f>'LT-Wshng'!D139-Overtime!AQ41</f>
        <v>0</v>
      </c>
      <c r="AS41" s="27"/>
      <c r="AT41" s="28" t="str">
        <f t="shared" si="2"/>
        <v/>
      </c>
      <c r="AU41" s="27">
        <v>32757</v>
      </c>
      <c r="AV41" s="28">
        <f>'LT-Wshng'!N139-Overtime!AU41</f>
        <v>0</v>
      </c>
      <c r="AW41" s="27">
        <v>12850</v>
      </c>
      <c r="AX41" s="28">
        <f>'LT-Wshng'!P139-Overtime!AW41</f>
        <v>0</v>
      </c>
      <c r="AY41" s="27"/>
      <c r="AZ41" s="28" t="str">
        <f t="shared" si="3"/>
        <v/>
      </c>
      <c r="BA41" s="29">
        <v>64972</v>
      </c>
      <c r="BB41" s="28">
        <f>'LT-Wshng'!T139-Overtime!BA41</f>
        <v>0</v>
      </c>
      <c r="BC41" s="27">
        <v>12202</v>
      </c>
      <c r="BD41" s="28">
        <f>'LT-Wshng'!V139-Overtime!BC41</f>
        <v>0</v>
      </c>
      <c r="BE41" s="27">
        <v>8052</v>
      </c>
      <c r="BF41" s="28">
        <f>'LT-Wshng'!AB139-Overtime!BE41</f>
        <v>0</v>
      </c>
      <c r="BG41" s="27">
        <v>7839</v>
      </c>
      <c r="BH41" s="28">
        <f>'LT-Wshng'!AD139-Overtime!BG41</f>
        <v>0</v>
      </c>
    </row>
    <row r="42" spans="1:60" x14ac:dyDescent="0.3">
      <c r="A42" s="9" t="s">
        <v>67</v>
      </c>
      <c r="B42" s="33">
        <v>45966</v>
      </c>
      <c r="C42" s="5">
        <v>65583</v>
      </c>
      <c r="D42" s="28">
        <f>'LT GF'!C140-Overtime!C42</f>
        <v>32</v>
      </c>
      <c r="E42" s="5">
        <v>19849</v>
      </c>
      <c r="F42" s="28">
        <f>'LT GF'!G140-Overtime!E42</f>
        <v>0</v>
      </c>
      <c r="G42" s="5">
        <v>12346</v>
      </c>
      <c r="H42" s="28">
        <f>'LT GF'!K140-Overtime!G42</f>
        <v>47</v>
      </c>
      <c r="I42" s="13">
        <v>24038</v>
      </c>
      <c r="J42" s="28">
        <f>'LT GF'!O140-Overtime!I42</f>
        <v>19</v>
      </c>
      <c r="K42" s="5">
        <v>4179</v>
      </c>
      <c r="L42" s="28">
        <f>'LT GF'!Q140-Overtime!K42</f>
        <v>4</v>
      </c>
      <c r="M42" s="5">
        <v>10425</v>
      </c>
      <c r="N42" s="28">
        <f>'LT GF'!U140-Overtime!M42</f>
        <v>10</v>
      </c>
      <c r="O42" s="5">
        <v>51344</v>
      </c>
      <c r="P42" s="6">
        <f>'LT FF'!C140-Overtime!O42</f>
        <v>0</v>
      </c>
      <c r="Q42" s="5">
        <v>7674</v>
      </c>
      <c r="R42" s="6">
        <f>'LT FF'!E140-Overtime!Q42</f>
        <v>0</v>
      </c>
      <c r="S42" s="5">
        <v>24717</v>
      </c>
      <c r="T42" s="6">
        <f>'LT FF'!G140-Overtime!S42</f>
        <v>0</v>
      </c>
      <c r="U42" s="5">
        <v>1302</v>
      </c>
      <c r="V42" s="6">
        <f>'LT FF'!K140-Overtime!U42</f>
        <v>0</v>
      </c>
      <c r="W42" s="5">
        <v>26197</v>
      </c>
      <c r="X42" s="6">
        <f>'LT FF'!O140-Overtime!W42</f>
        <v>12</v>
      </c>
      <c r="Y42" s="5">
        <v>5636</v>
      </c>
      <c r="Z42" s="6">
        <f>'LT FF'!Q140-Overtime!Y42</f>
        <v>0</v>
      </c>
      <c r="AA42" s="5">
        <v>8867</v>
      </c>
      <c r="AB42" s="6">
        <f>'LT FF'!U140-Overtime!AA42</f>
        <v>7</v>
      </c>
      <c r="AC42" s="27">
        <v>85410</v>
      </c>
      <c r="AD42" s="28">
        <f>'LT 2F'!C140-Overtime!AC42</f>
        <v>0</v>
      </c>
      <c r="AE42" s="27">
        <v>13187</v>
      </c>
      <c r="AF42" s="28">
        <f>'LT 2F'!E140-Overtime!AE42</f>
        <v>0</v>
      </c>
      <c r="AG42" s="27">
        <v>29962</v>
      </c>
      <c r="AH42" s="28">
        <f>'LT 2F'!G140-Overtime!AG42</f>
        <v>0</v>
      </c>
      <c r="AI42" s="27">
        <v>26647</v>
      </c>
      <c r="AJ42" s="28">
        <f>'LT 2F'!K140-Overtime!AI42</f>
        <v>0</v>
      </c>
      <c r="AK42" s="27">
        <v>37947</v>
      </c>
      <c r="AL42" s="28">
        <f>'LT 2F'!O140-Overtime!AK42</f>
        <v>0</v>
      </c>
      <c r="AM42" s="27">
        <v>6380</v>
      </c>
      <c r="AN42" s="28">
        <f>'LT 2F'!Q140-Overtime!AM42</f>
        <v>0</v>
      </c>
      <c r="AO42" s="27"/>
      <c r="AP42" s="28">
        <v>0</v>
      </c>
      <c r="AQ42" s="27">
        <v>156551</v>
      </c>
      <c r="AR42" s="28">
        <f>'LT-Wshng'!D140-Overtime!AQ42</f>
        <v>0</v>
      </c>
      <c r="AS42" s="27"/>
      <c r="AT42" s="28" t="str">
        <f t="shared" si="2"/>
        <v/>
      </c>
      <c r="AU42" s="27">
        <v>32879</v>
      </c>
      <c r="AV42" s="28">
        <f>'LT-Wshng'!N140-Overtime!AU42</f>
        <v>0</v>
      </c>
      <c r="AW42" s="27">
        <v>13021</v>
      </c>
      <c r="AX42" s="28">
        <f>'LT-Wshng'!P140-Overtime!AW42</f>
        <v>0</v>
      </c>
      <c r="AY42" s="27"/>
      <c r="AZ42" s="28" t="str">
        <f t="shared" si="3"/>
        <v/>
      </c>
      <c r="BA42" s="29">
        <v>65465</v>
      </c>
      <c r="BB42" s="28">
        <f>'LT-Wshng'!T140-Overtime!BA42</f>
        <v>0</v>
      </c>
      <c r="BC42" s="27">
        <v>12292</v>
      </c>
      <c r="BD42" s="28">
        <f>'LT-Wshng'!V140-Overtime!BC42</f>
        <v>0</v>
      </c>
      <c r="BE42" s="27">
        <v>8174</v>
      </c>
      <c r="BF42" s="28">
        <f>'LT-Wshng'!AB140-Overtime!BE42</f>
        <v>0</v>
      </c>
      <c r="BG42" s="27">
        <v>7948</v>
      </c>
      <c r="BH42" s="28">
        <f>'LT-Wshng'!AD140-Overtime!BG42</f>
        <v>0</v>
      </c>
    </row>
    <row r="43" spans="1:60" x14ac:dyDescent="0.3">
      <c r="A43" s="9" t="s">
        <v>68</v>
      </c>
      <c r="B43" s="33">
        <v>45967</v>
      </c>
      <c r="C43" s="5">
        <v>66036</v>
      </c>
      <c r="D43" s="28">
        <f>'LT GF'!C141-Overtime!C43</f>
        <v>26</v>
      </c>
      <c r="E43" s="5">
        <v>19876</v>
      </c>
      <c r="F43" s="28">
        <f>'LT GF'!G141-Overtime!E43</f>
        <v>0</v>
      </c>
      <c r="G43" s="5">
        <v>12473</v>
      </c>
      <c r="H43" s="28">
        <f>'LT GF'!K141-Overtime!G43</f>
        <v>52</v>
      </c>
      <c r="I43" s="13">
        <v>24303</v>
      </c>
      <c r="J43" s="28">
        <f>'LT GF'!O141-Overtime!I43</f>
        <v>14</v>
      </c>
      <c r="K43" s="5">
        <v>4297</v>
      </c>
      <c r="L43" s="28">
        <f>'LT GF'!Q141-Overtime!K43</f>
        <v>0</v>
      </c>
      <c r="M43" s="5">
        <v>10549</v>
      </c>
      <c r="N43" s="28">
        <f>'LT GF'!U141-Overtime!M43</f>
        <v>9</v>
      </c>
      <c r="O43" s="5">
        <v>51535</v>
      </c>
      <c r="P43" s="6">
        <f>'LT FF'!C141-Overtime!O43</f>
        <v>0</v>
      </c>
      <c r="Q43" s="5">
        <v>7748</v>
      </c>
      <c r="R43" s="6">
        <f>'LT FF'!E141-Overtime!Q43</f>
        <v>0</v>
      </c>
      <c r="S43" s="5">
        <v>24789</v>
      </c>
      <c r="T43" s="6">
        <f>'LT FF'!G141-Overtime!S43</f>
        <v>0</v>
      </c>
      <c r="U43" s="5">
        <v>1315</v>
      </c>
      <c r="V43" s="6">
        <f>'LT FF'!K141-Overtime!U43</f>
        <v>0</v>
      </c>
      <c r="W43" s="5">
        <v>26356</v>
      </c>
      <c r="X43" s="6">
        <f>'LT FF'!O141-Overtime!W43</f>
        <v>0</v>
      </c>
      <c r="Y43" s="5">
        <v>5670</v>
      </c>
      <c r="Z43" s="6">
        <f>'LT FF'!Q141-Overtime!Y43</f>
        <v>0</v>
      </c>
      <c r="AA43" s="5">
        <v>8960</v>
      </c>
      <c r="AB43" s="6">
        <f>'LT FF'!U141-Overtime!AA43</f>
        <v>0</v>
      </c>
      <c r="AC43" s="27">
        <v>85846</v>
      </c>
      <c r="AD43" s="28">
        <f>'LT 2F'!C141-Overtime!AC43</f>
        <v>0</v>
      </c>
      <c r="AE43" s="27">
        <v>13285</v>
      </c>
      <c r="AF43" s="28">
        <f>'LT 2F'!E141-Overtime!AE43</f>
        <v>0</v>
      </c>
      <c r="AG43" s="27">
        <v>30047</v>
      </c>
      <c r="AH43" s="28">
        <f>'LT 2F'!G141-Overtime!AG43</f>
        <v>0</v>
      </c>
      <c r="AI43" s="27">
        <v>26851</v>
      </c>
      <c r="AJ43" s="28">
        <f>'LT 2F'!K141-Overtime!AI43</f>
        <v>0</v>
      </c>
      <c r="AK43" s="27">
        <v>38165</v>
      </c>
      <c r="AL43" s="28">
        <f>'LT 2F'!O141-Overtime!AK43</f>
        <v>0</v>
      </c>
      <c r="AM43" s="27">
        <v>6426</v>
      </c>
      <c r="AN43" s="28">
        <f>'LT 2F'!Q141-Overtime!AM43</f>
        <v>0</v>
      </c>
      <c r="AO43" s="27"/>
      <c r="AP43" s="28">
        <v>0</v>
      </c>
      <c r="AQ43" s="27">
        <v>158431</v>
      </c>
      <c r="AR43" s="28">
        <f>'LT-Wshng'!D141-Overtime!AQ43</f>
        <v>0</v>
      </c>
      <c r="AS43" s="27"/>
      <c r="AT43" s="28" t="str">
        <f t="shared" si="2"/>
        <v/>
      </c>
      <c r="AU43" s="27">
        <v>33008</v>
      </c>
      <c r="AV43" s="28">
        <f>'LT-Wshng'!N141-Overtime!AU43</f>
        <v>0</v>
      </c>
      <c r="AW43" s="27">
        <v>13171</v>
      </c>
      <c r="AX43" s="28">
        <f>'LT-Wshng'!P141-Overtime!AW43</f>
        <v>0</v>
      </c>
      <c r="AY43" s="27"/>
      <c r="AZ43" s="28" t="str">
        <f t="shared" si="3"/>
        <v/>
      </c>
      <c r="BA43" s="29">
        <v>65911</v>
      </c>
      <c r="BB43" s="28">
        <f>'LT-Wshng'!T141-Overtime!BA43</f>
        <v>0</v>
      </c>
      <c r="BC43" s="27">
        <v>12411</v>
      </c>
      <c r="BD43" s="28">
        <f>'LT-Wshng'!V141-Overtime!BC43</f>
        <v>0</v>
      </c>
      <c r="BE43" s="27">
        <v>8255</v>
      </c>
      <c r="BF43" s="28">
        <f>'LT-Wshng'!AB141-Overtime!BE43</f>
        <v>0</v>
      </c>
      <c r="BG43" s="27">
        <v>8034</v>
      </c>
      <c r="BH43" s="28">
        <f>'LT-Wshng'!AD141-Overtime!BG43</f>
        <v>0</v>
      </c>
    </row>
    <row r="44" spans="1:60" x14ac:dyDescent="0.3">
      <c r="A44" s="9" t="s">
        <v>69</v>
      </c>
      <c r="B44" s="33">
        <v>45968</v>
      </c>
      <c r="C44" s="5">
        <v>66509</v>
      </c>
      <c r="D44" s="28">
        <f>'LT GF'!C142-Overtime!C44</f>
        <v>50</v>
      </c>
      <c r="E44" s="5">
        <v>19921</v>
      </c>
      <c r="F44" s="28">
        <f>'LT GF'!G142-Overtime!E44</f>
        <v>1</v>
      </c>
      <c r="G44" s="5">
        <v>12605</v>
      </c>
      <c r="H44" s="28">
        <f>'LT GF'!K142-Overtime!G44</f>
        <v>65</v>
      </c>
      <c r="I44" s="13">
        <v>24534</v>
      </c>
      <c r="J44" s="28">
        <f>'LT GF'!O142-Overtime!I44</f>
        <v>25</v>
      </c>
      <c r="K44" s="5">
        <v>4376</v>
      </c>
      <c r="L44" s="28">
        <f>'LT GF'!Q142-Overtime!K44</f>
        <v>2</v>
      </c>
      <c r="M44" s="5">
        <v>10681</v>
      </c>
      <c r="N44" s="28">
        <f>'LT GF'!U142-Overtime!M44</f>
        <v>18</v>
      </c>
      <c r="O44" s="5">
        <v>51735</v>
      </c>
      <c r="P44" s="6">
        <f>'LT FF'!C142-Overtime!O44</f>
        <v>0</v>
      </c>
      <c r="Q44" s="5">
        <v>7839</v>
      </c>
      <c r="R44" s="6">
        <f>'LT FF'!E142-Overtime!Q44</f>
        <v>0</v>
      </c>
      <c r="S44" s="5">
        <v>24861</v>
      </c>
      <c r="T44" s="6">
        <f>'LT FF'!G142-Overtime!S44</f>
        <v>0</v>
      </c>
      <c r="U44" s="5">
        <v>1328</v>
      </c>
      <c r="V44" s="6">
        <f>'LT FF'!K142-Overtime!U44</f>
        <v>0</v>
      </c>
      <c r="W44" s="5">
        <v>26516</v>
      </c>
      <c r="X44" s="6">
        <f>'LT FF'!O142-Overtime!W44</f>
        <v>0</v>
      </c>
      <c r="Y44" s="5">
        <v>5705</v>
      </c>
      <c r="Z44" s="6">
        <f>'LT FF'!Q142-Overtime!Y44</f>
        <v>0</v>
      </c>
      <c r="AA44" s="5">
        <v>9059</v>
      </c>
      <c r="AB44" s="6">
        <f>'LT FF'!U142-Overtime!AA44</f>
        <v>0</v>
      </c>
      <c r="AC44" s="27">
        <v>86180</v>
      </c>
      <c r="AD44" s="28">
        <f>'LT 2F'!C142-Overtime!AC44</f>
        <v>0</v>
      </c>
      <c r="AE44" s="27">
        <v>13368</v>
      </c>
      <c r="AF44" s="28">
        <f>'LT 2F'!E142-Overtime!AE44</f>
        <v>0</v>
      </c>
      <c r="AG44" s="27">
        <v>30050</v>
      </c>
      <c r="AH44" s="28">
        <f>'LT 2F'!G142-Overtime!AG44</f>
        <v>0</v>
      </c>
      <c r="AI44" s="27">
        <v>27061</v>
      </c>
      <c r="AJ44" s="28">
        <f>'LT 2F'!K142-Overtime!AI44</f>
        <v>0</v>
      </c>
      <c r="AK44" s="27">
        <v>38366</v>
      </c>
      <c r="AL44" s="28">
        <f>'LT 2F'!O142-Overtime!AK44</f>
        <v>0</v>
      </c>
      <c r="AM44" s="27">
        <v>6461</v>
      </c>
      <c r="AN44" s="28">
        <f>'LT 2F'!Q142-Overtime!AM44</f>
        <v>0</v>
      </c>
      <c r="AO44" s="27"/>
      <c r="AP44" s="28">
        <v>0</v>
      </c>
      <c r="AQ44" s="27">
        <v>160367</v>
      </c>
      <c r="AR44" s="28">
        <f>'LT-Wshng'!D142-Overtime!AQ44</f>
        <v>0</v>
      </c>
      <c r="AS44" s="27"/>
      <c r="AT44" s="28" t="str">
        <f t="shared" si="2"/>
        <v/>
      </c>
      <c r="AU44" s="27">
        <v>33137</v>
      </c>
      <c r="AV44" s="28">
        <f>'LT-Wshng'!N142-Overtime!AU44</f>
        <v>0</v>
      </c>
      <c r="AW44" s="27">
        <v>13318</v>
      </c>
      <c r="AX44" s="28">
        <f>'LT-Wshng'!P142-Overtime!AW44</f>
        <v>0</v>
      </c>
      <c r="AY44" s="27"/>
      <c r="AZ44" s="28" t="str">
        <f t="shared" si="3"/>
        <v/>
      </c>
      <c r="BA44" s="29">
        <v>66321</v>
      </c>
      <c r="BB44" s="28">
        <f>'LT-Wshng'!T142-Overtime!BA44</f>
        <v>0</v>
      </c>
      <c r="BC44" s="27">
        <v>12519</v>
      </c>
      <c r="BD44" s="28">
        <f>'LT-Wshng'!V142-Overtime!BC44</f>
        <v>0</v>
      </c>
      <c r="BE44" s="27">
        <v>8325</v>
      </c>
      <c r="BF44" s="28">
        <f>'LT-Wshng'!AB142-Overtime!BE44</f>
        <v>0</v>
      </c>
      <c r="BG44" s="27">
        <v>8114</v>
      </c>
      <c r="BH44" s="28">
        <f>'LT-Wshng'!AD142-Overtime!BG44</f>
        <v>0</v>
      </c>
    </row>
    <row r="45" spans="1:60" x14ac:dyDescent="0.3">
      <c r="A45" s="9" t="s">
        <v>70</v>
      </c>
      <c r="B45" s="33">
        <v>45969</v>
      </c>
      <c r="C45" s="5">
        <v>66973</v>
      </c>
      <c r="D45" s="28">
        <f>'LT GF'!C143-Overtime!C45</f>
        <v>82</v>
      </c>
      <c r="E45" s="5">
        <v>19965</v>
      </c>
      <c r="F45" s="28">
        <f>'LT GF'!G143-Overtime!E45</f>
        <v>8</v>
      </c>
      <c r="G45" s="5">
        <v>12747</v>
      </c>
      <c r="H45" s="28">
        <f>'LT GF'!K143-Overtime!G45</f>
        <v>80</v>
      </c>
      <c r="I45" s="13">
        <v>24790</v>
      </c>
      <c r="J45" s="28">
        <f>'LT GF'!O143-Overtime!I45</f>
        <v>31</v>
      </c>
      <c r="K45" s="5">
        <v>4469</v>
      </c>
      <c r="L45" s="28">
        <f>'LT GF'!Q143-Overtime!K45</f>
        <v>0</v>
      </c>
      <c r="M45" s="5">
        <v>10826</v>
      </c>
      <c r="N45" s="28">
        <f>'LT GF'!U143-Overtime!M45</f>
        <v>23</v>
      </c>
      <c r="O45" s="5">
        <v>51879</v>
      </c>
      <c r="P45" s="6">
        <f>'LT FF'!C143-Overtime!O45</f>
        <v>0</v>
      </c>
      <c r="Q45" s="5">
        <v>7902</v>
      </c>
      <c r="R45" s="6">
        <f>'LT FF'!E143-Overtime!Q45</f>
        <v>0</v>
      </c>
      <c r="S45" s="5">
        <v>24901</v>
      </c>
      <c r="T45" s="6">
        <f>'LT FF'!G143-Overtime!S45</f>
        <v>0</v>
      </c>
      <c r="U45" s="5">
        <v>1345</v>
      </c>
      <c r="V45" s="6">
        <f>'LT FF'!K143-Overtime!U45</f>
        <v>0</v>
      </c>
      <c r="W45" s="5">
        <v>26645</v>
      </c>
      <c r="X45" s="6">
        <f>'LT FF'!O143-Overtime!W45</f>
        <v>7</v>
      </c>
      <c r="Y45" s="5">
        <v>5730</v>
      </c>
      <c r="Z45" s="6">
        <f>'LT FF'!Q143-Overtime!Y45</f>
        <v>0</v>
      </c>
      <c r="AA45" s="5">
        <v>9144</v>
      </c>
      <c r="AB45" s="6">
        <f>'LT FF'!U143-Overtime!AA45</f>
        <v>2</v>
      </c>
      <c r="AC45" s="27">
        <v>86876</v>
      </c>
      <c r="AD45" s="28">
        <f>'LT 2F'!C144-Overtime!AC45</f>
        <v>0</v>
      </c>
      <c r="AE45" s="27">
        <v>13488</v>
      </c>
      <c r="AF45" s="28">
        <f>'LT 2F'!E144-Overtime!AE45</f>
        <v>0</v>
      </c>
      <c r="AG45" s="27">
        <v>30138</v>
      </c>
      <c r="AH45" s="28">
        <f>'LT 2F'!G144-Overtime!AG45</f>
        <v>0</v>
      </c>
      <c r="AI45" s="27">
        <v>27468</v>
      </c>
      <c r="AJ45" s="28">
        <f>'LT 2F'!K144-Overtime!AI45</f>
        <v>0</v>
      </c>
      <c r="AK45" s="27">
        <v>38744</v>
      </c>
      <c r="AL45" s="28">
        <f>'LT 2F'!O144-Overtime!AK45</f>
        <v>0</v>
      </c>
      <c r="AM45" s="27">
        <v>6506</v>
      </c>
      <c r="AN45" s="28">
        <f>'LT 2F'!Q144-Overtime!AM45</f>
        <v>0</v>
      </c>
      <c r="AO45" s="27"/>
      <c r="AP45" s="28">
        <v>0</v>
      </c>
      <c r="AQ45" s="27">
        <v>162619</v>
      </c>
      <c r="AR45" s="28">
        <f>'LT-Wshng'!D143-Overtime!AQ45</f>
        <v>0</v>
      </c>
      <c r="AS45" s="27"/>
      <c r="AT45" s="28" t="str">
        <f t="shared" si="2"/>
        <v/>
      </c>
      <c r="AU45" s="27">
        <v>33236</v>
      </c>
      <c r="AV45" s="28">
        <f>'LT-Wshng'!N143-Overtime!AU45</f>
        <v>0</v>
      </c>
      <c r="AW45" s="27">
        <v>13498</v>
      </c>
      <c r="AX45" s="28">
        <f>'LT-Wshng'!P143-Overtime!AW45</f>
        <v>0</v>
      </c>
      <c r="AY45" s="27"/>
      <c r="AZ45" s="28" t="str">
        <f t="shared" si="3"/>
        <v/>
      </c>
      <c r="BA45" s="29">
        <v>66817</v>
      </c>
      <c r="BB45" s="28">
        <f>'LT-Wshng'!T143-Overtime!BA45</f>
        <v>0</v>
      </c>
      <c r="BC45" s="27">
        <v>12628</v>
      </c>
      <c r="BD45" s="28">
        <f>'LT-Wshng'!V143-Overtime!BC45</f>
        <v>0</v>
      </c>
      <c r="BE45" s="27">
        <v>8409</v>
      </c>
      <c r="BF45" s="28">
        <f>'LT-Wshng'!AB143-Overtime!BE45</f>
        <v>0</v>
      </c>
      <c r="BG45" s="27">
        <v>8201</v>
      </c>
      <c r="BH45" s="28">
        <f>'LT-Wshng'!AD143-Overtime!BG45</f>
        <v>0</v>
      </c>
    </row>
    <row r="46" spans="1:60" x14ac:dyDescent="0.3">
      <c r="A46" s="9" t="s">
        <v>71</v>
      </c>
      <c r="B46" s="33">
        <v>45970</v>
      </c>
      <c r="C46" s="5">
        <v>67572</v>
      </c>
      <c r="D46" s="28">
        <f>'LT GF'!C144-Overtime!C46</f>
        <v>68</v>
      </c>
      <c r="E46" s="5">
        <v>20019</v>
      </c>
      <c r="F46" s="28">
        <f>'LT GF'!G144-Overtime!E46</f>
        <v>5</v>
      </c>
      <c r="G46" s="5">
        <v>12902</v>
      </c>
      <c r="H46" s="28">
        <f>'LT GF'!K144-Overtime!G46</f>
        <v>58</v>
      </c>
      <c r="I46" s="13">
        <v>25044</v>
      </c>
      <c r="J46" s="28">
        <f>'LT GF'!O144-Overtime!I46</f>
        <v>27</v>
      </c>
      <c r="K46" s="5">
        <v>4551</v>
      </c>
      <c r="L46" s="28">
        <f>'LT GF'!Q144-Overtime!K46</f>
        <v>1</v>
      </c>
      <c r="M46" s="5">
        <v>10979</v>
      </c>
      <c r="N46" s="28">
        <f>'LT GF'!U144-Overtime!M46</f>
        <v>20</v>
      </c>
      <c r="O46" s="5">
        <v>51937</v>
      </c>
      <c r="P46" s="6">
        <f>'LT FF'!C144-Overtime!O46</f>
        <v>63</v>
      </c>
      <c r="Q46" s="5">
        <v>7902</v>
      </c>
      <c r="R46" s="6">
        <f>'LT FF'!E144-Overtime!Q46</f>
        <v>35</v>
      </c>
      <c r="S46" s="5">
        <v>24901</v>
      </c>
      <c r="T46" s="6">
        <f>'LT FF'!G144-Overtime!S46</f>
        <v>46</v>
      </c>
      <c r="U46" s="5">
        <v>1336</v>
      </c>
      <c r="V46" s="6">
        <f>'LT FF'!K144-Overtime!U46</f>
        <v>26</v>
      </c>
      <c r="W46" s="5">
        <v>26786</v>
      </c>
      <c r="X46" s="6">
        <f>'LT FF'!O144-Overtime!W46</f>
        <v>0</v>
      </c>
      <c r="Y46" s="5">
        <v>5756</v>
      </c>
      <c r="Z46" s="6">
        <f>'LT FF'!Q144-Overtime!Y46</f>
        <v>0</v>
      </c>
      <c r="AA46" s="5">
        <v>9233</v>
      </c>
      <c r="AB46" s="6">
        <f>'LT FF'!U144-Overtime!AA46</f>
        <v>0</v>
      </c>
      <c r="AC46" s="27">
        <v>86882</v>
      </c>
      <c r="AD46" s="28">
        <f>'LT 2F'!C145-Overtime!AC46</f>
        <v>0</v>
      </c>
      <c r="AE46" s="27">
        <v>13489</v>
      </c>
      <c r="AF46" s="28">
        <f>'LT 2F'!E145-Overtime!AE46</f>
        <v>0</v>
      </c>
      <c r="AG46" s="27">
        <v>30138</v>
      </c>
      <c r="AH46" s="28">
        <f>'LT 2F'!G145-Overtime!AG46</f>
        <v>0</v>
      </c>
      <c r="AI46" s="27">
        <v>27469</v>
      </c>
      <c r="AJ46" s="28">
        <f>'LT 2F'!K145-Overtime!AI46</f>
        <v>0</v>
      </c>
      <c r="AK46" s="27">
        <v>38786</v>
      </c>
      <c r="AL46" s="28">
        <f>'LT 2F'!O145-Overtime!AK46</f>
        <v>0</v>
      </c>
      <c r="AM46" s="27">
        <v>6506</v>
      </c>
      <c r="AN46" s="28">
        <f>'LT 2F'!Q145-Overtime!AM46</f>
        <v>0</v>
      </c>
      <c r="AO46" s="27"/>
      <c r="AP46" s="28">
        <v>0</v>
      </c>
      <c r="AQ46" s="27">
        <v>164762</v>
      </c>
      <c r="AR46" s="28">
        <f>'LT-Wshng'!D144-Overtime!AQ46</f>
        <v>0</v>
      </c>
      <c r="AS46" s="27"/>
      <c r="AT46" s="28" t="str">
        <f t="shared" si="2"/>
        <v/>
      </c>
      <c r="AU46" s="27">
        <v>33380</v>
      </c>
      <c r="AV46" s="28">
        <f>'LT-Wshng'!N144-Overtime!AU46</f>
        <v>0</v>
      </c>
      <c r="AW46" s="27">
        <v>13690</v>
      </c>
      <c r="AX46" s="28">
        <f>'LT-Wshng'!P144-Overtime!AW46</f>
        <v>0</v>
      </c>
      <c r="AY46" s="27"/>
      <c r="AZ46" s="28" t="str">
        <f t="shared" si="3"/>
        <v/>
      </c>
      <c r="BA46" s="29">
        <v>67294</v>
      </c>
      <c r="BB46" s="28">
        <f>'LT-Wshng'!T144-Overtime!BA46</f>
        <v>0</v>
      </c>
      <c r="BC46" s="27">
        <v>12720</v>
      </c>
      <c r="BD46" s="28">
        <f>'LT-Wshng'!V144-Overtime!BC46</f>
        <v>0</v>
      </c>
      <c r="BE46" s="27">
        <v>8514</v>
      </c>
      <c r="BF46" s="28">
        <f>'LT-Wshng'!AB144-Overtime!BE46</f>
        <v>0</v>
      </c>
      <c r="BG46" s="27">
        <v>8306</v>
      </c>
      <c r="BH46" s="28">
        <f>'LT-Wshng'!AD144-Overtime!BG46</f>
        <v>0</v>
      </c>
    </row>
    <row r="47" spans="1:60" x14ac:dyDescent="0.3">
      <c r="A47" s="9" t="s">
        <v>72</v>
      </c>
      <c r="B47" s="33">
        <v>45971</v>
      </c>
      <c r="C47" s="5">
        <v>67877</v>
      </c>
      <c r="D47" s="28">
        <f>'LT GF'!C145-Overtime!C47</f>
        <v>0</v>
      </c>
      <c r="E47" s="5">
        <v>20024</v>
      </c>
      <c r="F47" s="28">
        <f>'LT GF'!G145-Overtime!E47</f>
        <v>0</v>
      </c>
      <c r="G47" s="5">
        <v>13044</v>
      </c>
      <c r="H47" s="28">
        <f>'LT GF'!K145-Overtime!G47</f>
        <v>0</v>
      </c>
      <c r="I47" s="13">
        <v>25143</v>
      </c>
      <c r="J47" s="28">
        <f>'LT GF'!O145-Overtime!I47</f>
        <v>0</v>
      </c>
      <c r="K47" s="5">
        <v>4552</v>
      </c>
      <c r="L47" s="28">
        <f>'LT GF'!Q145-Overtime!K47</f>
        <v>0</v>
      </c>
      <c r="M47" s="5">
        <v>11060</v>
      </c>
      <c r="N47" s="28">
        <f>'LT GF'!U145-Overtime!M47</f>
        <v>0</v>
      </c>
      <c r="O47" s="5">
        <v>52011</v>
      </c>
      <c r="P47" s="6">
        <f>'LT FF'!C145-Overtime!O47</f>
        <v>0</v>
      </c>
      <c r="Q47" s="5">
        <v>7937</v>
      </c>
      <c r="R47" s="6">
        <f>'LT FF'!E145-Overtime!Q47</f>
        <v>0</v>
      </c>
      <c r="S47" s="5">
        <v>24947</v>
      </c>
      <c r="T47" s="6">
        <f>'LT FF'!G145-Overtime!S47</f>
        <v>0</v>
      </c>
      <c r="U47" s="5">
        <v>1366</v>
      </c>
      <c r="V47" s="6">
        <f>'LT FF'!K145-Overtime!U47</f>
        <v>0</v>
      </c>
      <c r="W47" s="5">
        <v>26791</v>
      </c>
      <c r="X47" s="6">
        <f>'LT FF'!O145-Overtime!W47</f>
        <v>0</v>
      </c>
      <c r="Y47" s="5">
        <v>5756</v>
      </c>
      <c r="Z47" s="6">
        <f>'LT FF'!Q145-Overtime!Y47</f>
        <v>0</v>
      </c>
      <c r="AA47" s="5">
        <v>9233</v>
      </c>
      <c r="AB47" s="6">
        <f>'LT FF'!U145-Overtime!AA47</f>
        <v>0</v>
      </c>
      <c r="AC47" s="27">
        <v>87197</v>
      </c>
      <c r="AD47" s="28">
        <f>'LT 2F'!C146-Overtime!AC47</f>
        <v>0</v>
      </c>
      <c r="AE47" s="27">
        <v>13530</v>
      </c>
      <c r="AF47" s="28">
        <f>'LT 2F'!E146-Overtime!AE47</f>
        <v>0</v>
      </c>
      <c r="AG47" s="27">
        <v>30177</v>
      </c>
      <c r="AH47" s="28">
        <f>'LT 2F'!G146-Overtime!AG47</f>
        <v>0</v>
      </c>
      <c r="AI47" s="27">
        <v>27672</v>
      </c>
      <c r="AJ47" s="28">
        <f>'LT 2F'!K146-Overtime!AI47</f>
        <v>0</v>
      </c>
      <c r="AK47" s="27">
        <v>39003</v>
      </c>
      <c r="AL47" s="28">
        <f>'LT 2F'!O146-Overtime!AK47</f>
        <v>0</v>
      </c>
      <c r="AM47" s="27">
        <v>6571</v>
      </c>
      <c r="AN47" s="28">
        <f>'LT 2F'!Q146-Overtime!AM47</f>
        <v>0</v>
      </c>
      <c r="AO47" s="27"/>
      <c r="AP47" s="28">
        <v>0</v>
      </c>
      <c r="AQ47" s="27">
        <v>166205</v>
      </c>
      <c r="AR47" s="28">
        <f>'LT-Wshng'!D145-Overtime!AQ47</f>
        <v>0</v>
      </c>
      <c r="AS47" s="27"/>
      <c r="AT47" s="28" t="str">
        <f t="shared" si="2"/>
        <v/>
      </c>
      <c r="AU47" s="27">
        <v>33493</v>
      </c>
      <c r="AV47" s="28">
        <f>'LT-Wshng'!N145-Overtime!AU47</f>
        <v>0</v>
      </c>
      <c r="AW47" s="27">
        <v>13840</v>
      </c>
      <c r="AX47" s="28">
        <f>'LT-Wshng'!P145-Overtime!AW47</f>
        <v>0</v>
      </c>
      <c r="AY47" s="27"/>
      <c r="AZ47" s="28" t="str">
        <f t="shared" si="3"/>
        <v/>
      </c>
      <c r="BA47" s="29">
        <v>67494</v>
      </c>
      <c r="BB47" s="28">
        <f>'LT-Wshng'!T145-Overtime!BA47</f>
        <v>0</v>
      </c>
      <c r="BC47" s="27">
        <v>12756</v>
      </c>
      <c r="BD47" s="28">
        <f>'LT-Wshng'!V145-Overtime!BC47</f>
        <v>0</v>
      </c>
      <c r="BE47" s="27">
        <v>8577</v>
      </c>
      <c r="BF47" s="28">
        <f>'LT-Wshng'!AB145-Overtime!BE47</f>
        <v>0</v>
      </c>
      <c r="BG47" s="27">
        <v>8378</v>
      </c>
      <c r="BH47" s="28">
        <f>'LT-Wshng'!AD145-Overtime!BG47</f>
        <v>0</v>
      </c>
    </row>
    <row r="48" spans="1:60" x14ac:dyDescent="0.3">
      <c r="A48" s="9" t="s">
        <v>66</v>
      </c>
      <c r="B48" s="33">
        <v>45972</v>
      </c>
      <c r="C48" s="5">
        <v>68376</v>
      </c>
      <c r="D48" s="28">
        <f>'LT GF'!C146-Overtime!C48</f>
        <v>50</v>
      </c>
      <c r="E48" s="5">
        <v>20072</v>
      </c>
      <c r="F48" s="28">
        <f>'LT GF'!G146-Overtime!E48</f>
        <v>3</v>
      </c>
      <c r="G48" s="5">
        <v>13181</v>
      </c>
      <c r="H48" s="28">
        <f>'LT GF'!K146-Overtime!G48</f>
        <v>34</v>
      </c>
      <c r="I48" s="13">
        <v>25309</v>
      </c>
      <c r="J48" s="28">
        <f>'LT GF'!O146-Overtime!I48</f>
        <v>16</v>
      </c>
      <c r="K48" s="5">
        <v>4583</v>
      </c>
      <c r="L48" s="28">
        <f>'LT GF'!Q146-Overtime!K48</f>
        <v>1</v>
      </c>
      <c r="M48" s="5">
        <v>11181</v>
      </c>
      <c r="N48" s="28">
        <f>'LT GF'!U146-Overtime!M48</f>
        <v>11</v>
      </c>
      <c r="O48" s="5">
        <v>52118</v>
      </c>
      <c r="P48" s="6">
        <f>'LT FF'!C146-Overtime!O48</f>
        <v>0</v>
      </c>
      <c r="Q48" s="5">
        <v>7937</v>
      </c>
      <c r="R48" s="6">
        <f>'LT FF'!E146-Overtime!Q48</f>
        <v>36</v>
      </c>
      <c r="S48" s="5">
        <v>24988</v>
      </c>
      <c r="T48" s="6">
        <f>'LT FF'!G146-Overtime!S48</f>
        <v>0</v>
      </c>
      <c r="U48" s="5">
        <v>1379</v>
      </c>
      <c r="V48" s="6">
        <f>'LT FF'!K146-Overtime!U48</f>
        <v>0</v>
      </c>
      <c r="W48" s="5">
        <v>26938</v>
      </c>
      <c r="X48" s="6">
        <f>'LT FF'!O146-Overtime!W48</f>
        <v>0</v>
      </c>
      <c r="Y48" s="5">
        <v>5789</v>
      </c>
      <c r="Z48" s="6">
        <f>'LT FF'!Q146-Overtime!Y48</f>
        <v>0</v>
      </c>
      <c r="AA48" s="5">
        <v>9324</v>
      </c>
      <c r="AB48" s="6">
        <f>'LT FF'!U146-Overtime!AA48</f>
        <v>0</v>
      </c>
      <c r="AC48" s="27">
        <v>87529</v>
      </c>
      <c r="AD48" s="28">
        <f>'LT 2F'!C147-Overtime!AC48</f>
        <v>0</v>
      </c>
      <c r="AE48" s="27">
        <v>13613</v>
      </c>
      <c r="AF48" s="28">
        <f>'LT 2F'!E147-Overtime!AE48</f>
        <v>0</v>
      </c>
      <c r="AG48" s="27">
        <v>30191</v>
      </c>
      <c r="AH48" s="28">
        <f>'LT 2F'!G147-Overtime!AG48</f>
        <v>0</v>
      </c>
      <c r="AI48" s="27">
        <v>27876</v>
      </c>
      <c r="AJ48" s="28">
        <f>'LT 2F'!K147-Overtime!AI48</f>
        <v>0</v>
      </c>
      <c r="AK48" s="27">
        <v>39215</v>
      </c>
      <c r="AL48" s="28">
        <f>'LT 2F'!O147-Overtime!AK48</f>
        <v>0</v>
      </c>
      <c r="AM48" s="27">
        <v>6637</v>
      </c>
      <c r="AN48" s="28">
        <f>'LT 2F'!Q147-Overtime!AM48</f>
        <v>0</v>
      </c>
      <c r="AO48" s="27"/>
      <c r="AP48" s="28">
        <v>0</v>
      </c>
      <c r="AQ48" s="27">
        <v>168336</v>
      </c>
      <c r="AR48" s="28">
        <f>'LT-Wshng'!D146-Overtime!AQ48</f>
        <v>0</v>
      </c>
      <c r="AS48" s="27"/>
      <c r="AT48" s="28" t="str">
        <f t="shared" si="2"/>
        <v/>
      </c>
      <c r="AU48" s="27">
        <v>33639</v>
      </c>
      <c r="AV48" s="28">
        <f>'LT-Wshng'!N146-Overtime!AU48</f>
        <v>0</v>
      </c>
      <c r="AW48" s="27">
        <v>14035</v>
      </c>
      <c r="AX48" s="28">
        <f>'LT-Wshng'!P146-Overtime!AW48</f>
        <v>0</v>
      </c>
      <c r="AY48" s="27"/>
      <c r="AZ48" s="28" t="str">
        <f t="shared" si="3"/>
        <v/>
      </c>
      <c r="BA48" s="29">
        <v>67910</v>
      </c>
      <c r="BB48" s="28">
        <f>'LT-Wshng'!T146-Overtime!BA48</f>
        <v>0</v>
      </c>
      <c r="BC48" s="27">
        <v>12830</v>
      </c>
      <c r="BD48" s="28">
        <f>'LT-Wshng'!V146-Overtime!BC48</f>
        <v>0</v>
      </c>
      <c r="BE48" s="27">
        <v>8654</v>
      </c>
      <c r="BF48" s="28">
        <f>'LT-Wshng'!AB146-Overtime!BE48</f>
        <v>0</v>
      </c>
      <c r="BG48" s="27">
        <v>8462</v>
      </c>
      <c r="BH48" s="28">
        <f>'LT-Wshng'!AD146-Overtime!BG48</f>
        <v>0</v>
      </c>
    </row>
    <row r="49" spans="1:60" x14ac:dyDescent="0.3">
      <c r="A49" s="9" t="s">
        <v>67</v>
      </c>
      <c r="B49" s="33">
        <v>45973</v>
      </c>
      <c r="C49" s="5">
        <v>68905</v>
      </c>
      <c r="D49" s="28">
        <f>'LT GF'!C147-Overtime!C49</f>
        <v>0</v>
      </c>
      <c r="E49" s="5">
        <v>20118</v>
      </c>
      <c r="F49" s="28">
        <f>'LT GF'!G147-Overtime!E49</f>
        <v>0</v>
      </c>
      <c r="G49" s="5">
        <v>13390</v>
      </c>
      <c r="H49" s="28">
        <f>'LT GF'!K147-Overtime!G49</f>
        <v>0</v>
      </c>
      <c r="I49" s="13">
        <v>25533</v>
      </c>
      <c r="J49" s="28">
        <f>'LT GF'!O147-Overtime!I49</f>
        <v>0</v>
      </c>
      <c r="K49" s="5">
        <v>4636</v>
      </c>
      <c r="L49" s="28">
        <f>'LT GF'!Q147-Overtime!K49</f>
        <v>0</v>
      </c>
      <c r="M49" s="5">
        <v>11328</v>
      </c>
      <c r="N49" s="28">
        <f>'LT GF'!U147-Overtime!M49</f>
        <v>0</v>
      </c>
      <c r="O49" s="5">
        <v>52225</v>
      </c>
      <c r="P49" s="6">
        <f>'LT FF'!C147-Overtime!O49</f>
        <v>0</v>
      </c>
      <c r="Q49" s="5">
        <v>8008</v>
      </c>
      <c r="R49" s="6">
        <f>'LT FF'!E147-Overtime!Q49</f>
        <v>0</v>
      </c>
      <c r="S49" s="5">
        <v>25031</v>
      </c>
      <c r="T49" s="6">
        <f>'LT FF'!G147-Overtime!S49</f>
        <v>0</v>
      </c>
      <c r="U49" s="5">
        <v>1391</v>
      </c>
      <c r="V49" s="6">
        <f>'LT FF'!K147-Overtime!U49</f>
        <v>0</v>
      </c>
      <c r="W49" s="5">
        <v>27068</v>
      </c>
      <c r="X49" s="6">
        <f>'LT FF'!O147-Overtime!W49</f>
        <v>0</v>
      </c>
      <c r="Y49" s="5">
        <v>5817</v>
      </c>
      <c r="Z49" s="6">
        <f>'LT FF'!Q147-Overtime!Y49</f>
        <v>0</v>
      </c>
      <c r="AA49" s="5">
        <v>9405</v>
      </c>
      <c r="AB49" s="6">
        <f>'LT FF'!U147-Overtime!AA49</f>
        <v>0</v>
      </c>
      <c r="AC49" s="27">
        <v>87929</v>
      </c>
      <c r="AD49" s="28">
        <f>'LT 2F'!C148-Overtime!AC49</f>
        <v>0</v>
      </c>
      <c r="AE49" s="27">
        <v>13722</v>
      </c>
      <c r="AF49" s="28">
        <f>'LT 2F'!E148-Overtime!AE49</f>
        <v>0</v>
      </c>
      <c r="AG49" s="27">
        <v>30230</v>
      </c>
      <c r="AH49" s="28">
        <f>'LT 2F'!G148-Overtime!AG49</f>
        <v>0</v>
      </c>
      <c r="AI49" s="27">
        <v>28098</v>
      </c>
      <c r="AJ49" s="28">
        <f>'LT 2F'!K148-Overtime!AI49</f>
        <v>0</v>
      </c>
      <c r="AK49" s="27">
        <v>39435</v>
      </c>
      <c r="AL49" s="28">
        <f>'LT 2F'!O148-Overtime!AK49</f>
        <v>0</v>
      </c>
      <c r="AM49" s="27">
        <v>6694</v>
      </c>
      <c r="AN49" s="28">
        <f>'LT 2F'!Q148-Overtime!AM49</f>
        <v>0</v>
      </c>
      <c r="AO49" s="27"/>
      <c r="AP49" s="28">
        <v>0</v>
      </c>
      <c r="AQ49" s="27">
        <v>170019</v>
      </c>
      <c r="AR49" s="28">
        <f>'LT-Wshng'!D147-Overtime!AQ49</f>
        <v>0</v>
      </c>
      <c r="AS49" s="27"/>
      <c r="AT49" s="28" t="str">
        <f t="shared" si="2"/>
        <v/>
      </c>
      <c r="AU49" s="27">
        <v>33763</v>
      </c>
      <c r="AV49" s="28">
        <f>'LT-Wshng'!N147-Overtime!AU49</f>
        <v>0</v>
      </c>
      <c r="AW49" s="27">
        <v>14181</v>
      </c>
      <c r="AX49" s="28">
        <f>'LT-Wshng'!P147-Overtime!AW49</f>
        <v>0</v>
      </c>
      <c r="AY49" s="27"/>
      <c r="AZ49" s="28" t="str">
        <f t="shared" si="3"/>
        <v/>
      </c>
      <c r="BA49" s="29">
        <v>68325</v>
      </c>
      <c r="BB49" s="28">
        <f>'LT-Wshng'!T147-Overtime!BA49</f>
        <v>0</v>
      </c>
      <c r="BC49" s="27">
        <v>12914</v>
      </c>
      <c r="BD49" s="28">
        <f>'LT-Wshng'!V147-Overtime!BC49</f>
        <v>0</v>
      </c>
      <c r="BE49" s="27">
        <v>8722</v>
      </c>
      <c r="BF49" s="28">
        <f>'LT-Wshng'!AB147-Overtime!BE49</f>
        <v>0</v>
      </c>
      <c r="BG49" s="27">
        <v>8551</v>
      </c>
      <c r="BH49" s="28">
        <f>'LT-Wshng'!AD147-Overtime!BG49</f>
        <v>0</v>
      </c>
    </row>
    <row r="50" spans="1:60" x14ac:dyDescent="0.3">
      <c r="A50" s="9" t="s">
        <v>68</v>
      </c>
      <c r="B50" s="33">
        <v>45974</v>
      </c>
      <c r="C50" s="5">
        <v>69333</v>
      </c>
      <c r="D50" s="28">
        <f>'LT GF'!C148-Overtime!C50</f>
        <v>109</v>
      </c>
      <c r="E50" s="5">
        <v>20160</v>
      </c>
      <c r="F50" s="28">
        <f>'LT GF'!G148-Overtime!E50</f>
        <v>9</v>
      </c>
      <c r="G50" s="5">
        <v>13536</v>
      </c>
      <c r="H50" s="28">
        <f>'LT GF'!K148-Overtime!G50</f>
        <v>24</v>
      </c>
      <c r="I50" s="13">
        <v>25783</v>
      </c>
      <c r="J50" s="28">
        <f>'LT GF'!O148-Overtime!I50</f>
        <v>58</v>
      </c>
      <c r="K50" s="5">
        <v>4751</v>
      </c>
      <c r="L50" s="28">
        <f>'LT GF'!Q148-Overtime!K50</f>
        <v>13</v>
      </c>
      <c r="M50" s="5">
        <v>11441</v>
      </c>
      <c r="N50" s="28">
        <f>'LT GF'!U148-Overtime!M50</f>
        <v>35</v>
      </c>
      <c r="O50" s="5">
        <v>52326</v>
      </c>
      <c r="P50" s="6">
        <f>'LT FF'!C148-Overtime!O50</f>
        <v>0</v>
      </c>
      <c r="Q50" s="5">
        <v>8046</v>
      </c>
      <c r="R50" s="6">
        <f>'LT FF'!E148-Overtime!Q50</f>
        <v>0</v>
      </c>
      <c r="S50" s="5">
        <v>25060</v>
      </c>
      <c r="T50" s="6">
        <f>'LT FF'!G148-Overtime!S50</f>
        <v>0</v>
      </c>
      <c r="U50" s="5">
        <v>1404</v>
      </c>
      <c r="V50" s="6">
        <f>'LT FF'!K148-Overtime!U50</f>
        <v>0</v>
      </c>
      <c r="W50" s="5">
        <v>27204</v>
      </c>
      <c r="X50" s="6">
        <f>'LT FF'!O148-Overtime!W50</f>
        <v>0</v>
      </c>
      <c r="Y50" s="5">
        <v>5850</v>
      </c>
      <c r="Z50" s="6">
        <f>'LT FF'!Q148-Overtime!Y50</f>
        <v>0</v>
      </c>
      <c r="AA50" s="5">
        <v>9484</v>
      </c>
      <c r="AB50" s="6">
        <f>'LT FF'!U148-Overtime!AA50</f>
        <v>0</v>
      </c>
      <c r="AC50" s="27">
        <v>88269</v>
      </c>
      <c r="AD50" s="28">
        <f>'LT 2F'!C149-Overtime!AC50</f>
        <v>0</v>
      </c>
      <c r="AE50" s="27">
        <v>13833</v>
      </c>
      <c r="AF50" s="28">
        <f>'LT 2F'!E149-Overtime!AE50</f>
        <v>0</v>
      </c>
      <c r="AG50" s="27">
        <v>30230</v>
      </c>
      <c r="AH50" s="28">
        <f>'LT 2F'!G149-Overtime!AG50</f>
        <v>0</v>
      </c>
      <c r="AI50" s="27">
        <v>28291</v>
      </c>
      <c r="AJ50" s="28">
        <f>'LT 2F'!K149-Overtime!AI50</f>
        <v>0</v>
      </c>
      <c r="AK50" s="27">
        <v>39628</v>
      </c>
      <c r="AL50" s="28">
        <f>'LT 2F'!O149-Overtime!AK50</f>
        <v>0</v>
      </c>
      <c r="AM50" s="27">
        <v>6753</v>
      </c>
      <c r="AN50" s="28">
        <f>'LT 2F'!Q149-Overtime!AM50</f>
        <v>0</v>
      </c>
      <c r="AO50" s="27"/>
      <c r="AP50" s="28">
        <v>0</v>
      </c>
      <c r="AQ50" s="27">
        <v>171523</v>
      </c>
      <c r="AR50" s="28">
        <f>'LT-Wshng'!D148-Overtime!AQ50</f>
        <v>0</v>
      </c>
      <c r="AS50" s="27"/>
      <c r="AT50" s="28" t="str">
        <f t="shared" si="2"/>
        <v/>
      </c>
      <c r="AU50" s="27">
        <v>33892</v>
      </c>
      <c r="AV50" s="28">
        <f>'LT-Wshng'!N148-Overtime!AU50</f>
        <v>0</v>
      </c>
      <c r="AW50" s="27">
        <v>14338</v>
      </c>
      <c r="AX50" s="28">
        <f>'LT-Wshng'!P148-Overtime!AW50</f>
        <v>0</v>
      </c>
      <c r="AY50" s="27"/>
      <c r="AZ50" s="28" t="str">
        <f t="shared" si="3"/>
        <v/>
      </c>
      <c r="BA50" s="29">
        <v>68733</v>
      </c>
      <c r="BB50" s="28">
        <f>'LT-Wshng'!T148-Overtime!BA50</f>
        <v>0</v>
      </c>
      <c r="BC50" s="27">
        <v>13004</v>
      </c>
      <c r="BD50" s="28">
        <f>'LT-Wshng'!V148-Overtime!BC50</f>
        <v>0</v>
      </c>
      <c r="BE50" s="27">
        <v>8780</v>
      </c>
      <c r="BF50" s="28">
        <f>'LT-Wshng'!AB148-Overtime!BE50</f>
        <v>0</v>
      </c>
      <c r="BG50" s="27">
        <v>8638</v>
      </c>
      <c r="BH50" s="28">
        <f>'LT-Wshng'!AD148-Overtime!BG50</f>
        <v>0</v>
      </c>
    </row>
    <row r="51" spans="1:60" x14ac:dyDescent="0.3">
      <c r="A51" s="9" t="s">
        <v>69</v>
      </c>
      <c r="B51" s="33">
        <v>45975</v>
      </c>
      <c r="C51" s="5">
        <v>69769</v>
      </c>
      <c r="D51" s="28">
        <f>'LT GF'!C149-Overtime!C51</f>
        <v>33</v>
      </c>
      <c r="E51" s="5">
        <v>20191</v>
      </c>
      <c r="F51" s="28">
        <f>'LT GF'!G149-Overtime!E51</f>
        <v>2</v>
      </c>
      <c r="G51" s="5">
        <v>13682</v>
      </c>
      <c r="H51" s="28">
        <f>'LT GF'!K149-Overtime!G51</f>
        <v>28</v>
      </c>
      <c r="I51" s="13">
        <v>26049</v>
      </c>
      <c r="J51" s="28">
        <f>'LT GF'!O149-Overtime!I51</f>
        <v>32</v>
      </c>
      <c r="K51" s="5">
        <v>4851</v>
      </c>
      <c r="L51" s="28">
        <f>'LT GF'!Q149-Overtime!K51</f>
        <v>5</v>
      </c>
      <c r="M51" s="5">
        <v>11579</v>
      </c>
      <c r="N51" s="28">
        <f>'LT GF'!U149-Overtime!M51</f>
        <v>21</v>
      </c>
      <c r="O51" s="5">
        <v>52421</v>
      </c>
      <c r="P51" s="6">
        <f>'LT FF'!C149-Overtime!O51</f>
        <v>0</v>
      </c>
      <c r="Q51" s="5">
        <v>8085</v>
      </c>
      <c r="R51" s="6">
        <f>'LT FF'!E149-Overtime!Q51</f>
        <v>0</v>
      </c>
      <c r="S51" s="5">
        <v>25086</v>
      </c>
      <c r="T51" s="6">
        <f>'LT FF'!G149-Overtime!S51</f>
        <v>0</v>
      </c>
      <c r="U51" s="5">
        <v>1416</v>
      </c>
      <c r="V51" s="6">
        <f>'LT FF'!K149-Overtime!U51</f>
        <v>0</v>
      </c>
      <c r="W51" s="5">
        <v>27325</v>
      </c>
      <c r="X51" s="6">
        <f>'LT FF'!O149-Overtime!W51</f>
        <v>0</v>
      </c>
      <c r="Y51" s="5">
        <v>5881</v>
      </c>
      <c r="Z51" s="6">
        <f>'LT FF'!Q149-Overtime!Y51</f>
        <v>0</v>
      </c>
      <c r="AA51" s="5">
        <v>9555</v>
      </c>
      <c r="AB51" s="6">
        <f>'LT FF'!U149-Overtime!AA51</f>
        <v>0</v>
      </c>
      <c r="AC51" s="27">
        <v>88593</v>
      </c>
      <c r="AD51" s="28">
        <f>'LT 2F'!C150-Overtime!AC51</f>
        <v>0</v>
      </c>
      <c r="AE51" s="27">
        <v>13936</v>
      </c>
      <c r="AF51" s="28">
        <f>'LT 2F'!E150-Overtime!AE51</f>
        <v>0</v>
      </c>
      <c r="AG51" s="27">
        <v>30230</v>
      </c>
      <c r="AH51" s="28">
        <f>'LT 2F'!G150-Overtime!AG51</f>
        <v>0</v>
      </c>
      <c r="AI51" s="27">
        <v>28480</v>
      </c>
      <c r="AJ51" s="28">
        <f>'LT 2F'!K150-Overtime!AI51</f>
        <v>0</v>
      </c>
      <c r="AK51" s="27">
        <v>39858</v>
      </c>
      <c r="AL51" s="28">
        <f>'LT 2F'!O150-Overtime!AK51</f>
        <v>0</v>
      </c>
      <c r="AM51" s="27">
        <v>6834</v>
      </c>
      <c r="AN51" s="28">
        <f>'LT 2F'!Q150-Overtime!AM51</f>
        <v>0</v>
      </c>
      <c r="AO51" s="27"/>
      <c r="AP51" s="28">
        <v>0</v>
      </c>
      <c r="AQ51" s="27">
        <v>173269</v>
      </c>
      <c r="AR51" s="28">
        <f>'LT-Wshng'!D149-Overtime!AQ51</f>
        <v>0</v>
      </c>
      <c r="AS51" s="27"/>
      <c r="AT51" s="28" t="str">
        <f t="shared" si="2"/>
        <v/>
      </c>
      <c r="AU51" s="27">
        <v>34043</v>
      </c>
      <c r="AV51" s="28">
        <f>'LT-Wshng'!N149-Overtime!AU51</f>
        <v>0</v>
      </c>
      <c r="AW51" s="27">
        <v>14466</v>
      </c>
      <c r="AX51" s="28">
        <f>'LT-Wshng'!P149-Overtime!AW51</f>
        <v>0</v>
      </c>
      <c r="AY51" s="27"/>
      <c r="AZ51" s="28" t="str">
        <f t="shared" si="3"/>
        <v/>
      </c>
      <c r="BA51" s="29">
        <v>69127</v>
      </c>
      <c r="BB51" s="28">
        <f>'LT-Wshng'!T149-Overtime!BA51</f>
        <v>0</v>
      </c>
      <c r="BC51" s="27">
        <v>13089</v>
      </c>
      <c r="BD51" s="28">
        <f>'LT-Wshng'!V149-Overtime!BC51</f>
        <v>0</v>
      </c>
      <c r="BE51" s="27">
        <v>8841</v>
      </c>
      <c r="BF51" s="28">
        <f>'LT-Wshng'!AB149-Overtime!BE51</f>
        <v>0</v>
      </c>
      <c r="BG51" s="27">
        <v>8727</v>
      </c>
      <c r="BH51" s="28">
        <f>'LT-Wshng'!AD149-Overtime!BG51</f>
        <v>0</v>
      </c>
    </row>
    <row r="52" spans="1:60" x14ac:dyDescent="0.3">
      <c r="A52" s="9" t="s">
        <v>70</v>
      </c>
      <c r="B52" s="33">
        <v>45976</v>
      </c>
      <c r="C52" s="5">
        <v>70197</v>
      </c>
      <c r="D52" s="28">
        <f>'LT GF'!C150-Overtime!C52</f>
        <v>18</v>
      </c>
      <c r="E52" s="5">
        <v>20217</v>
      </c>
      <c r="F52" s="28">
        <f>'LT GF'!G150-Overtime!E52</f>
        <v>0</v>
      </c>
      <c r="G52" s="5">
        <v>13822</v>
      </c>
      <c r="H52" s="28">
        <f>'LT GF'!K150-Overtime!G52</f>
        <v>15</v>
      </c>
      <c r="I52" s="13">
        <v>26248</v>
      </c>
      <c r="J52" s="28">
        <f>'LT GF'!O150-Overtime!I52</f>
        <v>19</v>
      </c>
      <c r="K52" s="5">
        <v>4909</v>
      </c>
      <c r="L52" s="28">
        <f>'LT GF'!Q150-Overtime!K52</f>
        <v>0</v>
      </c>
      <c r="M52" s="5">
        <v>11698</v>
      </c>
      <c r="N52" s="28">
        <f>'LT GF'!U150-Overtime!M52</f>
        <v>12</v>
      </c>
      <c r="O52" s="5">
        <v>52504</v>
      </c>
      <c r="P52" s="6">
        <f>'LT FF'!C150-Overtime!O52</f>
        <v>0</v>
      </c>
      <c r="Q52" s="5">
        <v>8127</v>
      </c>
      <c r="R52" s="6">
        <f>'LT FF'!E150-Overtime!Q52</f>
        <v>0</v>
      </c>
      <c r="S52" s="5">
        <v>25101</v>
      </c>
      <c r="T52" s="6">
        <f>'LT FF'!G150-Overtime!S52</f>
        <v>0</v>
      </c>
      <c r="U52" s="5">
        <v>1428</v>
      </c>
      <c r="V52" s="6">
        <f>'LT FF'!K150-Overtime!U52</f>
        <v>0</v>
      </c>
      <c r="W52" s="5">
        <v>27464</v>
      </c>
      <c r="X52" s="6">
        <f>'LT FF'!O150-Overtime!W52</f>
        <v>0</v>
      </c>
      <c r="Y52" s="5">
        <v>5914</v>
      </c>
      <c r="Z52" s="6">
        <f>'LT FF'!Q150-Overtime!Y52</f>
        <v>0</v>
      </c>
      <c r="AA52" s="5">
        <v>9628</v>
      </c>
      <c r="AB52" s="6">
        <f>'LT FF'!U150-Overtime!AA52</f>
        <v>0</v>
      </c>
      <c r="AC52" s="27">
        <v>88934</v>
      </c>
      <c r="AD52" s="28">
        <f>'LT 2F'!C151-Overtime!AC52</f>
        <v>0</v>
      </c>
      <c r="AE52" s="27">
        <v>14050</v>
      </c>
      <c r="AF52" s="28">
        <f>'LT 2F'!E151-Overtime!AE52</f>
        <v>0</v>
      </c>
      <c r="AG52" s="27">
        <v>30237</v>
      </c>
      <c r="AH52" s="28">
        <f>'LT 2F'!G151-Overtime!AG52</f>
        <v>0</v>
      </c>
      <c r="AI52" s="27">
        <v>28681</v>
      </c>
      <c r="AJ52" s="28">
        <f>'LT 2F'!K151-Overtime!AI52</f>
        <v>0</v>
      </c>
      <c r="AK52" s="27">
        <v>40071</v>
      </c>
      <c r="AL52" s="28">
        <f>'LT 2F'!O151-Overtime!AK52</f>
        <v>0</v>
      </c>
      <c r="AM52" s="27">
        <v>6914</v>
      </c>
      <c r="AN52" s="28">
        <f>'LT 2F'!Q151-Overtime!AM52</f>
        <v>0</v>
      </c>
      <c r="AO52" s="27"/>
      <c r="AP52" s="28">
        <v>0</v>
      </c>
      <c r="AQ52" s="27">
        <v>175133</v>
      </c>
      <c r="AR52" s="28">
        <f>'LT-Wshng'!D150-Overtime!AQ52</f>
        <v>0</v>
      </c>
      <c r="AS52" s="27"/>
      <c r="AT52" s="28" t="str">
        <f t="shared" si="2"/>
        <v/>
      </c>
      <c r="AU52" s="27">
        <v>34098</v>
      </c>
      <c r="AV52" s="28">
        <f>'LT-Wshng'!N150-Overtime!AU52</f>
        <v>0</v>
      </c>
      <c r="AW52" s="27">
        <v>14606</v>
      </c>
      <c r="AX52" s="28">
        <f>'LT-Wshng'!P150-Overtime!AW52</f>
        <v>0</v>
      </c>
      <c r="AY52" s="27"/>
      <c r="AZ52" s="28" t="str">
        <f t="shared" si="3"/>
        <v/>
      </c>
      <c r="BA52" s="29">
        <v>69493</v>
      </c>
      <c r="BB52" s="28">
        <f>'LT-Wshng'!T150-Overtime!BA52</f>
        <v>0</v>
      </c>
      <c r="BC52" s="27">
        <v>13174</v>
      </c>
      <c r="BD52" s="28">
        <f>'LT-Wshng'!V150-Overtime!BC52</f>
        <v>0</v>
      </c>
      <c r="BE52" s="27">
        <v>8883</v>
      </c>
      <c r="BF52" s="28">
        <f>'LT-Wshng'!AB150-Overtime!BE52</f>
        <v>0</v>
      </c>
      <c r="BG52" s="27">
        <v>8779</v>
      </c>
      <c r="BH52" s="28">
        <f>'LT-Wshng'!AD150-Overtime!BG52</f>
        <v>0</v>
      </c>
    </row>
    <row r="53" spans="1:60" x14ac:dyDescent="0.3">
      <c r="A53" s="9" t="s">
        <v>71</v>
      </c>
      <c r="B53" s="33">
        <v>45977</v>
      </c>
      <c r="C53" s="5">
        <v>70665</v>
      </c>
      <c r="D53" s="28">
        <f>'LT GF'!C151-Overtime!C53</f>
        <v>37</v>
      </c>
      <c r="E53" s="5">
        <v>20260</v>
      </c>
      <c r="F53" s="28">
        <f>'LT GF'!G151-Overtime!E53</f>
        <v>0</v>
      </c>
      <c r="G53" s="5">
        <v>13961</v>
      </c>
      <c r="H53" s="28">
        <f>'LT GF'!K151-Overtime!G53</f>
        <v>25</v>
      </c>
      <c r="I53" s="13">
        <v>26426</v>
      </c>
      <c r="J53" s="28">
        <f>'LT GF'!O151-Overtime!I53</f>
        <v>21</v>
      </c>
      <c r="K53" s="5">
        <v>4931</v>
      </c>
      <c r="L53" s="28">
        <f>'LT GF'!Q151-Overtime!K53</f>
        <v>0</v>
      </c>
      <c r="M53" s="5">
        <v>11830</v>
      </c>
      <c r="N53" s="28">
        <f>'LT GF'!U151-Overtime!M53</f>
        <v>16</v>
      </c>
      <c r="O53" s="5">
        <v>52614</v>
      </c>
      <c r="P53" s="6">
        <f>'LT FF'!C151-Overtime!O53</f>
        <v>0</v>
      </c>
      <c r="Q53" s="5">
        <v>8176</v>
      </c>
      <c r="R53" s="6">
        <f>'LT FF'!E151-Overtime!Q53</f>
        <v>0</v>
      </c>
      <c r="S53" s="5">
        <v>25141</v>
      </c>
      <c r="T53" s="6">
        <f>'LT FF'!G151-Overtime!S53</f>
        <v>0</v>
      </c>
      <c r="U53" s="5">
        <v>1439</v>
      </c>
      <c r="V53" s="6">
        <f>'LT FF'!K151-Overtime!U53</f>
        <v>0</v>
      </c>
      <c r="W53" s="5">
        <v>27591</v>
      </c>
      <c r="X53" s="6">
        <f>'LT FF'!O151-Overtime!W53</f>
        <v>0</v>
      </c>
      <c r="Y53" s="5">
        <v>5948</v>
      </c>
      <c r="Z53" s="6">
        <f>'LT FF'!Q151-Overtime!Y53</f>
        <v>0</v>
      </c>
      <c r="AA53" s="5">
        <v>9703</v>
      </c>
      <c r="AB53" s="6">
        <f>'LT FF'!U151-Overtime!AA53</f>
        <v>0</v>
      </c>
      <c r="AC53" s="27">
        <v>88937</v>
      </c>
      <c r="AD53" s="28">
        <f>'LT 2F'!C152-Overtime!AC53</f>
        <v>0</v>
      </c>
      <c r="AE53" s="27">
        <v>14050</v>
      </c>
      <c r="AF53" s="28">
        <f>'LT 2F'!E152-Overtime!AE53</f>
        <v>0</v>
      </c>
      <c r="AG53" s="27">
        <v>30237</v>
      </c>
      <c r="AH53" s="28">
        <f>'LT 2F'!G152-Overtime!AG53</f>
        <v>0</v>
      </c>
      <c r="AI53" s="27">
        <v>28682</v>
      </c>
      <c r="AJ53" s="28">
        <f>'LT 2F'!K152-Overtime!AI53</f>
        <v>0</v>
      </c>
      <c r="AK53" s="27">
        <v>40079</v>
      </c>
      <c r="AL53" s="28">
        <f>'LT 2F'!O152-Overtime!AK53</f>
        <v>0</v>
      </c>
      <c r="AM53" s="27">
        <v>6914</v>
      </c>
      <c r="AN53" s="28">
        <f>'LT 2F'!Q152-Overtime!AM53</f>
        <v>0</v>
      </c>
      <c r="AO53" s="27"/>
      <c r="AP53" s="28">
        <v>0</v>
      </c>
      <c r="AQ53" s="27">
        <v>176920</v>
      </c>
      <c r="AR53" s="28">
        <f>'LT-Wshng'!D151-Overtime!AQ53</f>
        <v>0</v>
      </c>
      <c r="AS53" s="27"/>
      <c r="AT53" s="28" t="str">
        <f t="shared" si="2"/>
        <v/>
      </c>
      <c r="AU53" s="27">
        <v>34111</v>
      </c>
      <c r="AV53" s="28">
        <f>'LT-Wshng'!N151-Overtime!AU53</f>
        <v>0</v>
      </c>
      <c r="AW53" s="27">
        <v>14760</v>
      </c>
      <c r="AX53" s="28">
        <f>'LT-Wshng'!P151-Overtime!AW53</f>
        <v>0</v>
      </c>
      <c r="AY53" s="27"/>
      <c r="AZ53" s="28" t="str">
        <f t="shared" si="3"/>
        <v/>
      </c>
      <c r="BA53" s="29">
        <v>69812</v>
      </c>
      <c r="BB53" s="28">
        <f>'LT-Wshng'!T151-Overtime!BA53</f>
        <v>0</v>
      </c>
      <c r="BC53" s="27">
        <v>13261</v>
      </c>
      <c r="BD53" s="28">
        <f>'LT-Wshng'!V151-Overtime!BC53</f>
        <v>0</v>
      </c>
      <c r="BE53" s="27">
        <v>8918</v>
      </c>
      <c r="BF53" s="28">
        <f>'LT-Wshng'!AB151-Overtime!BE53</f>
        <v>0</v>
      </c>
      <c r="BG53" s="27">
        <v>8815</v>
      </c>
      <c r="BH53" s="28">
        <f>'LT-Wshng'!AD151-Overtime!BG53</f>
        <v>0</v>
      </c>
    </row>
    <row r="54" spans="1:60" x14ac:dyDescent="0.3">
      <c r="A54" s="9" t="s">
        <v>72</v>
      </c>
      <c r="B54" s="33">
        <v>45978</v>
      </c>
      <c r="C54" s="5">
        <v>70720</v>
      </c>
      <c r="D54" s="28">
        <f>'LT GF'!C152-Overtime!C54</f>
        <v>0</v>
      </c>
      <c r="E54" s="5">
        <v>20260</v>
      </c>
      <c r="F54" s="28">
        <f>'LT GF'!G152-Overtime!E54</f>
        <v>0</v>
      </c>
      <c r="G54" s="5">
        <v>14000</v>
      </c>
      <c r="H54" s="28">
        <f>'LT GF'!K152-Overtime!G54</f>
        <v>0</v>
      </c>
      <c r="I54" s="13">
        <v>26452</v>
      </c>
      <c r="J54" s="28">
        <f>'LT GF'!O152-Overtime!I54</f>
        <v>0</v>
      </c>
      <c r="K54" s="5">
        <v>4931</v>
      </c>
      <c r="L54" s="28">
        <f>'LT GF'!Q152-Overtime!K54</f>
        <v>0</v>
      </c>
      <c r="M54" s="5">
        <v>11847</v>
      </c>
      <c r="N54" s="28">
        <f>'LT GF'!U152-Overtime!M54</f>
        <v>0</v>
      </c>
      <c r="O54" s="5">
        <v>52625</v>
      </c>
      <c r="P54" s="6">
        <f>'LT FF'!C152-Overtime!O54</f>
        <v>0</v>
      </c>
      <c r="Q54" s="5">
        <v>8182</v>
      </c>
      <c r="R54" s="6">
        <f>'LT FF'!E152-Overtime!Q54</f>
        <v>0</v>
      </c>
      <c r="S54" s="5">
        <v>25141</v>
      </c>
      <c r="T54" s="6">
        <f>'LT FF'!G152-Overtime!S54</f>
        <v>0</v>
      </c>
      <c r="U54" s="5">
        <v>1442</v>
      </c>
      <c r="V54" s="6">
        <f>'LT FF'!K152-Overtime!U54</f>
        <v>0</v>
      </c>
      <c r="W54" s="5">
        <v>27594</v>
      </c>
      <c r="X54" s="6">
        <f>'LT FF'!O152-Overtime!W54</f>
        <v>0</v>
      </c>
      <c r="Y54" s="5">
        <v>5948</v>
      </c>
      <c r="Z54" s="6">
        <f>'LT FF'!Q152-Overtime!Y54</f>
        <v>0</v>
      </c>
      <c r="AA54" s="5">
        <v>9703</v>
      </c>
      <c r="AB54" s="6">
        <f>'LT FF'!U152-Overtime!AA54</f>
        <v>0</v>
      </c>
      <c r="AC54" s="27">
        <v>89274</v>
      </c>
      <c r="AD54" s="28">
        <f>'LT 2F'!C153-Overtime!AC54</f>
        <v>0</v>
      </c>
      <c r="AE54" s="27">
        <v>14168</v>
      </c>
      <c r="AF54" s="28">
        <f>'LT 2F'!E153-Overtime!AE54</f>
        <v>0</v>
      </c>
      <c r="AG54" s="27">
        <v>30237</v>
      </c>
      <c r="AH54" s="28">
        <f>'LT 2F'!G153-Overtime!AG54</f>
        <v>0</v>
      </c>
      <c r="AI54" s="27">
        <v>28884</v>
      </c>
      <c r="AJ54" s="28">
        <f>'LT 2F'!K153-Overtime!AI54</f>
        <v>0</v>
      </c>
      <c r="AK54" s="27">
        <v>40282</v>
      </c>
      <c r="AL54" s="28">
        <f>'LT 2F'!O153-Overtime!AK54</f>
        <v>0</v>
      </c>
      <c r="AM54" s="27">
        <v>6975</v>
      </c>
      <c r="AN54" s="28">
        <f>'LT 2F'!Q153-Overtime!AM54</f>
        <v>0</v>
      </c>
      <c r="AO54" s="27"/>
      <c r="AP54" s="28">
        <v>0</v>
      </c>
      <c r="AQ54" s="27">
        <v>176941</v>
      </c>
      <c r="AR54" s="28">
        <f>'LT-Wshng'!D152-Overtime!AQ54</f>
        <v>0</v>
      </c>
      <c r="AS54" s="27"/>
      <c r="AT54" s="28" t="str">
        <f t="shared" si="2"/>
        <v/>
      </c>
      <c r="AU54" s="27">
        <v>34114</v>
      </c>
      <c r="AV54" s="28">
        <f>'LT-Wshng'!N152-Overtime!AU54</f>
        <v>0</v>
      </c>
      <c r="AW54" s="27">
        <v>14770</v>
      </c>
      <c r="AX54" s="28">
        <f>'LT-Wshng'!P152-Overtime!AW54</f>
        <v>0</v>
      </c>
      <c r="AY54" s="27"/>
      <c r="AZ54" s="28" t="str">
        <f t="shared" si="3"/>
        <v/>
      </c>
      <c r="BA54" s="29">
        <v>69851</v>
      </c>
      <c r="BB54" s="28">
        <f>'LT-Wshng'!T152-Overtime!BA54</f>
        <v>0</v>
      </c>
      <c r="BC54" s="27">
        <v>13279</v>
      </c>
      <c r="BD54" s="28">
        <f>'LT-Wshng'!V152-Overtime!BC54</f>
        <v>0</v>
      </c>
      <c r="BE54" s="27">
        <v>8925</v>
      </c>
      <c r="BF54" s="28">
        <f>'LT-Wshng'!AB152-Overtime!BE54</f>
        <v>0</v>
      </c>
      <c r="BG54" s="27">
        <v>8819</v>
      </c>
      <c r="BH54" s="28">
        <f>'LT-Wshng'!AD152-Overtime!BG54</f>
        <v>0</v>
      </c>
    </row>
    <row r="55" spans="1:60" x14ac:dyDescent="0.3">
      <c r="A55" s="9" t="s">
        <v>66</v>
      </c>
      <c r="B55" s="33">
        <v>45979</v>
      </c>
      <c r="C55" s="5">
        <v>71102</v>
      </c>
      <c r="D55" s="28">
        <f>'LT GF'!C153-Overtime!C55</f>
        <v>0</v>
      </c>
      <c r="E55" s="5">
        <v>20260</v>
      </c>
      <c r="F55" s="28">
        <f>'LT GF'!G153-Overtime!E55</f>
        <v>0</v>
      </c>
      <c r="G55" s="5">
        <v>14142</v>
      </c>
      <c r="H55" s="28">
        <f>'LT GF'!K153-Overtime!G55</f>
        <v>0</v>
      </c>
      <c r="I55" s="13">
        <v>26668</v>
      </c>
      <c r="J55" s="28">
        <f>'LT GF'!O153-Overtime!I55</f>
        <v>0</v>
      </c>
      <c r="K55" s="5">
        <v>5018</v>
      </c>
      <c r="L55" s="28">
        <f>'LT GF'!Q153-Overtime!K55</f>
        <v>0</v>
      </c>
      <c r="M55" s="5">
        <v>11957</v>
      </c>
      <c r="N55" s="28">
        <f>'LT GF'!U153-Overtime!M55</f>
        <v>0</v>
      </c>
      <c r="O55" s="5">
        <v>52683</v>
      </c>
      <c r="P55" s="6">
        <f>'LT FF'!C153-Overtime!O55</f>
        <v>0</v>
      </c>
      <c r="Q55" s="5">
        <v>8216</v>
      </c>
      <c r="R55" s="6">
        <f>'LT FF'!E153-Overtime!Q55</f>
        <v>0</v>
      </c>
      <c r="S55" s="5">
        <v>25141</v>
      </c>
      <c r="T55" s="6">
        <f>'LT FF'!G153-Overtime!S55</f>
        <v>0</v>
      </c>
      <c r="U55" s="5">
        <v>1454</v>
      </c>
      <c r="V55" s="6">
        <f>'LT FF'!K153-Overtime!U55</f>
        <v>0</v>
      </c>
      <c r="W55" s="5">
        <v>27737</v>
      </c>
      <c r="X55" s="6">
        <f>'LT FF'!O153-Overtime!W55</f>
        <v>0</v>
      </c>
      <c r="Y55" s="5">
        <v>5982</v>
      </c>
      <c r="Z55" s="6">
        <f>'LT FF'!Q153-Overtime!Y55</f>
        <v>0</v>
      </c>
      <c r="AA55" s="5">
        <v>9778</v>
      </c>
      <c r="AB55" s="6">
        <f>'LT FF'!U153-Overtime!AA55</f>
        <v>0</v>
      </c>
      <c r="AC55" s="27">
        <v>89620</v>
      </c>
      <c r="AD55" s="28">
        <f>'LT 2F'!C154-Overtime!AC55</f>
        <v>0</v>
      </c>
      <c r="AE55" s="27">
        <v>14282</v>
      </c>
      <c r="AF55" s="28">
        <f>'LT 2F'!E154-Overtime!AE55</f>
        <v>0</v>
      </c>
      <c r="AG55" s="27">
        <v>30237</v>
      </c>
      <c r="AH55" s="28">
        <f>'LT 2F'!G154-Overtime!AG55</f>
        <v>0</v>
      </c>
      <c r="AI55" s="27">
        <v>29092</v>
      </c>
      <c r="AJ55" s="28">
        <f>'LT 2F'!K154-Overtime!AI55</f>
        <v>0</v>
      </c>
      <c r="AK55" s="27">
        <v>40524</v>
      </c>
      <c r="AL55" s="28">
        <f>'LT 2F'!O154-Overtime!AK55</f>
        <v>0</v>
      </c>
      <c r="AM55" s="27">
        <v>7068</v>
      </c>
      <c r="AN55" s="28">
        <f>'LT 2F'!Q154-Overtime!AM55</f>
        <v>0</v>
      </c>
      <c r="AO55" s="27"/>
      <c r="AP55" s="28">
        <v>0</v>
      </c>
      <c r="AQ55" s="27">
        <v>178654</v>
      </c>
      <c r="AR55" s="28">
        <f>'LT-Wshng'!D153-Overtime!AQ55</f>
        <v>0</v>
      </c>
      <c r="AS55" s="27"/>
      <c r="AT55" s="28" t="str">
        <f t="shared" si="2"/>
        <v/>
      </c>
      <c r="AU55" s="27">
        <v>34122</v>
      </c>
      <c r="AV55" s="28">
        <f>'LT-Wshng'!N153-Overtime!AU55</f>
        <v>0</v>
      </c>
      <c r="AW55" s="27">
        <v>14927</v>
      </c>
      <c r="AX55" s="28">
        <f>'LT-Wshng'!P153-Overtime!AW55</f>
        <v>0</v>
      </c>
      <c r="AY55" s="27"/>
      <c r="AZ55" s="28" t="str">
        <f t="shared" si="3"/>
        <v/>
      </c>
      <c r="BA55" s="29">
        <v>70138</v>
      </c>
      <c r="BB55" s="28">
        <f>'LT-Wshng'!T153-Overtime!BA55</f>
        <v>0</v>
      </c>
      <c r="BC55" s="27">
        <v>13363</v>
      </c>
      <c r="BD55" s="28">
        <f>'LT-Wshng'!V153-Overtime!BC55</f>
        <v>0</v>
      </c>
      <c r="BE55" s="27">
        <v>8959</v>
      </c>
      <c r="BF55" s="28">
        <f>'LT-Wshng'!AB153-Overtime!BE55</f>
        <v>0</v>
      </c>
      <c r="BG55" s="27">
        <v>8860</v>
      </c>
      <c r="BH55" s="28">
        <f>'LT-Wshng'!AD153-Overtime!BG55</f>
        <v>0</v>
      </c>
    </row>
    <row r="56" spans="1:60" x14ac:dyDescent="0.3">
      <c r="A56" s="9" t="s">
        <v>67</v>
      </c>
      <c r="B56" s="33">
        <v>45980</v>
      </c>
      <c r="C56" s="5">
        <v>71486</v>
      </c>
      <c r="D56" s="28">
        <f>'LT GF'!C154-Overtime!C56</f>
        <v>0</v>
      </c>
      <c r="E56" s="5">
        <v>20261</v>
      </c>
      <c r="F56" s="28">
        <f>'LT GF'!G154-Overtime!E56</f>
        <v>0</v>
      </c>
      <c r="G56" s="5">
        <v>14289</v>
      </c>
      <c r="H56" s="28">
        <f>'LT GF'!K154-Overtime!G56</f>
        <v>0</v>
      </c>
      <c r="I56" s="13">
        <v>26908</v>
      </c>
      <c r="J56" s="28">
        <f>'LT GF'!O154-Overtime!I56</f>
        <v>0</v>
      </c>
      <c r="K56" s="5">
        <v>5118</v>
      </c>
      <c r="L56" s="28">
        <f>'LT GF'!Q154-Overtime!K56</f>
        <v>0</v>
      </c>
      <c r="M56" s="5">
        <v>12076</v>
      </c>
      <c r="N56" s="28">
        <f>'LT GF'!U154-Overtime!M56</f>
        <v>0</v>
      </c>
      <c r="O56" s="5">
        <v>52765</v>
      </c>
      <c r="P56" s="6">
        <f>'LT FF'!C154-Overtime!O56</f>
        <v>0</v>
      </c>
      <c r="Q56" s="5">
        <v>8267</v>
      </c>
      <c r="R56" s="6">
        <f>'LT FF'!E154-Overtime!Q56</f>
        <v>0</v>
      </c>
      <c r="S56" s="5">
        <v>25141</v>
      </c>
      <c r="T56" s="6">
        <f>'LT FF'!G154-Overtime!S56</f>
        <v>0</v>
      </c>
      <c r="U56" s="5">
        <v>1468</v>
      </c>
      <c r="V56" s="6">
        <f>'LT FF'!K154-Overtime!U56</f>
        <v>0</v>
      </c>
      <c r="W56" s="5">
        <v>27877</v>
      </c>
      <c r="X56" s="6">
        <f>'LT FF'!O154-Overtime!W56</f>
        <v>0</v>
      </c>
      <c r="Y56" s="5">
        <v>6021</v>
      </c>
      <c r="Z56" s="6">
        <f>'LT FF'!Q154-Overtime!Y56</f>
        <v>0</v>
      </c>
      <c r="AA56" s="5">
        <v>9859</v>
      </c>
      <c r="AB56" s="6">
        <f>'LT FF'!U154-Overtime!AA56</f>
        <v>0</v>
      </c>
      <c r="AC56" s="27">
        <v>89993</v>
      </c>
      <c r="AD56" s="28">
        <f>'LT 2F'!C155-Overtime!AC56</f>
        <v>0</v>
      </c>
      <c r="AE56" s="27">
        <v>14403</v>
      </c>
      <c r="AF56" s="28">
        <f>'LT 2F'!E155-Overtime!AE56</f>
        <v>0</v>
      </c>
      <c r="AG56" s="27">
        <v>30237</v>
      </c>
      <c r="AH56" s="28">
        <f>'LT 2F'!G155-Overtime!AG56</f>
        <v>0</v>
      </c>
      <c r="AI56" s="27">
        <v>29295</v>
      </c>
      <c r="AJ56" s="28">
        <f>'LT 2F'!K155-Overtime!AI56</f>
        <v>0</v>
      </c>
      <c r="AK56" s="27">
        <v>40761</v>
      </c>
      <c r="AL56" s="28">
        <f>'LT 2F'!O155-Overtime!AK56</f>
        <v>0</v>
      </c>
      <c r="AM56" s="27">
        <v>7153</v>
      </c>
      <c r="AN56" s="28">
        <f>'LT 2F'!Q155-Overtime!AM56</f>
        <v>0</v>
      </c>
      <c r="AO56" s="27"/>
      <c r="AP56" s="28">
        <v>0</v>
      </c>
      <c r="AQ56" s="27">
        <v>180556</v>
      </c>
      <c r="AR56" s="28">
        <f>'LT-Wshng'!D154-Overtime!AQ56</f>
        <v>0</v>
      </c>
      <c r="AS56" s="27"/>
      <c r="AT56" s="28" t="str">
        <f t="shared" si="2"/>
        <v/>
      </c>
      <c r="AU56" s="27">
        <v>34215</v>
      </c>
      <c r="AV56" s="28">
        <f>'LT-Wshng'!N154-Overtime!AU56</f>
        <v>0</v>
      </c>
      <c r="AW56" s="27">
        <v>15082</v>
      </c>
      <c r="AX56" s="28">
        <f>'LT-Wshng'!P154-Overtime!AW56</f>
        <v>0</v>
      </c>
      <c r="AY56" s="27"/>
      <c r="AZ56" s="28" t="str">
        <f t="shared" si="3"/>
        <v/>
      </c>
      <c r="BA56" s="29">
        <v>70429</v>
      </c>
      <c r="BB56" s="28">
        <f>'LT-Wshng'!T154-Overtime!BA56</f>
        <v>0</v>
      </c>
      <c r="BC56" s="27">
        <v>13444</v>
      </c>
      <c r="BD56" s="28">
        <f>'LT-Wshng'!V154-Overtime!BC56</f>
        <v>0</v>
      </c>
      <c r="BE56" s="27">
        <v>8996</v>
      </c>
      <c r="BF56" s="28">
        <f>'LT-Wshng'!AB154-Overtime!BE56</f>
        <v>0</v>
      </c>
      <c r="BG56" s="27">
        <v>8900</v>
      </c>
      <c r="BH56" s="28">
        <f>'LT-Wshng'!AD154-Overtime!BG56</f>
        <v>0</v>
      </c>
    </row>
    <row r="57" spans="1:60" x14ac:dyDescent="0.3">
      <c r="A57" s="9" t="s">
        <v>68</v>
      </c>
      <c r="B57" s="33">
        <v>45981</v>
      </c>
      <c r="C57" s="5">
        <v>71905</v>
      </c>
      <c r="D57" s="28">
        <f>'LT GF'!C155-Overtime!C57</f>
        <v>0</v>
      </c>
      <c r="E57" s="5">
        <v>20262</v>
      </c>
      <c r="F57" s="28">
        <f>'LT GF'!G155-Overtime!E57</f>
        <v>0</v>
      </c>
      <c r="G57" s="5">
        <v>14431</v>
      </c>
      <c r="H57" s="28">
        <f>'LT GF'!K155-Overtime!G57</f>
        <v>0</v>
      </c>
      <c r="I57" s="13">
        <v>27138</v>
      </c>
      <c r="J57" s="28">
        <f>'LT GF'!O155-Overtime!I57</f>
        <v>0</v>
      </c>
      <c r="K57" s="5">
        <v>5220</v>
      </c>
      <c r="L57" s="28">
        <f>'LT GF'!Q155-Overtime!K57</f>
        <v>0</v>
      </c>
      <c r="M57" s="5">
        <v>12186</v>
      </c>
      <c r="N57" s="28">
        <f>'LT GF'!U155-Overtime!M57</f>
        <v>0</v>
      </c>
      <c r="O57" s="5">
        <v>52892</v>
      </c>
      <c r="P57" s="6">
        <f>'LT FF'!C155-Overtime!O57</f>
        <v>0</v>
      </c>
      <c r="Q57" s="5">
        <v>8366</v>
      </c>
      <c r="R57" s="6">
        <f>'LT FF'!E155-Overtime!Q57</f>
        <v>0</v>
      </c>
      <c r="S57" s="5">
        <v>25141</v>
      </c>
      <c r="T57" s="6">
        <f>'LT FF'!G155-Overtime!S57</f>
        <v>0</v>
      </c>
      <c r="U57" s="5">
        <v>1480</v>
      </c>
      <c r="V57" s="6">
        <f>'LT FF'!K155-Overtime!U57</f>
        <v>0</v>
      </c>
      <c r="W57" s="5">
        <v>28004</v>
      </c>
      <c r="X57" s="6">
        <f>'LT FF'!O155-Overtime!W57</f>
        <v>0</v>
      </c>
      <c r="Y57" s="5">
        <v>6065</v>
      </c>
      <c r="Z57" s="6">
        <f>'LT FF'!Q155-Overtime!Y57</f>
        <v>0</v>
      </c>
      <c r="AA57" s="5">
        <v>9932</v>
      </c>
      <c r="AB57" s="6">
        <f>'LT FF'!U155-Overtime!AA57</f>
        <v>0</v>
      </c>
      <c r="AC57" s="27">
        <v>90330</v>
      </c>
      <c r="AD57" s="28">
        <f>'LT 2F'!C156-Overtime!AC57</f>
        <v>0</v>
      </c>
      <c r="AE57" s="27">
        <v>14515</v>
      </c>
      <c r="AF57" s="28">
        <f>'LT 2F'!E156-Overtime!AE57</f>
        <v>0</v>
      </c>
      <c r="AG57" s="27">
        <v>30237</v>
      </c>
      <c r="AH57" s="28">
        <f>'LT 2F'!G156-Overtime!AG57</f>
        <v>0</v>
      </c>
      <c r="AI57" s="27">
        <v>29497</v>
      </c>
      <c r="AJ57" s="28">
        <f>'LT 2F'!K156-Overtime!AI57</f>
        <v>0</v>
      </c>
      <c r="AK57" s="27">
        <v>40949</v>
      </c>
      <c r="AL57" s="28">
        <f>'LT 2F'!O156-Overtime!AK57</f>
        <v>0</v>
      </c>
      <c r="AM57" s="27">
        <v>7203</v>
      </c>
      <c r="AN57" s="28">
        <f>'LT 2F'!Q156-Overtime!AM57</f>
        <v>0</v>
      </c>
      <c r="AO57" s="27"/>
      <c r="AP57" s="28">
        <v>0</v>
      </c>
      <c r="AQ57" s="27">
        <v>182198</v>
      </c>
      <c r="AR57" s="28">
        <f>'LT-Wshng'!D155-Overtime!AQ57</f>
        <v>0</v>
      </c>
      <c r="AS57" s="27"/>
      <c r="AT57" s="28" t="str">
        <f t="shared" si="2"/>
        <v/>
      </c>
      <c r="AU57" s="27">
        <v>34310</v>
      </c>
      <c r="AV57" s="28">
        <f>'LT-Wshng'!N155-Overtime!AU57</f>
        <v>0</v>
      </c>
      <c r="AW57" s="27">
        <v>15231</v>
      </c>
      <c r="AX57" s="28">
        <f>'LT-Wshng'!P155-Overtime!AW57</f>
        <v>0</v>
      </c>
      <c r="AY57" s="27"/>
      <c r="AZ57" s="28" t="str">
        <f t="shared" si="3"/>
        <v/>
      </c>
      <c r="BA57" s="29">
        <v>70740</v>
      </c>
      <c r="BB57" s="28">
        <f>'LT-Wshng'!T155-Overtime!BA57</f>
        <v>0</v>
      </c>
      <c r="BC57" s="27">
        <v>13532</v>
      </c>
      <c r="BD57" s="28">
        <f>'LT-Wshng'!V155-Overtime!BC57</f>
        <v>0</v>
      </c>
      <c r="BE57" s="27">
        <v>9034</v>
      </c>
      <c r="BF57" s="28">
        <f>'LT-Wshng'!AB155-Overtime!BE57</f>
        <v>0</v>
      </c>
      <c r="BG57" s="27">
        <v>8954</v>
      </c>
      <c r="BH57" s="28">
        <f>'LT-Wshng'!AD155-Overtime!BG57</f>
        <v>0</v>
      </c>
    </row>
    <row r="58" spans="1:60" x14ac:dyDescent="0.3">
      <c r="A58" s="9" t="s">
        <v>69</v>
      </c>
      <c r="B58" s="33">
        <v>45982</v>
      </c>
      <c r="C58" s="5">
        <v>72357</v>
      </c>
      <c r="D58" s="28">
        <f>'LT GF'!C156-Overtime!C58</f>
        <v>0</v>
      </c>
      <c r="E58" s="5">
        <v>20263</v>
      </c>
      <c r="F58" s="28">
        <f>'LT GF'!G156-Overtime!E58</f>
        <v>0</v>
      </c>
      <c r="G58" s="5">
        <v>14572</v>
      </c>
      <c r="H58" s="28">
        <f>'LT GF'!K156-Overtime!G58</f>
        <v>0</v>
      </c>
      <c r="I58" s="13">
        <v>27366</v>
      </c>
      <c r="J58" s="28">
        <f>'LT GF'!O156-Overtime!I58</f>
        <v>0</v>
      </c>
      <c r="K58" s="5">
        <v>5316</v>
      </c>
      <c r="L58" s="28">
        <f>'LT GF'!Q156-Overtime!K58</f>
        <v>0</v>
      </c>
      <c r="M58" s="5">
        <v>12300</v>
      </c>
      <c r="N58" s="28">
        <f>'LT GF'!U156-Overtime!M58</f>
        <v>0</v>
      </c>
      <c r="O58" s="5">
        <v>53014</v>
      </c>
      <c r="P58" s="6">
        <f>'LT FF'!C156-Overtime!O58</f>
        <v>0</v>
      </c>
      <c r="Q58" s="5">
        <v>8458</v>
      </c>
      <c r="R58" s="6">
        <f>'LT FF'!E156-Overtime!Q58</f>
        <v>0</v>
      </c>
      <c r="S58" s="5">
        <v>25141</v>
      </c>
      <c r="T58" s="6">
        <f>'LT FF'!G156-Overtime!S58</f>
        <v>0</v>
      </c>
      <c r="U58" s="5">
        <v>1493</v>
      </c>
      <c r="V58" s="6">
        <f>'LT FF'!K156-Overtime!U58</f>
        <v>0</v>
      </c>
      <c r="W58" s="5">
        <v>28129</v>
      </c>
      <c r="X58" s="6">
        <f>'LT FF'!O156-Overtime!W58</f>
        <v>0</v>
      </c>
      <c r="Y58" s="5">
        <v>6088</v>
      </c>
      <c r="Z58" s="6">
        <f>'LT FF'!Q156-Overtime!Y58</f>
        <v>0</v>
      </c>
      <c r="AA58" s="5">
        <v>10006</v>
      </c>
      <c r="AB58" s="6">
        <f>'LT FF'!U156-Overtime!AA58</f>
        <v>0</v>
      </c>
      <c r="AC58" s="27">
        <v>90663</v>
      </c>
      <c r="AD58" s="28">
        <f>'LT 2F'!C157-Overtime!AC58</f>
        <v>0</v>
      </c>
      <c r="AE58" s="27">
        <v>14631</v>
      </c>
      <c r="AF58" s="28">
        <f>'LT 2F'!E157-Overtime!AE58</f>
        <v>0</v>
      </c>
      <c r="AG58" s="27">
        <v>30237</v>
      </c>
      <c r="AH58" s="28">
        <f>'LT 2F'!G157-Overtime!AG58</f>
        <v>0</v>
      </c>
      <c r="AI58" s="27">
        <v>29691</v>
      </c>
      <c r="AJ58" s="28">
        <f>'LT 2F'!K157-Overtime!AI58</f>
        <v>0</v>
      </c>
      <c r="AK58" s="27">
        <v>41124</v>
      </c>
      <c r="AL58" s="28">
        <f>'LT 2F'!O157-Overtime!AK58</f>
        <v>0</v>
      </c>
      <c r="AM58" s="27">
        <v>7255</v>
      </c>
      <c r="AN58" s="28">
        <f>'LT 2F'!Q157-Overtime!AM58</f>
        <v>0</v>
      </c>
      <c r="AO58" s="27"/>
      <c r="AP58" s="28">
        <v>0</v>
      </c>
      <c r="AQ58" s="27">
        <v>183688</v>
      </c>
      <c r="AR58" s="28">
        <f>'LT-Wshng'!D156-Overtime!AQ58</f>
        <v>0</v>
      </c>
      <c r="AS58" s="27"/>
      <c r="AT58" s="28" t="str">
        <f t="shared" si="2"/>
        <v/>
      </c>
      <c r="AU58" s="27">
        <v>34391</v>
      </c>
      <c r="AV58" s="28">
        <f>'LT-Wshng'!N156-Overtime!AU58</f>
        <v>0</v>
      </c>
      <c r="AW58" s="27">
        <v>15382</v>
      </c>
      <c r="AX58" s="28">
        <f>'LT-Wshng'!P156-Overtime!AW58</f>
        <v>0</v>
      </c>
      <c r="AY58" s="27"/>
      <c r="AZ58" s="28" t="str">
        <f t="shared" si="3"/>
        <v/>
      </c>
      <c r="BA58" s="29">
        <v>71043</v>
      </c>
      <c r="BB58" s="28">
        <f>'LT-Wshng'!T156-Overtime!BA58</f>
        <v>0</v>
      </c>
      <c r="BC58" s="27">
        <v>13621</v>
      </c>
      <c r="BD58" s="28">
        <f>'LT-Wshng'!V156-Overtime!BC58</f>
        <v>0</v>
      </c>
      <c r="BE58" s="27">
        <v>9080</v>
      </c>
      <c r="BF58" s="28">
        <f>'LT-Wshng'!AB156-Overtime!BE58</f>
        <v>0</v>
      </c>
      <c r="BG58" s="27">
        <v>8995</v>
      </c>
      <c r="BH58" s="28">
        <f>'LT-Wshng'!AD156-Overtime!BG58</f>
        <v>0</v>
      </c>
    </row>
    <row r="59" spans="1:60" x14ac:dyDescent="0.3">
      <c r="A59" s="9" t="s">
        <v>70</v>
      </c>
      <c r="B59" s="33">
        <v>45983</v>
      </c>
      <c r="C59" s="5">
        <v>72777</v>
      </c>
      <c r="D59" s="28">
        <f>'LT GF'!C157-Overtime!C59</f>
        <v>0</v>
      </c>
      <c r="E59" s="5">
        <v>20263</v>
      </c>
      <c r="F59" s="28">
        <f>'LT GF'!G157-Overtime!E59</f>
        <v>0</v>
      </c>
      <c r="G59" s="5">
        <v>14700</v>
      </c>
      <c r="H59" s="28">
        <f>'LT GF'!K157-Overtime!G59</f>
        <v>0</v>
      </c>
      <c r="I59" s="13">
        <v>27593</v>
      </c>
      <c r="J59" s="28">
        <f>'LT GF'!O157-Overtime!I59</f>
        <v>0</v>
      </c>
      <c r="K59" s="5">
        <v>5427</v>
      </c>
      <c r="L59" s="28">
        <f>'LT GF'!Q157-Overtime!K59</f>
        <v>0</v>
      </c>
      <c r="M59" s="5">
        <v>12395</v>
      </c>
      <c r="N59" s="28">
        <f>'LT GF'!U157-Overtime!M59</f>
        <v>0</v>
      </c>
      <c r="O59" s="5">
        <v>53121</v>
      </c>
      <c r="P59" s="6">
        <f>'LT FF'!C157-Overtime!O59</f>
        <v>0</v>
      </c>
      <c r="Q59" s="5">
        <v>8537</v>
      </c>
      <c r="R59" s="6">
        <f>'LT FF'!E157-Overtime!Q59</f>
        <v>0</v>
      </c>
      <c r="S59" s="5">
        <v>25141</v>
      </c>
      <c r="T59" s="6">
        <f>'LT FF'!G157-Overtime!S59</f>
        <v>0</v>
      </c>
      <c r="U59" s="5">
        <v>1505</v>
      </c>
      <c r="V59" s="6">
        <f>'LT FF'!K157-Overtime!U59</f>
        <v>0</v>
      </c>
      <c r="W59" s="5">
        <v>28235</v>
      </c>
      <c r="X59" s="6">
        <f>'LT FF'!O157-Overtime!W59</f>
        <v>0</v>
      </c>
      <c r="Y59" s="5">
        <v>6113</v>
      </c>
      <c r="Z59" s="6">
        <f>'LT FF'!Q157-Overtime!Y59</f>
        <v>0</v>
      </c>
      <c r="AA59" s="5">
        <v>10072</v>
      </c>
      <c r="AB59" s="6">
        <f>'LT FF'!U157-Overtime!AA59</f>
        <v>0</v>
      </c>
      <c r="AC59" s="27">
        <v>91023</v>
      </c>
      <c r="AD59" s="28">
        <f>'LT 2F'!C158-Overtime!AC59</f>
        <v>0</v>
      </c>
      <c r="AE59" s="27">
        <v>14757</v>
      </c>
      <c r="AF59" s="28">
        <f>'LT 2F'!E158-Overtime!AE59</f>
        <v>0</v>
      </c>
      <c r="AG59" s="27">
        <v>30237</v>
      </c>
      <c r="AH59" s="28">
        <f>'LT 2F'!G158-Overtime!AG59</f>
        <v>0</v>
      </c>
      <c r="AI59" s="27">
        <v>29905</v>
      </c>
      <c r="AJ59" s="28">
        <f>'LT 2F'!K158-Overtime!AI59</f>
        <v>0</v>
      </c>
      <c r="AK59" s="27">
        <v>41308</v>
      </c>
      <c r="AL59" s="28">
        <f>'LT 2F'!O158-Overtime!AK59</f>
        <v>0</v>
      </c>
      <c r="AM59" s="27">
        <v>7296</v>
      </c>
      <c r="AN59" s="28">
        <f>'LT 2F'!Q158-Overtime!AM59</f>
        <v>0</v>
      </c>
      <c r="AO59" s="27"/>
      <c r="AP59" s="28">
        <v>0</v>
      </c>
      <c r="AQ59" s="27">
        <v>184930</v>
      </c>
      <c r="AR59" s="28">
        <f>'LT-Wshng'!D157-Overtime!AQ59</f>
        <v>0</v>
      </c>
      <c r="AS59" s="27"/>
      <c r="AT59" s="28" t="str">
        <f t="shared" si="2"/>
        <v/>
      </c>
      <c r="AU59" s="27">
        <v>34407</v>
      </c>
      <c r="AV59" s="28">
        <f>'LT-Wshng'!N157-Overtime!AU59</f>
        <v>0</v>
      </c>
      <c r="AW59" s="27">
        <v>15533</v>
      </c>
      <c r="AX59" s="28">
        <f>'LT-Wshng'!P157-Overtime!AW59</f>
        <v>0</v>
      </c>
      <c r="AY59" s="27"/>
      <c r="AZ59" s="28" t="str">
        <f t="shared" si="3"/>
        <v/>
      </c>
      <c r="BA59" s="29">
        <v>71409</v>
      </c>
      <c r="BB59" s="28">
        <f>'LT-Wshng'!T157-Overtime!BA59</f>
        <v>0</v>
      </c>
      <c r="BC59" s="27">
        <v>13706</v>
      </c>
      <c r="BD59" s="28">
        <f>'LT-Wshng'!V157-Overtime!BC59</f>
        <v>0</v>
      </c>
      <c r="BE59" s="27">
        <v>9153</v>
      </c>
      <c r="BF59" s="28">
        <f>'LT-Wshng'!AB157-Overtime!BE59</f>
        <v>0</v>
      </c>
      <c r="BG59" s="27">
        <v>9066</v>
      </c>
      <c r="BH59" s="28">
        <f>'LT-Wshng'!AD157-Overtime!BG59</f>
        <v>0</v>
      </c>
    </row>
    <row r="60" spans="1:60" x14ac:dyDescent="0.3">
      <c r="A60" s="9" t="s">
        <v>71</v>
      </c>
      <c r="B60" s="33">
        <v>45984</v>
      </c>
      <c r="C60" s="5">
        <v>73187</v>
      </c>
      <c r="D60" s="28">
        <f>'LT GF'!C158-Overtime!C60</f>
        <v>0</v>
      </c>
      <c r="E60" s="5">
        <v>20264</v>
      </c>
      <c r="F60" s="28">
        <f>'LT GF'!G158-Overtime!E60</f>
        <v>0</v>
      </c>
      <c r="G60" s="5">
        <v>14838</v>
      </c>
      <c r="H60" s="28">
        <f>'LT GF'!K158-Overtime!G60</f>
        <v>0</v>
      </c>
      <c r="I60" s="13">
        <v>27839</v>
      </c>
      <c r="J60" s="28">
        <f>'LT GF'!O158-Overtime!I60</f>
        <v>0</v>
      </c>
      <c r="K60" s="5">
        <v>5548</v>
      </c>
      <c r="L60" s="28">
        <f>'LT GF'!Q158-Overtime!K60</f>
        <v>0</v>
      </c>
      <c r="M60" s="5">
        <v>12501</v>
      </c>
      <c r="N60" s="28">
        <f>'LT GF'!U158-Overtime!M60</f>
        <v>0</v>
      </c>
      <c r="O60" s="5">
        <v>53205</v>
      </c>
      <c r="P60" s="6">
        <f>'LT FF'!C158-Overtime!O60</f>
        <v>0</v>
      </c>
      <c r="Q60" s="5">
        <v>8594</v>
      </c>
      <c r="R60" s="6">
        <f>'LT FF'!E158-Overtime!Q60</f>
        <v>0</v>
      </c>
      <c r="S60" s="5">
        <v>25141</v>
      </c>
      <c r="T60" s="6">
        <f>'LT FF'!G158-Overtime!S60</f>
        <v>0</v>
      </c>
      <c r="U60" s="5">
        <v>1516</v>
      </c>
      <c r="V60" s="6">
        <f>'LT FF'!K158-Overtime!U60</f>
        <v>0</v>
      </c>
      <c r="W60" s="5">
        <v>28341</v>
      </c>
      <c r="X60" s="6">
        <f>'LT FF'!O158-Overtime!W60</f>
        <v>0</v>
      </c>
      <c r="Y60" s="5">
        <v>6137</v>
      </c>
      <c r="Z60" s="6">
        <f>'LT FF'!Q158-Overtime!Y60</f>
        <v>0</v>
      </c>
      <c r="AA60" s="5">
        <v>10146</v>
      </c>
      <c r="AB60" s="6">
        <f>'LT FF'!U158-Overtime!AA60</f>
        <v>0</v>
      </c>
      <c r="AC60" s="27">
        <v>91006</v>
      </c>
      <c r="AD60" s="28">
        <f>'LT 2F'!C159-Overtime!AC60</f>
        <v>27</v>
      </c>
      <c r="AE60" s="27">
        <v>14750</v>
      </c>
      <c r="AF60" s="28">
        <f>'LT 2F'!E159-Overtime!AE60</f>
        <v>7</v>
      </c>
      <c r="AG60" s="27">
        <v>30237</v>
      </c>
      <c r="AH60" s="28">
        <f>'LT 2F'!G159-Overtime!AG60</f>
        <v>0</v>
      </c>
      <c r="AI60" s="27">
        <v>29895</v>
      </c>
      <c r="AJ60" s="28">
        <f>'LT 2F'!K159-Overtime!AI60</f>
        <v>11</v>
      </c>
      <c r="AK60" s="27">
        <v>41329</v>
      </c>
      <c r="AL60" s="28">
        <f>'LT 2F'!O159-Overtime!AK60</f>
        <v>0</v>
      </c>
      <c r="AM60" s="27">
        <v>7300</v>
      </c>
      <c r="AN60" s="28">
        <f>'LT 2F'!Q159-Overtime!AM60</f>
        <v>0</v>
      </c>
      <c r="AO60" s="27"/>
      <c r="AP60" s="28">
        <v>0</v>
      </c>
      <c r="AQ60" s="27">
        <v>186275</v>
      </c>
      <c r="AR60" s="28">
        <f>'LT-Wshng'!D158-Overtime!AQ60</f>
        <v>0</v>
      </c>
      <c r="AS60" s="27"/>
      <c r="AT60" s="28" t="str">
        <f t="shared" si="2"/>
        <v/>
      </c>
      <c r="AU60" s="27">
        <v>34444</v>
      </c>
      <c r="AV60" s="28">
        <f>'LT-Wshng'!N158-Overtime!AU60</f>
        <v>0</v>
      </c>
      <c r="AW60" s="27">
        <v>15693</v>
      </c>
      <c r="AX60" s="28">
        <f>'LT-Wshng'!P158-Overtime!AW60</f>
        <v>0</v>
      </c>
      <c r="AY60" s="27"/>
      <c r="AZ60" s="28" t="str">
        <f t="shared" si="3"/>
        <v/>
      </c>
      <c r="BA60" s="29">
        <v>71807</v>
      </c>
      <c r="BB60" s="28">
        <f>'LT-Wshng'!T158-Overtime!BA60</f>
        <v>0</v>
      </c>
      <c r="BC60" s="27">
        <v>13791</v>
      </c>
      <c r="BD60" s="28">
        <f>'LT-Wshng'!V158-Overtime!BC60</f>
        <v>0</v>
      </c>
      <c r="BE60" s="27">
        <v>9232</v>
      </c>
      <c r="BF60" s="28">
        <f>'LT-Wshng'!AB158-Overtime!BE60</f>
        <v>0</v>
      </c>
      <c r="BG60" s="27">
        <v>9167</v>
      </c>
      <c r="BH60" s="28">
        <f>'LT-Wshng'!AD158-Overtime!BG60</f>
        <v>0</v>
      </c>
    </row>
    <row r="61" spans="1:60" x14ac:dyDescent="0.3">
      <c r="A61" s="9" t="s">
        <v>72</v>
      </c>
      <c r="B61" s="33">
        <v>45985</v>
      </c>
      <c r="C61" s="5">
        <v>73193</v>
      </c>
      <c r="D61" s="28">
        <f>'LT GF'!C159-Overtime!C61</f>
        <v>0</v>
      </c>
      <c r="E61" s="5">
        <v>20265</v>
      </c>
      <c r="F61" s="28">
        <f>'LT GF'!G159-Overtime!E61</f>
        <v>0</v>
      </c>
      <c r="G61" s="5">
        <v>14843</v>
      </c>
      <c r="H61" s="28">
        <f>'LT GF'!K159-Overtime!G61</f>
        <v>0</v>
      </c>
      <c r="I61" s="13">
        <v>27846</v>
      </c>
      <c r="J61" s="28">
        <f>'LT GF'!O159-Overtime!I61</f>
        <v>0</v>
      </c>
      <c r="K61" s="5">
        <v>5548</v>
      </c>
      <c r="L61" s="28">
        <f>'LT GF'!Q159-Overtime!K61</f>
        <v>0</v>
      </c>
      <c r="M61" s="5">
        <v>12502</v>
      </c>
      <c r="N61" s="28">
        <f>'LT GF'!U159-Overtime!M61</f>
        <v>0</v>
      </c>
      <c r="O61" s="5">
        <v>53213</v>
      </c>
      <c r="P61" s="6">
        <f>'LT FF'!C159-Overtime!O61</f>
        <v>0</v>
      </c>
      <c r="Q61" s="5">
        <v>8595</v>
      </c>
      <c r="R61" s="6">
        <f>'LT FF'!E159-Overtime!Q61</f>
        <v>0</v>
      </c>
      <c r="S61" s="5">
        <v>25141</v>
      </c>
      <c r="T61" s="6">
        <f>'LT FF'!G159-Overtime!S61</f>
        <v>0</v>
      </c>
      <c r="U61" s="5">
        <v>1521</v>
      </c>
      <c r="V61" s="6">
        <f>'LT FF'!K159-Overtime!U61</f>
        <v>0</v>
      </c>
      <c r="W61" s="5">
        <v>28345</v>
      </c>
      <c r="X61" s="6">
        <f>'LT FF'!O159-Overtime!W61</f>
        <v>0</v>
      </c>
      <c r="Y61" s="5">
        <v>6137</v>
      </c>
      <c r="Z61" s="6">
        <f>'LT FF'!Q159-Overtime!Y61</f>
        <v>0</v>
      </c>
      <c r="AA61" s="5">
        <v>10146</v>
      </c>
      <c r="AB61" s="6">
        <f>'LT FF'!U159-Overtime!AA61</f>
        <v>1</v>
      </c>
      <c r="AC61" s="27">
        <v>91391</v>
      </c>
      <c r="AD61" s="28">
        <f>'LT 2F'!C160-Overtime!AC61</f>
        <v>0</v>
      </c>
      <c r="AE61" s="27">
        <v>14850</v>
      </c>
      <c r="AF61" s="28">
        <f>'LT 2F'!E160-Overtime!AE61</f>
        <v>0</v>
      </c>
      <c r="AG61" s="27">
        <v>30237</v>
      </c>
      <c r="AH61" s="28">
        <f>'LT 2F'!G160-Overtime!AG61</f>
        <v>0</v>
      </c>
      <c r="AI61" s="27">
        <v>30139</v>
      </c>
      <c r="AJ61" s="28">
        <f>'LT 2F'!K160-Overtime!AI61</f>
        <v>0</v>
      </c>
      <c r="AK61" s="27">
        <v>41504</v>
      </c>
      <c r="AL61" s="28">
        <f>'LT 2F'!O160-Overtime!AK61</f>
        <v>0</v>
      </c>
      <c r="AM61" s="27">
        <v>7325</v>
      </c>
      <c r="AN61" s="28">
        <f>'LT 2F'!Q160-Overtime!AM61</f>
        <v>0</v>
      </c>
      <c r="AO61" s="27"/>
      <c r="AP61" s="28">
        <v>0</v>
      </c>
      <c r="AQ61" s="27">
        <v>186335</v>
      </c>
      <c r="AR61" s="28">
        <f>'LT-Wshng'!D159-Overtime!AQ61</f>
        <v>0</v>
      </c>
      <c r="AS61" s="27"/>
      <c r="AT61" s="28" t="str">
        <f t="shared" si="2"/>
        <v/>
      </c>
      <c r="AU61" s="27">
        <v>34444</v>
      </c>
      <c r="AV61" s="28">
        <f>'LT-Wshng'!N159-Overtime!AU61</f>
        <v>0</v>
      </c>
      <c r="AW61" s="27">
        <v>15697</v>
      </c>
      <c r="AX61" s="28">
        <f>'LT-Wshng'!P159-Overtime!AW61</f>
        <v>0</v>
      </c>
      <c r="AY61" s="27"/>
      <c r="AZ61" s="28" t="str">
        <f t="shared" si="3"/>
        <v/>
      </c>
      <c r="BA61" s="29">
        <v>71839</v>
      </c>
      <c r="BB61" s="28">
        <f>'LT-Wshng'!T159-Overtime!BA61</f>
        <v>0</v>
      </c>
      <c r="BC61" s="27">
        <v>13803</v>
      </c>
      <c r="BD61" s="28">
        <f>'LT-Wshng'!V159-Overtime!BC61</f>
        <v>0</v>
      </c>
      <c r="BE61" s="27">
        <v>9240</v>
      </c>
      <c r="BF61" s="28">
        <f>'LT-Wshng'!AB159-Overtime!BE61</f>
        <v>0</v>
      </c>
      <c r="BG61" s="27">
        <v>9171</v>
      </c>
      <c r="BH61" s="28">
        <f>'LT-Wshng'!AD159-Overtime!BG61</f>
        <v>0</v>
      </c>
    </row>
    <row r="62" spans="1:60" x14ac:dyDescent="0.3">
      <c r="A62" s="9" t="s">
        <v>66</v>
      </c>
      <c r="B62" s="33">
        <v>45986</v>
      </c>
      <c r="C62" s="5">
        <v>73553</v>
      </c>
      <c r="D62" s="28">
        <f>'LT GF'!C160-Overtime!C62</f>
        <v>0</v>
      </c>
      <c r="E62" s="5">
        <v>20265</v>
      </c>
      <c r="F62" s="28">
        <f>'LT GF'!G160-Overtime!E62</f>
        <v>0</v>
      </c>
      <c r="G62" s="5">
        <v>14981</v>
      </c>
      <c r="H62" s="28">
        <f>'LT GF'!K160-Overtime!G62</f>
        <v>0</v>
      </c>
      <c r="I62" s="13">
        <v>28083</v>
      </c>
      <c r="J62" s="28">
        <f>'LT GF'!O160-Overtime!I62</f>
        <v>0</v>
      </c>
      <c r="K62" s="5">
        <v>5653</v>
      </c>
      <c r="L62" s="28">
        <f>'LT GF'!Q160-Overtime!K62</f>
        <v>0</v>
      </c>
      <c r="M62" s="5">
        <v>12618</v>
      </c>
      <c r="N62" s="28">
        <f>'LT GF'!U160-Overtime!M62</f>
        <v>0</v>
      </c>
      <c r="O62" s="5">
        <v>53282</v>
      </c>
      <c r="P62" s="6">
        <f>'LT FF'!C160-Overtime!O62</f>
        <v>0</v>
      </c>
      <c r="Q62" s="5">
        <v>8635</v>
      </c>
      <c r="R62" s="6">
        <f>'LT FF'!E160-Overtime!Q62</f>
        <v>0</v>
      </c>
      <c r="S62" s="5">
        <v>25141</v>
      </c>
      <c r="T62" s="6">
        <f>'LT FF'!G160-Overtime!S62</f>
        <v>0</v>
      </c>
      <c r="U62" s="5">
        <v>1533</v>
      </c>
      <c r="V62" s="6">
        <f>'LT FF'!K160-Overtime!U62</f>
        <v>0</v>
      </c>
      <c r="W62" s="5">
        <v>28449</v>
      </c>
      <c r="X62" s="6">
        <f>'LT FF'!O160-Overtime!W62</f>
        <v>0</v>
      </c>
      <c r="Y62" s="5">
        <v>6158</v>
      </c>
      <c r="Z62" s="6">
        <f>'LT FF'!Q160-Overtime!Y62</f>
        <v>0</v>
      </c>
      <c r="AA62" s="5">
        <v>10221</v>
      </c>
      <c r="AB62" s="6">
        <f>'LT FF'!U160-Overtime!AA62</f>
        <v>0</v>
      </c>
      <c r="AC62" s="27">
        <v>91750</v>
      </c>
      <c r="AD62" s="28">
        <f>'LT 2F'!C161-Overtime!AC62</f>
        <v>0</v>
      </c>
      <c r="AE62" s="27">
        <v>14951</v>
      </c>
      <c r="AF62" s="28">
        <f>'LT 2F'!E161-Overtime!AE62</f>
        <v>0</v>
      </c>
      <c r="AG62" s="27">
        <v>30237</v>
      </c>
      <c r="AH62" s="28">
        <f>'LT 2F'!G161-Overtime!AG62</f>
        <v>0</v>
      </c>
      <c r="AI62" s="27">
        <v>30369</v>
      </c>
      <c r="AJ62" s="28">
        <f>'LT 2F'!K161-Overtime!AI62</f>
        <v>0</v>
      </c>
      <c r="AK62" s="27">
        <v>41697</v>
      </c>
      <c r="AL62" s="28">
        <f>'LT 2F'!O161-Overtime!AK62</f>
        <v>0</v>
      </c>
      <c r="AM62" s="27">
        <v>7358</v>
      </c>
      <c r="AN62" s="28">
        <f>'LT 2F'!Q161-Overtime!AM62</f>
        <v>0</v>
      </c>
      <c r="AO62" s="27"/>
      <c r="AP62" s="28">
        <v>0</v>
      </c>
      <c r="AQ62" s="27">
        <v>187964</v>
      </c>
      <c r="AR62" s="28">
        <f>'LT-Wshng'!D160-Overtime!AQ62</f>
        <v>0</v>
      </c>
      <c r="AS62" s="27"/>
      <c r="AT62" s="28" t="str">
        <f t="shared" si="2"/>
        <v/>
      </c>
      <c r="AU62" s="27">
        <v>34512</v>
      </c>
      <c r="AV62" s="28">
        <f>'LT-Wshng'!N160-Overtime!AU62</f>
        <v>0</v>
      </c>
      <c r="AW62" s="27">
        <v>15853</v>
      </c>
      <c r="AX62" s="28">
        <f>'LT-Wshng'!P160-Overtime!AW62</f>
        <v>0</v>
      </c>
      <c r="AY62" s="27"/>
      <c r="AZ62" s="28" t="str">
        <f t="shared" si="3"/>
        <v/>
      </c>
      <c r="BA62" s="29">
        <v>72155</v>
      </c>
      <c r="BB62" s="28">
        <f>'LT-Wshng'!T160-Overtime!BA62</f>
        <v>0</v>
      </c>
      <c r="BC62" s="27">
        <v>13888</v>
      </c>
      <c r="BD62" s="28">
        <f>'LT-Wshng'!V160-Overtime!BC62</f>
        <v>0</v>
      </c>
      <c r="BE62" s="27">
        <v>9295</v>
      </c>
      <c r="BF62" s="28">
        <f>'LT-Wshng'!AB160-Overtime!BE62</f>
        <v>0</v>
      </c>
      <c r="BG62" s="27">
        <v>9225</v>
      </c>
      <c r="BH62" s="28">
        <f>'LT-Wshng'!AD160-Overtime!BG62</f>
        <v>0</v>
      </c>
    </row>
    <row r="63" spans="1:60" x14ac:dyDescent="0.3">
      <c r="A63" s="9" t="s">
        <v>67</v>
      </c>
      <c r="B63" s="33">
        <v>45987</v>
      </c>
      <c r="C63" s="5">
        <v>73950</v>
      </c>
      <c r="D63" s="28">
        <f>'LT GF'!C161-Overtime!C63</f>
        <v>0</v>
      </c>
      <c r="E63" s="5">
        <v>20266</v>
      </c>
      <c r="F63" s="28">
        <f>'LT GF'!G161-Overtime!E63</f>
        <v>0</v>
      </c>
      <c r="G63" s="5">
        <v>15124</v>
      </c>
      <c r="H63" s="28">
        <f>'LT GF'!K161-Overtime!G63</f>
        <v>0</v>
      </c>
      <c r="I63" s="13">
        <v>28310</v>
      </c>
      <c r="J63" s="28">
        <f>'LT GF'!O161-Overtime!I63</f>
        <v>0</v>
      </c>
      <c r="K63" s="5">
        <v>5745</v>
      </c>
      <c r="L63" s="28">
        <f>'LT GF'!Q161-Overtime!K63</f>
        <v>0</v>
      </c>
      <c r="M63" s="5">
        <v>12734</v>
      </c>
      <c r="N63" s="28">
        <f>'LT GF'!U161-Overtime!M63</f>
        <v>0</v>
      </c>
      <c r="O63" s="5">
        <v>53348</v>
      </c>
      <c r="P63" s="6">
        <f>'LT FF'!C161-Overtime!O63</f>
        <v>0</v>
      </c>
      <c r="Q63" s="5">
        <v>8667</v>
      </c>
      <c r="R63" s="6">
        <f>'LT FF'!E161-Overtime!Q63</f>
        <v>0</v>
      </c>
      <c r="S63" s="5">
        <v>25141</v>
      </c>
      <c r="T63" s="6">
        <f>'LT FF'!G161-Overtime!S63</f>
        <v>0</v>
      </c>
      <c r="U63" s="5">
        <v>1549</v>
      </c>
      <c r="V63" s="6">
        <f>'LT FF'!K161-Overtime!U63</f>
        <v>0</v>
      </c>
      <c r="W63" s="5">
        <v>28558</v>
      </c>
      <c r="X63" s="6">
        <f>'LT FF'!O161-Overtime!W63</f>
        <v>0</v>
      </c>
      <c r="Y63" s="5">
        <v>6180</v>
      </c>
      <c r="Z63" s="6">
        <f>'LT FF'!Q161-Overtime!Y63</f>
        <v>0</v>
      </c>
      <c r="AA63" s="5">
        <v>10299</v>
      </c>
      <c r="AB63" s="6">
        <f>'LT FF'!U161-Overtime!AA63</f>
        <v>0</v>
      </c>
      <c r="AC63" s="27">
        <v>92091</v>
      </c>
      <c r="AD63" s="28">
        <f>'LT 2F'!C162-Overtime!AC63</f>
        <v>0</v>
      </c>
      <c r="AE63" s="27">
        <v>15043</v>
      </c>
      <c r="AF63" s="28">
        <f>'LT 2F'!E162-Overtime!AE63</f>
        <v>0</v>
      </c>
      <c r="AG63" s="27">
        <v>30237</v>
      </c>
      <c r="AH63" s="28">
        <f>'LT 2F'!G162-Overtime!AG63</f>
        <v>0</v>
      </c>
      <c r="AI63" s="27">
        <v>30590</v>
      </c>
      <c r="AJ63" s="28">
        <f>'LT 2F'!K162-Overtime!AI63</f>
        <v>0</v>
      </c>
      <c r="AK63" s="27">
        <v>41867</v>
      </c>
      <c r="AL63" s="28">
        <f>'LT 2F'!O162-Overtime!AK63</f>
        <v>0</v>
      </c>
      <c r="AM63" s="27">
        <v>7369</v>
      </c>
      <c r="AN63" s="28">
        <f>'LT 2F'!Q162-Overtime!AM63</f>
        <v>0</v>
      </c>
      <c r="AO63" s="27"/>
      <c r="AP63" s="28">
        <v>0</v>
      </c>
      <c r="AQ63" s="27">
        <v>189276</v>
      </c>
      <c r="AR63" s="28">
        <f>'LT-Wshng'!D161-Overtime!AQ63</f>
        <v>0</v>
      </c>
      <c r="AS63" s="27"/>
      <c r="AT63" s="28" t="str">
        <f t="shared" si="2"/>
        <v/>
      </c>
      <c r="AU63" s="27">
        <v>34521</v>
      </c>
      <c r="AV63" s="28">
        <f>'LT-Wshng'!N161-Overtime!AU63</f>
        <v>0</v>
      </c>
      <c r="AW63" s="27">
        <v>16001</v>
      </c>
      <c r="AX63" s="28">
        <f>'LT-Wshng'!P161-Overtime!AW63</f>
        <v>0</v>
      </c>
      <c r="AY63" s="27"/>
      <c r="AZ63" s="28" t="str">
        <f t="shared" si="3"/>
        <v/>
      </c>
      <c r="BA63" s="29">
        <v>72539</v>
      </c>
      <c r="BB63" s="28">
        <f>'LT-Wshng'!T161-Overtime!BA63</f>
        <v>0</v>
      </c>
      <c r="BC63" s="27">
        <v>13970</v>
      </c>
      <c r="BD63" s="28">
        <f>'LT-Wshng'!V161-Overtime!BC63</f>
        <v>0</v>
      </c>
      <c r="BE63" s="27">
        <v>9402</v>
      </c>
      <c r="BF63" s="28">
        <f>'LT-Wshng'!AB161-Overtime!BE63</f>
        <v>0</v>
      </c>
      <c r="BG63" s="27">
        <v>9283</v>
      </c>
      <c r="BH63" s="28">
        <f>'LT-Wshng'!AD161-Overtime!BG63</f>
        <v>0</v>
      </c>
    </row>
    <row r="64" spans="1:60" x14ac:dyDescent="0.3">
      <c r="A64" s="9" t="s">
        <v>68</v>
      </c>
      <c r="B64" s="33">
        <v>45988</v>
      </c>
      <c r="C64" s="5">
        <v>74369</v>
      </c>
      <c r="D64" s="28">
        <f>'LT GF'!C162-Overtime!C64</f>
        <v>0</v>
      </c>
      <c r="E64" s="5">
        <v>20270</v>
      </c>
      <c r="F64" s="28">
        <f>'LT GF'!G162-Overtime!E64</f>
        <v>0</v>
      </c>
      <c r="G64" s="5">
        <v>15266</v>
      </c>
      <c r="H64" s="28">
        <f>'LT GF'!K162-Overtime!G64</f>
        <v>0</v>
      </c>
      <c r="I64" s="13">
        <v>28526</v>
      </c>
      <c r="J64" s="28">
        <f>'LT GF'!O162-Overtime!I64</f>
        <v>0</v>
      </c>
      <c r="K64" s="5">
        <v>5825</v>
      </c>
      <c r="L64" s="28">
        <f>'LT GF'!Q162-Overtime!K64</f>
        <v>0</v>
      </c>
      <c r="M64" s="5">
        <v>12850</v>
      </c>
      <c r="N64" s="28">
        <f>'LT GF'!U162-Overtime!M64</f>
        <v>0</v>
      </c>
      <c r="O64" s="5">
        <v>53433</v>
      </c>
      <c r="P64" s="6">
        <f>'LT FF'!C162-Overtime!O64</f>
        <v>0</v>
      </c>
      <c r="Q64" s="5">
        <v>8713</v>
      </c>
      <c r="R64" s="6">
        <f>'LT FF'!E162-Overtime!Q64</f>
        <v>0</v>
      </c>
      <c r="S64" s="5">
        <v>25141</v>
      </c>
      <c r="T64" s="6">
        <f>'LT FF'!G162-Overtime!S64</f>
        <v>4</v>
      </c>
      <c r="U64" s="5">
        <v>1562</v>
      </c>
      <c r="V64" s="6">
        <f>'LT FF'!K162-Overtime!U64</f>
        <v>0</v>
      </c>
      <c r="W64" s="5">
        <v>28667</v>
      </c>
      <c r="X64" s="6">
        <f>'LT FF'!O162-Overtime!W64</f>
        <v>0</v>
      </c>
      <c r="Y64" s="5">
        <v>6206</v>
      </c>
      <c r="Z64" s="6">
        <f>'LT FF'!Q162-Overtime!Y64</f>
        <v>0</v>
      </c>
      <c r="AA64" s="5">
        <v>10372</v>
      </c>
      <c r="AB64" s="6">
        <f>'LT FF'!U162-Overtime!AA64</f>
        <v>0</v>
      </c>
      <c r="AC64" s="27">
        <v>92415</v>
      </c>
      <c r="AD64" s="28">
        <f>'LT 2F'!C163-Overtime!AC64</f>
        <v>10</v>
      </c>
      <c r="AE64" s="27">
        <v>15136</v>
      </c>
      <c r="AF64" s="28">
        <f>'LT 2F'!E163-Overtime!AE64</f>
        <v>0</v>
      </c>
      <c r="AG64" s="27">
        <v>30237</v>
      </c>
      <c r="AH64" s="28">
        <f>'LT 2F'!G163-Overtime!AG64</f>
        <v>0</v>
      </c>
      <c r="AI64" s="27">
        <v>30800</v>
      </c>
      <c r="AJ64" s="28">
        <f>'LT 2F'!K163-Overtime!AI64</f>
        <v>0</v>
      </c>
      <c r="AK64" s="27">
        <v>42087</v>
      </c>
      <c r="AL64" s="28">
        <f>'LT 2F'!O163-Overtime!AK64</f>
        <v>0</v>
      </c>
      <c r="AM64" s="27">
        <v>7417</v>
      </c>
      <c r="AN64" s="28">
        <f>'LT 2F'!Q163-Overtime!AM64</f>
        <v>0</v>
      </c>
      <c r="AO64" s="27"/>
      <c r="AP64" s="28">
        <v>0</v>
      </c>
      <c r="AQ64" s="27">
        <v>190561</v>
      </c>
      <c r="AR64" s="28">
        <f>'LT-Wshng'!D162-Overtime!AQ64</f>
        <v>0</v>
      </c>
      <c r="AS64" s="27"/>
      <c r="AT64" s="28" t="str">
        <f t="shared" si="2"/>
        <v/>
      </c>
      <c r="AU64" s="27">
        <v>34534</v>
      </c>
      <c r="AV64" s="28">
        <f>'LT-Wshng'!N162-Overtime!AU64</f>
        <v>0</v>
      </c>
      <c r="AW64" s="27">
        <v>16148</v>
      </c>
      <c r="AX64" s="28">
        <f>'LT-Wshng'!P162-Overtime!AW64</f>
        <v>0</v>
      </c>
      <c r="AY64" s="27"/>
      <c r="AZ64" s="28" t="str">
        <f t="shared" si="3"/>
        <v/>
      </c>
      <c r="BA64" s="29">
        <v>72878</v>
      </c>
      <c r="BB64" s="28">
        <f>'LT-Wshng'!T162-Overtime!BA64</f>
        <v>0</v>
      </c>
      <c r="BC64" s="27">
        <v>14053</v>
      </c>
      <c r="BD64" s="28">
        <f>'LT-Wshng'!V162-Overtime!BC64</f>
        <v>0</v>
      </c>
      <c r="BE64" s="27">
        <v>9460</v>
      </c>
      <c r="BF64" s="28">
        <f>'LT-Wshng'!AB162-Overtime!BE64</f>
        <v>0</v>
      </c>
      <c r="BG64" s="27">
        <v>9321</v>
      </c>
      <c r="BH64" s="28">
        <f>'LT-Wshng'!AD162-Overtime!BG64</f>
        <v>0</v>
      </c>
    </row>
    <row r="65" spans="1:60" x14ac:dyDescent="0.3">
      <c r="A65" s="9" t="s">
        <v>69</v>
      </c>
      <c r="B65" s="33">
        <v>45989</v>
      </c>
      <c r="C65" s="5">
        <v>74705</v>
      </c>
      <c r="D65" s="28">
        <f>'LT GF'!C163-Overtime!C65</f>
        <v>31</v>
      </c>
      <c r="E65" s="5">
        <v>20270</v>
      </c>
      <c r="F65" s="28">
        <f>'LT GF'!G163-Overtime!E65</f>
        <v>1</v>
      </c>
      <c r="G65" s="5">
        <v>15380</v>
      </c>
      <c r="H65" s="28">
        <f>'LT GF'!K163-Overtime!G65</f>
        <v>24</v>
      </c>
      <c r="I65" s="13">
        <v>28733</v>
      </c>
      <c r="J65" s="28">
        <f>'LT GF'!O163-Overtime!I65</f>
        <v>15</v>
      </c>
      <c r="K65" s="5">
        <v>5913</v>
      </c>
      <c r="L65" s="28">
        <f>'LT GF'!Q163-Overtime!K65</f>
        <v>0</v>
      </c>
      <c r="M65" s="5">
        <v>12956</v>
      </c>
      <c r="N65" s="28">
        <f>'LT GF'!U163-Overtime!M65</f>
        <v>10</v>
      </c>
      <c r="O65" s="5">
        <v>53510</v>
      </c>
      <c r="P65" s="6">
        <f>'LT FF'!C163-Overtime!O65</f>
        <v>0</v>
      </c>
      <c r="Q65" s="5">
        <v>8756</v>
      </c>
      <c r="R65" s="6">
        <f>'LT FF'!E163-Overtime!Q65</f>
        <v>0</v>
      </c>
      <c r="S65" s="5">
        <v>25145</v>
      </c>
      <c r="T65" s="6">
        <f>'LT FF'!G163-Overtime!S65</f>
        <v>0</v>
      </c>
      <c r="U65" s="5">
        <v>1577</v>
      </c>
      <c r="V65" s="6">
        <f>'LT FF'!K163-Overtime!U65</f>
        <v>0</v>
      </c>
      <c r="W65" s="5">
        <v>28771</v>
      </c>
      <c r="X65" s="6">
        <f>'LT FF'!O163-Overtime!W65</f>
        <v>0</v>
      </c>
      <c r="Y65" s="5">
        <v>6227</v>
      </c>
      <c r="Z65" s="6">
        <f>'LT FF'!Q163-Overtime!Y65</f>
        <v>0</v>
      </c>
      <c r="AA65" s="5">
        <v>10446</v>
      </c>
      <c r="AB65" s="6">
        <f>'LT FF'!U163-Overtime!AA65</f>
        <v>0</v>
      </c>
      <c r="AC65" s="27">
        <v>92742</v>
      </c>
      <c r="AD65" s="28">
        <f>'LT 2F'!C164-Overtime!AC65</f>
        <v>24</v>
      </c>
      <c r="AE65" s="27">
        <v>15232</v>
      </c>
      <c r="AF65" s="28">
        <f>'LT 2F'!E164-Overtime!AE65</f>
        <v>3</v>
      </c>
      <c r="AG65" s="27">
        <v>30237</v>
      </c>
      <c r="AH65" s="28">
        <f>'LT 2F'!G164-Overtime!AG65</f>
        <v>0</v>
      </c>
      <c r="AI65" s="27">
        <v>31008</v>
      </c>
      <c r="AJ65" s="28">
        <f>'LT 2F'!K164-Overtime!AI65</f>
        <v>0</v>
      </c>
      <c r="AK65" s="27">
        <v>42283</v>
      </c>
      <c r="AL65" s="28">
        <f>'LT 2F'!O164-Overtime!AK65</f>
        <v>0</v>
      </c>
      <c r="AM65" s="27">
        <v>7469</v>
      </c>
      <c r="AN65" s="28">
        <f>'LT 2F'!Q164-Overtime!AM65</f>
        <v>0</v>
      </c>
      <c r="AO65" s="27"/>
      <c r="AP65" s="28">
        <v>0</v>
      </c>
      <c r="AQ65" s="27">
        <v>191766</v>
      </c>
      <c r="AR65" s="28">
        <f>'LT-Wshng'!D163-Overtime!AQ65</f>
        <v>0</v>
      </c>
      <c r="AS65" s="27"/>
      <c r="AT65" s="28" t="str">
        <f t="shared" si="2"/>
        <v/>
      </c>
      <c r="AU65" s="27">
        <v>34543</v>
      </c>
      <c r="AV65" s="28">
        <f>'LT-Wshng'!N163-Overtime!AU65</f>
        <v>0</v>
      </c>
      <c r="AW65" s="27">
        <v>16293</v>
      </c>
      <c r="AX65" s="28">
        <f>'LT-Wshng'!P163-Overtime!AW65</f>
        <v>0</v>
      </c>
      <c r="AY65" s="27"/>
      <c r="AZ65" s="28" t="str">
        <f t="shared" si="3"/>
        <v/>
      </c>
      <c r="BA65" s="29">
        <v>73192</v>
      </c>
      <c r="BB65" s="28">
        <f>'LT-Wshng'!T163-Overtime!BA65</f>
        <v>0</v>
      </c>
      <c r="BC65" s="27">
        <v>14139</v>
      </c>
      <c r="BD65" s="28">
        <f>'LT-Wshng'!V163-Overtime!BC65</f>
        <v>0</v>
      </c>
      <c r="BE65" s="27">
        <v>9511</v>
      </c>
      <c r="BF65" s="28">
        <f>'LT-Wshng'!AB163-Overtime!BE65</f>
        <v>0</v>
      </c>
      <c r="BG65" s="27">
        <v>9349</v>
      </c>
      <c r="BH65" s="28">
        <f>'LT-Wshng'!AD163-Overtime!BG65</f>
        <v>0</v>
      </c>
    </row>
    <row r="66" spans="1:60" x14ac:dyDescent="0.3">
      <c r="A66" s="9" t="s">
        <v>70</v>
      </c>
      <c r="B66" s="33">
        <v>45990</v>
      </c>
      <c r="C66" s="5">
        <v>75107</v>
      </c>
      <c r="D66" s="28">
        <f>'LT GF'!C164-Overtime!C66</f>
        <v>42</v>
      </c>
      <c r="E66" s="5">
        <v>20272</v>
      </c>
      <c r="F66" s="28">
        <f>'LT GF'!G164-Overtime!E66</f>
        <v>0</v>
      </c>
      <c r="G66" s="5">
        <v>15520</v>
      </c>
      <c r="H66" s="28">
        <f>'LT GF'!K164-Overtime!G66</f>
        <v>26</v>
      </c>
      <c r="I66" s="13">
        <v>28913</v>
      </c>
      <c r="J66" s="28">
        <f>'LT GF'!O164-Overtime!I66</f>
        <v>18</v>
      </c>
      <c r="K66" s="5">
        <v>5960</v>
      </c>
      <c r="L66" s="28">
        <f>'LT GF'!Q164-Overtime!K66</f>
        <v>4</v>
      </c>
      <c r="M66" s="5">
        <v>13071</v>
      </c>
      <c r="N66" s="28">
        <f>'LT GF'!U164-Overtime!M66</f>
        <v>8</v>
      </c>
      <c r="O66" s="5">
        <v>53575</v>
      </c>
      <c r="P66" s="6">
        <f>'LT FF'!C164-Overtime!O66</f>
        <v>0</v>
      </c>
      <c r="Q66" s="5">
        <v>8791</v>
      </c>
      <c r="R66" s="6">
        <f>'LT FF'!E164-Overtime!Q66</f>
        <v>0</v>
      </c>
      <c r="S66" s="5">
        <v>25145</v>
      </c>
      <c r="T66" s="6">
        <f>'LT FF'!G164-Overtime!S66</f>
        <v>0</v>
      </c>
      <c r="U66" s="5">
        <v>1591</v>
      </c>
      <c r="V66" s="6">
        <f>'LT FF'!K164-Overtime!U66</f>
        <v>0</v>
      </c>
      <c r="W66" s="5">
        <v>28876</v>
      </c>
      <c r="X66" s="6">
        <f>'LT FF'!O164-Overtime!W66</f>
        <v>8</v>
      </c>
      <c r="Y66" s="5">
        <v>6257</v>
      </c>
      <c r="Z66" s="6">
        <f>'LT FF'!Q164-Overtime!Y66</f>
        <v>3</v>
      </c>
      <c r="AA66" s="5">
        <v>10518</v>
      </c>
      <c r="AB66" s="6">
        <f>'LT FF'!U164-Overtime!AA66</f>
        <v>0</v>
      </c>
      <c r="AC66" s="27">
        <v>93069</v>
      </c>
      <c r="AD66" s="28">
        <f>'LT 2F'!C165-Overtime!AC66</f>
        <v>0</v>
      </c>
      <c r="AE66" s="27">
        <v>15325</v>
      </c>
      <c r="AF66" s="28">
        <f>'LT 2F'!E165-Overtime!AE66</f>
        <v>0</v>
      </c>
      <c r="AG66" s="27">
        <v>30237</v>
      </c>
      <c r="AH66" s="28">
        <f>'LT 2F'!G165-Overtime!AG66</f>
        <v>0</v>
      </c>
      <c r="AI66" s="27">
        <v>31185</v>
      </c>
      <c r="AJ66" s="28">
        <f>'LT 2F'!K165-Overtime!AI66</f>
        <v>0</v>
      </c>
      <c r="AK66" s="27">
        <v>42466</v>
      </c>
      <c r="AL66" s="28">
        <f>'LT 2F'!O165-Overtime!AK66</f>
        <v>0</v>
      </c>
      <c r="AM66" s="27">
        <v>7521</v>
      </c>
      <c r="AN66" s="28">
        <f>'LT 2F'!Q165-Overtime!AM66</f>
        <v>0</v>
      </c>
      <c r="AO66" s="27"/>
      <c r="AP66" s="28">
        <v>0</v>
      </c>
      <c r="AQ66" s="27">
        <v>192754</v>
      </c>
      <c r="AR66" s="28">
        <f>'LT-Wshng'!D164-Overtime!AQ66</f>
        <v>0</v>
      </c>
      <c r="AS66" s="27"/>
      <c r="AT66" s="28" t="str">
        <f t="shared" si="2"/>
        <v/>
      </c>
      <c r="AU66" s="27">
        <v>34560</v>
      </c>
      <c r="AV66" s="28">
        <f>'LT-Wshng'!N164-Overtime!AU66</f>
        <v>0</v>
      </c>
      <c r="AW66" s="27">
        <v>16440</v>
      </c>
      <c r="AX66" s="28">
        <f>'LT-Wshng'!P164-Overtime!AW66</f>
        <v>0</v>
      </c>
      <c r="AY66" s="27"/>
      <c r="AZ66" s="28" t="str">
        <f t="shared" si="3"/>
        <v/>
      </c>
      <c r="BA66" s="29">
        <v>73488</v>
      </c>
      <c r="BB66" s="28">
        <f>'LT-Wshng'!T164-Overtime!BA66</f>
        <v>0</v>
      </c>
      <c r="BC66" s="27">
        <v>14218</v>
      </c>
      <c r="BD66" s="28">
        <f>'LT-Wshng'!V164-Overtime!BC66</f>
        <v>0</v>
      </c>
      <c r="BE66" s="27">
        <v>9552</v>
      </c>
      <c r="BF66" s="28">
        <f>'LT-Wshng'!AB164-Overtime!BE66</f>
        <v>0</v>
      </c>
      <c r="BG66" s="27">
        <v>9378</v>
      </c>
      <c r="BH66" s="28">
        <f>'LT-Wshng'!AD164-Overtime!BG66</f>
        <v>0</v>
      </c>
    </row>
    <row r="67" spans="1:60" x14ac:dyDescent="0.3">
      <c r="A67" s="9" t="s">
        <v>71</v>
      </c>
      <c r="B67" s="33">
        <v>45991</v>
      </c>
      <c r="C67" s="5">
        <v>75615</v>
      </c>
      <c r="D67" s="28">
        <f>'LT GF'!C165-Overtime!C67</f>
        <v>0</v>
      </c>
      <c r="E67" s="5">
        <v>20273</v>
      </c>
      <c r="F67" s="28">
        <f>'LT GF'!G165-Overtime!E67</f>
        <v>0</v>
      </c>
      <c r="G67" s="5">
        <v>15697</v>
      </c>
      <c r="H67" s="28">
        <f>'LT GF'!K165-Overtime!G67</f>
        <v>0</v>
      </c>
      <c r="I67" s="13">
        <v>29116</v>
      </c>
      <c r="J67" s="28">
        <f>'LT GF'!O165-Overtime!I67</f>
        <v>0</v>
      </c>
      <c r="K67" s="5">
        <v>6009</v>
      </c>
      <c r="L67" s="28">
        <f>'LT GF'!Q165-Overtime!K67</f>
        <v>0</v>
      </c>
      <c r="M67" s="5">
        <v>13202</v>
      </c>
      <c r="N67" s="28">
        <f>'LT GF'!U165-Overtime!M67</f>
        <v>0</v>
      </c>
      <c r="O67" s="5">
        <v>53644</v>
      </c>
      <c r="P67" s="6">
        <f>'LT FF'!C165-Overtime!O67</f>
        <v>0</v>
      </c>
      <c r="Q67" s="5">
        <v>8827</v>
      </c>
      <c r="R67" s="6">
        <f>'LT FF'!E165-Overtime!Q67</f>
        <v>0</v>
      </c>
      <c r="S67" s="5">
        <v>25145</v>
      </c>
      <c r="T67" s="6">
        <f>'LT FF'!G165-Overtime!S67</f>
        <v>0</v>
      </c>
      <c r="U67" s="5">
        <v>1601</v>
      </c>
      <c r="V67" s="6">
        <f>'LT FF'!K165-Overtime!U67</f>
        <v>0</v>
      </c>
      <c r="W67" s="5">
        <v>29004</v>
      </c>
      <c r="X67" s="6">
        <f>'LT FF'!O165-Overtime!W67</f>
        <v>0</v>
      </c>
      <c r="Y67" s="5">
        <v>6292</v>
      </c>
      <c r="Z67" s="6">
        <f>'LT FF'!Q165-Overtime!Y67</f>
        <v>0</v>
      </c>
      <c r="AA67" s="5">
        <v>10597</v>
      </c>
      <c r="AB67" s="6">
        <f>'LT FF'!U165-Overtime!AA67</f>
        <v>0</v>
      </c>
      <c r="AC67" s="27">
        <v>93078</v>
      </c>
      <c r="AD67" s="28">
        <f>'LT 2F'!C166-Overtime!AC67</f>
        <v>0</v>
      </c>
      <c r="AE67" s="27">
        <v>15325</v>
      </c>
      <c r="AF67" s="28">
        <f>'LT 2F'!E166-Overtime!AE67</f>
        <v>0</v>
      </c>
      <c r="AG67" s="27">
        <v>30237</v>
      </c>
      <c r="AH67" s="28">
        <f>'LT 2F'!G166-Overtime!AG67</f>
        <v>0</v>
      </c>
      <c r="AI67" s="27">
        <v>31190</v>
      </c>
      <c r="AJ67" s="28">
        <f>'LT 2F'!K166-Overtime!AI67</f>
        <v>0</v>
      </c>
      <c r="AK67" s="27">
        <v>42486</v>
      </c>
      <c r="AL67" s="28">
        <f>'LT 2F'!O166-Overtime!AK67</f>
        <v>0</v>
      </c>
      <c r="AM67" s="27">
        <v>7526</v>
      </c>
      <c r="AN67" s="28">
        <f>'LT 2F'!Q166-Overtime!AM67</f>
        <v>0</v>
      </c>
      <c r="AO67" s="27"/>
      <c r="AP67" s="28">
        <v>0</v>
      </c>
      <c r="AQ67" s="27">
        <v>193913</v>
      </c>
      <c r="AR67" s="28">
        <f>'LT-Wshng'!D165-Overtime!AQ67</f>
        <v>0</v>
      </c>
      <c r="AS67" s="27"/>
      <c r="AT67" s="28" t="str">
        <f t="shared" si="2"/>
        <v/>
      </c>
      <c r="AU67" s="27">
        <v>34569</v>
      </c>
      <c r="AV67" s="28">
        <f>'LT-Wshng'!N165-Overtime!AU67</f>
        <v>0</v>
      </c>
      <c r="AW67" s="27">
        <v>16583</v>
      </c>
      <c r="AX67" s="28">
        <f>'LT-Wshng'!P165-Overtime!AW67</f>
        <v>0</v>
      </c>
      <c r="AY67" s="27"/>
      <c r="AZ67" s="28" t="str">
        <f t="shared" si="3"/>
        <v/>
      </c>
      <c r="BA67" s="29">
        <v>73763</v>
      </c>
      <c r="BB67" s="28">
        <f>'LT-Wshng'!T165-Overtime!BA67</f>
        <v>0</v>
      </c>
      <c r="BC67" s="27">
        <v>14305</v>
      </c>
      <c r="BD67" s="28">
        <f>'LT-Wshng'!V165-Overtime!BC67</f>
        <v>0</v>
      </c>
      <c r="BE67" s="27">
        <v>9569</v>
      </c>
      <c r="BF67" s="28">
        <f>'LT-Wshng'!AB165-Overtime!BE67</f>
        <v>0</v>
      </c>
      <c r="BG67" s="27">
        <v>9405</v>
      </c>
      <c r="BH67" s="28">
        <f>'LT-Wshng'!AD165-Overtime!BG67</f>
        <v>0</v>
      </c>
    </row>
    <row r="68" spans="1:60" x14ac:dyDescent="0.3">
      <c r="A68" s="9" t="s">
        <v>72</v>
      </c>
      <c r="B68" s="33">
        <v>45992</v>
      </c>
      <c r="C68" s="5">
        <v>75620</v>
      </c>
      <c r="D68" s="28">
        <f>'LT GF'!C166-Overtime!C68</f>
        <v>0</v>
      </c>
      <c r="E68" s="5">
        <v>20274</v>
      </c>
      <c r="F68" s="28">
        <f>'LT GF'!G166-Overtime!E68</f>
        <v>0</v>
      </c>
      <c r="G68" s="5">
        <v>15071</v>
      </c>
      <c r="H68" s="28">
        <f>'LT GF'!K166-Overtime!G68</f>
        <v>630</v>
      </c>
      <c r="I68" s="13">
        <v>29129</v>
      </c>
      <c r="J68" s="28">
        <f>'LT GF'!O166-Overtime!I68</f>
        <v>0</v>
      </c>
      <c r="K68" s="5">
        <v>6013</v>
      </c>
      <c r="L68" s="28">
        <f>'LT GF'!Q166-Overtime!K68</f>
        <v>0</v>
      </c>
      <c r="M68" s="5">
        <v>13203</v>
      </c>
      <c r="N68" s="28">
        <f>'LT GF'!U166-Overtime!M68</f>
        <v>0</v>
      </c>
      <c r="O68" s="5">
        <v>53653</v>
      </c>
      <c r="P68" s="6">
        <f>'LT FF'!C166-Overtime!O68</f>
        <v>0</v>
      </c>
      <c r="Q68" s="5">
        <v>8827</v>
      </c>
      <c r="R68" s="6">
        <f>'LT FF'!E166-Overtime!Q68</f>
        <v>0</v>
      </c>
      <c r="S68" s="5">
        <v>25145</v>
      </c>
      <c r="T68" s="6">
        <f>'LT FF'!G166-Overtime!S68</f>
        <v>0</v>
      </c>
      <c r="U68" s="5">
        <v>1608</v>
      </c>
      <c r="V68" s="6">
        <f>'LT FF'!K166-Overtime!U68</f>
        <v>0</v>
      </c>
      <c r="W68" s="5">
        <v>29009</v>
      </c>
      <c r="X68" s="6">
        <f>'LT FF'!O166-Overtime!W68</f>
        <v>0</v>
      </c>
      <c r="Y68" s="5">
        <v>6292</v>
      </c>
      <c r="Z68" s="6">
        <f>'LT FF'!Q166-Overtime!Y68</f>
        <v>0</v>
      </c>
      <c r="AA68" s="5">
        <v>10598</v>
      </c>
      <c r="AB68" s="6">
        <f>'LT FF'!U166-Overtime!AA68</f>
        <v>0</v>
      </c>
      <c r="AC68" s="27"/>
      <c r="AD68" s="28">
        <f>'LT 2F'!C167-Overtime!AC68</f>
        <v>0</v>
      </c>
      <c r="AE68" s="27"/>
      <c r="AF68" s="28">
        <f>'LT 2F'!E167-Overtime!AE68</f>
        <v>0</v>
      </c>
      <c r="AG68" s="27"/>
      <c r="AH68" s="28">
        <f>'LT 2F'!G167-Overtime!AG68</f>
        <v>0</v>
      </c>
      <c r="AI68" s="27"/>
      <c r="AJ68" s="28">
        <f>'LT 2F'!K167-Overtime!AI68</f>
        <v>0</v>
      </c>
      <c r="AK68" s="27"/>
      <c r="AL68" s="28">
        <f>'LT 2F'!O167-Overtime!AK68</f>
        <v>0</v>
      </c>
      <c r="AM68" s="27"/>
      <c r="AN68" s="28">
        <f>'LT 2F'!Q167-Overtime!AM68</f>
        <v>0</v>
      </c>
      <c r="AO68" s="27"/>
      <c r="AP68" s="28">
        <v>0</v>
      </c>
      <c r="AQ68" s="27">
        <v>194078</v>
      </c>
      <c r="AR68" s="28">
        <f>'LT-Wshng'!D166-Overtime!AQ68</f>
        <v>0</v>
      </c>
      <c r="AS68" s="27"/>
      <c r="AT68" s="28" t="str">
        <f t="shared" si="2"/>
        <v/>
      </c>
      <c r="AU68" s="27">
        <v>34569</v>
      </c>
      <c r="AV68" s="28">
        <f>'LT-Wshng'!N166-Overtime!AU68</f>
        <v>0</v>
      </c>
      <c r="AW68" s="27">
        <v>16586</v>
      </c>
      <c r="AX68" s="28">
        <f>'LT-Wshng'!P166-Overtime!AW68</f>
        <v>0</v>
      </c>
      <c r="AY68" s="27"/>
      <c r="AZ68" s="28" t="str">
        <f t="shared" si="3"/>
        <v/>
      </c>
      <c r="BA68" s="29">
        <v>73763</v>
      </c>
      <c r="BB68" s="28">
        <f>'LT-Wshng'!T166-Overtime!BA68</f>
        <v>0</v>
      </c>
      <c r="BC68" s="27">
        <v>14305</v>
      </c>
      <c r="BD68" s="28">
        <f>'LT-Wshng'!V166-Overtime!BC68</f>
        <v>0</v>
      </c>
      <c r="BE68" s="27">
        <v>9569</v>
      </c>
      <c r="BF68" s="28">
        <f>'LT-Wshng'!AB166-Overtime!BE68</f>
        <v>0</v>
      </c>
      <c r="BG68" s="27">
        <v>9405</v>
      </c>
      <c r="BH68" s="28">
        <f>'LT-Wshng'!AD166-Overtime!BG68</f>
        <v>0</v>
      </c>
    </row>
    <row r="69" spans="1:60" ht="21" customHeight="1" x14ac:dyDescent="0.35">
      <c r="A69" s="202" t="s">
        <v>128</v>
      </c>
      <c r="B69" s="203"/>
      <c r="C69" s="5"/>
      <c r="D69" s="88">
        <f>SUM(D38:D68)</f>
        <v>578</v>
      </c>
      <c r="E69" s="5"/>
      <c r="F69" s="88">
        <f>SUM(F38:F68)</f>
        <v>49</v>
      </c>
      <c r="G69" s="5"/>
      <c r="H69" s="88">
        <f>SUM(H38:H68)</f>
        <v>1108</v>
      </c>
      <c r="I69" s="13"/>
      <c r="J69" s="88">
        <f>SUM(J38:J68)</f>
        <v>295</v>
      </c>
      <c r="K69" s="5"/>
      <c r="L69" s="88">
        <f>SUM(L38:L68)</f>
        <v>30</v>
      </c>
      <c r="M69" s="5"/>
      <c r="N69" s="88">
        <f>SUM(N38:N68)</f>
        <v>193</v>
      </c>
      <c r="O69" s="33"/>
      <c r="P69" s="6">
        <f>SUM(P38:P68)</f>
        <v>63</v>
      </c>
      <c r="Q69" s="86"/>
      <c r="R69" s="6">
        <f>SUM(R38:R68)</f>
        <v>71</v>
      </c>
      <c r="S69" s="86"/>
      <c r="T69" s="6">
        <f>SUM(T38:T68)</f>
        <v>50</v>
      </c>
      <c r="U69" s="86"/>
      <c r="V69" s="6">
        <f>SUM(V38:V68)</f>
        <v>26</v>
      </c>
      <c r="W69" s="86"/>
      <c r="X69" s="6">
        <f>SUM(X38:X68)</f>
        <v>27</v>
      </c>
      <c r="Y69" s="86"/>
      <c r="Z69" s="6">
        <f>SUM(Z38:Z68)</f>
        <v>3</v>
      </c>
      <c r="AA69" s="86"/>
      <c r="AB69" s="6">
        <f>SUM(AB38:AB68)</f>
        <v>10</v>
      </c>
      <c r="AC69" s="27"/>
      <c r="AD69" s="88">
        <f>SUM(AD38:AD68)</f>
        <v>61</v>
      </c>
      <c r="AE69" s="27"/>
      <c r="AF69" s="88">
        <f>SUM(AF38:AF68)</f>
        <v>10</v>
      </c>
      <c r="AG69" s="27"/>
      <c r="AH69" s="88">
        <f>SUM(AH38:AH68)</f>
        <v>0</v>
      </c>
      <c r="AI69" s="27"/>
      <c r="AJ69" s="88">
        <f>SUM(AJ38:AJ68)</f>
        <v>11</v>
      </c>
      <c r="AK69" s="27"/>
      <c r="AL69" s="88">
        <f>SUM(AL38:AL68)</f>
        <v>0</v>
      </c>
      <c r="AM69" s="27"/>
      <c r="AN69" s="88">
        <f>SUM(AN38:AN68)</f>
        <v>0</v>
      </c>
      <c r="AO69" s="27"/>
      <c r="AP69" s="88">
        <f>SUM(AP38:AP68)</f>
        <v>0</v>
      </c>
      <c r="AQ69" s="27"/>
      <c r="AR69" s="88">
        <f>SUM(AR38:AR68)</f>
        <v>0</v>
      </c>
      <c r="AS69" s="27"/>
      <c r="AT69" s="88">
        <f>SUM(AR69:AS69)</f>
        <v>0</v>
      </c>
      <c r="AU69" s="27"/>
      <c r="AV69" s="88">
        <f>SUM(AV38:AV68)</f>
        <v>0</v>
      </c>
      <c r="AW69" s="27"/>
      <c r="AX69" s="88">
        <f>SUM(AX38:AX68)</f>
        <v>0</v>
      </c>
      <c r="AY69" s="27"/>
      <c r="AZ69" s="88">
        <f>SUM(AX69:AY69)</f>
        <v>0</v>
      </c>
      <c r="BA69" s="29"/>
      <c r="BB69" s="88">
        <f>SUM(BB38:BB68)</f>
        <v>0</v>
      </c>
      <c r="BC69" s="27"/>
      <c r="BD69" s="88">
        <f>SUM(BD38:BD68)</f>
        <v>0</v>
      </c>
      <c r="BE69" s="27"/>
      <c r="BF69" s="88">
        <f>SUM(BF38:BF68)</f>
        <v>0</v>
      </c>
      <c r="BG69" s="27"/>
      <c r="BH69" s="88">
        <f>SUM(BH38:BH68)</f>
        <v>0</v>
      </c>
    </row>
    <row r="101" ht="21" customHeight="1" x14ac:dyDescent="0.3"/>
  </sheetData>
  <mergeCells count="52">
    <mergeCell ref="BG3:BH3"/>
    <mergeCell ref="AS5:AZ5"/>
    <mergeCell ref="BC5:BH5"/>
    <mergeCell ref="AQ2:BH2"/>
    <mergeCell ref="A37:B37"/>
    <mergeCell ref="AQ5:AR5"/>
    <mergeCell ref="BA5:BB5"/>
    <mergeCell ref="Q3:R3"/>
    <mergeCell ref="S3:T3"/>
    <mergeCell ref="U3:V3"/>
    <mergeCell ref="Y3:Z3"/>
    <mergeCell ref="AA3:AB3"/>
    <mergeCell ref="AE3:AF3"/>
    <mergeCell ref="AG3:AH3"/>
    <mergeCell ref="AI3:AJ3"/>
    <mergeCell ref="BE3:BF3"/>
    <mergeCell ref="AW3:AX3"/>
    <mergeCell ref="BC3:BD3"/>
    <mergeCell ref="AK5:AL5"/>
    <mergeCell ref="A69:B69"/>
    <mergeCell ref="AC2:AP2"/>
    <mergeCell ref="AO3:AP3"/>
    <mergeCell ref="BA3:BB3"/>
    <mergeCell ref="AS3:AT3"/>
    <mergeCell ref="AU3:AV3"/>
    <mergeCell ref="AQ3:AR3"/>
    <mergeCell ref="AY3:AZ3"/>
    <mergeCell ref="AM3:AN3"/>
    <mergeCell ref="A2:B2"/>
    <mergeCell ref="Q5:V5"/>
    <mergeCell ref="Y5:AB5"/>
    <mergeCell ref="AE5:AJ5"/>
    <mergeCell ref="AM5:AP5"/>
    <mergeCell ref="C5:D5"/>
    <mergeCell ref="E5:N5"/>
    <mergeCell ref="AK3:AL3"/>
    <mergeCell ref="AC3:AD3"/>
    <mergeCell ref="C2:N2"/>
    <mergeCell ref="O2:AB2"/>
    <mergeCell ref="AC5:AD5"/>
    <mergeCell ref="O5:P5"/>
    <mergeCell ref="W5:X5"/>
    <mergeCell ref="O3:P3"/>
    <mergeCell ref="W3:X3"/>
    <mergeCell ref="M3:N3"/>
    <mergeCell ref="I3:J3"/>
    <mergeCell ref="K3:L3"/>
    <mergeCell ref="A3:A4"/>
    <mergeCell ref="B3:B4"/>
    <mergeCell ref="C3:D3"/>
    <mergeCell ref="E3:F3"/>
    <mergeCell ref="G3:H3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Summary </vt:lpstr>
      <vt:lpstr>SBSTN DND</vt:lpstr>
      <vt:lpstr>LT GF</vt:lpstr>
      <vt:lpstr>LT FF</vt:lpstr>
      <vt:lpstr>LT 2F</vt:lpstr>
      <vt:lpstr>LT-Wshng</vt:lpstr>
      <vt:lpstr>Capacity load</vt:lpstr>
      <vt:lpstr>Overtime</vt:lpstr>
      <vt:lpstr>'SBSTN DND'!Print_Area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 ahmad Abbas</dc:creator>
  <cp:lastModifiedBy>Zaiid Abbas\DM\Ombre\LHR</cp:lastModifiedBy>
  <cp:lastPrinted>2025-10-09T06:26:23Z</cp:lastPrinted>
  <dcterms:created xsi:type="dcterms:W3CDTF">2025-07-26T08:14:18Z</dcterms:created>
  <dcterms:modified xsi:type="dcterms:W3CDTF">2025-12-03T07:11:19Z</dcterms:modified>
</cp:coreProperties>
</file>